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oul\Desktop\Visualisez des données avec Excel__ Amarache_Amel\"/>
    </mc:Choice>
  </mc:AlternateContent>
  <xr:revisionPtr revIDLastSave="0" documentId="13_ncr:1_{EBDB2D94-5DDB-4AE2-8E4A-87DEB379C3C0}" xr6:coauthVersionLast="47" xr6:coauthVersionMax="47" xr10:uidLastSave="{00000000-0000-0000-0000-000000000000}"/>
  <bookViews>
    <workbookView xWindow="-108" yWindow="-108" windowWidth="23256" windowHeight="13896" tabRatio="895" firstSheet="4" activeTab="9" xr2:uid="{00000000-000D-0000-FFFF-FFFF00000000}"/>
  </bookViews>
  <sheets>
    <sheet name="Equipe" sheetId="2" r:id="rId1"/>
    <sheet name="Dictionnaire des données" sheetId="3" r:id="rId2"/>
    <sheet name="Données NBA" sheetId="1" r:id="rId3"/>
    <sheet name="TCD Analyse de la saison NBA" sheetId="20" r:id="rId4"/>
    <sheet name="Analyse de la saison NBA" sheetId="43" r:id="rId5"/>
    <sheet name="TCD analyse des equipes" sheetId="25" r:id="rId6"/>
    <sheet name="Analyse de équipe  DET " sheetId="61" r:id="rId7"/>
    <sheet name="Analyse du top 15 des joueurs" sheetId="35" r:id="rId8"/>
    <sheet name="Analyse complémentaire 1" sheetId="63" r:id="rId9"/>
    <sheet name="Analyse complémentaire 2" sheetId="64" r:id="rId10"/>
  </sheets>
  <definedNames>
    <definedName name="_xlnm._FilterDatabase" localSheetId="6" hidden="1">'Analyse de équipe  DET '!$A$2:$D$30</definedName>
    <definedName name="_xlnm._FilterDatabase" localSheetId="7" hidden="1">'Analyse du top 15 des joueurs'!$A$3:$H$18</definedName>
    <definedName name="_xlnm._FilterDatabase" localSheetId="1" hidden="1">'Dictionnaire des données'!$A$1:$B$46</definedName>
    <definedName name="_xlnm._FilterDatabase" localSheetId="2" hidden="1">'Données NBA'!$A$8:$AT$577</definedName>
  </definedNames>
  <calcPr calcId="191029"/>
  <pivotCaches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O3" i="1"/>
  <c r="O2" i="1"/>
  <c r="C9" i="1"/>
  <c r="B2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8" i="1"/>
  <c r="C47" i="1"/>
  <c r="C49" i="1"/>
  <c r="C51" i="1"/>
  <c r="C50" i="1"/>
  <c r="C53" i="1"/>
  <c r="C52" i="1"/>
  <c r="C54" i="1"/>
  <c r="C55" i="1"/>
  <c r="C56" i="1"/>
  <c r="C57" i="1"/>
  <c r="C58" i="1"/>
  <c r="C59" i="1"/>
  <c r="C60" i="1"/>
  <c r="C61" i="1"/>
  <c r="C62" i="1"/>
  <c r="C63" i="1"/>
  <c r="C65" i="1"/>
  <c r="C64" i="1"/>
  <c r="C67" i="1"/>
  <c r="C66" i="1"/>
  <c r="C68" i="1"/>
  <c r="C69" i="1"/>
  <c r="C70" i="1"/>
  <c r="C72" i="1"/>
  <c r="C71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4" i="1"/>
  <c r="C93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20" i="1"/>
  <c r="C119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4" i="1"/>
  <c r="C133" i="1"/>
  <c r="C136" i="1"/>
  <c r="C135" i="1"/>
  <c r="C137" i="1"/>
  <c r="C138" i="1"/>
  <c r="C140" i="1"/>
  <c r="C139" i="1"/>
  <c r="C141" i="1"/>
  <c r="C142" i="1"/>
  <c r="C143" i="1"/>
  <c r="C144" i="1"/>
  <c r="C145" i="1"/>
  <c r="C146" i="1"/>
  <c r="C148" i="1"/>
  <c r="C147" i="1"/>
  <c r="C149" i="1"/>
  <c r="C150" i="1"/>
  <c r="C151" i="1"/>
  <c r="C152" i="1"/>
  <c r="C154" i="1"/>
  <c r="C153" i="1"/>
  <c r="C155" i="1"/>
  <c r="C156" i="1"/>
  <c r="C158" i="1"/>
  <c r="C157" i="1"/>
  <c r="C159" i="1"/>
  <c r="C160" i="1"/>
  <c r="C161" i="1"/>
  <c r="C162" i="1"/>
  <c r="C163" i="1"/>
  <c r="C164" i="1"/>
  <c r="C165" i="1"/>
  <c r="C166" i="1"/>
  <c r="C167" i="1"/>
  <c r="C168" i="1"/>
  <c r="C170" i="1"/>
  <c r="C169" i="1"/>
  <c r="C171" i="1"/>
  <c r="C172" i="1"/>
  <c r="C173" i="1"/>
  <c r="C174" i="1"/>
  <c r="C175" i="1"/>
  <c r="C176" i="1"/>
  <c r="C177" i="1"/>
  <c r="C178" i="1"/>
  <c r="C181" i="1"/>
  <c r="C179" i="1"/>
  <c r="C180" i="1"/>
  <c r="C182" i="1"/>
  <c r="C183" i="1"/>
  <c r="C184" i="1"/>
  <c r="C185" i="1"/>
  <c r="C187" i="1"/>
  <c r="C186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3" i="1"/>
  <c r="C202" i="1"/>
  <c r="C204" i="1"/>
  <c r="C205" i="1"/>
  <c r="C206" i="1"/>
  <c r="C207" i="1"/>
  <c r="C208" i="1"/>
  <c r="C209" i="1"/>
  <c r="C210" i="1"/>
  <c r="C211" i="1"/>
  <c r="C214" i="1"/>
  <c r="C213" i="1"/>
  <c r="C212" i="1"/>
  <c r="C215" i="1"/>
  <c r="C216" i="1"/>
  <c r="C217" i="1"/>
  <c r="C218" i="1"/>
  <c r="C219" i="1"/>
  <c r="C220" i="1"/>
  <c r="C221" i="1"/>
  <c r="C223" i="1"/>
  <c r="C225" i="1"/>
  <c r="C224" i="1"/>
  <c r="C222" i="1"/>
  <c r="C227" i="1"/>
  <c r="C228" i="1"/>
  <c r="C226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70" i="1"/>
  <c r="C269" i="1"/>
  <c r="C271" i="1"/>
  <c r="C272" i="1"/>
  <c r="C273" i="1"/>
  <c r="C274" i="1"/>
  <c r="C275" i="1"/>
  <c r="C276" i="1"/>
  <c r="C277" i="1"/>
  <c r="C278" i="1"/>
  <c r="C279" i="1"/>
  <c r="C280" i="1"/>
  <c r="C281" i="1"/>
  <c r="C283" i="1"/>
  <c r="C282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8" i="1"/>
  <c r="C297" i="1"/>
  <c r="C299" i="1"/>
  <c r="C300" i="1"/>
  <c r="C302" i="1"/>
  <c r="C301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2" i="1"/>
  <c r="C321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6" i="1"/>
  <c r="C335" i="1"/>
  <c r="C337" i="1"/>
  <c r="C338" i="1"/>
  <c r="C340" i="1"/>
  <c r="C339" i="1"/>
  <c r="C341" i="1"/>
  <c r="C342" i="1"/>
  <c r="C343" i="1"/>
  <c r="C344" i="1"/>
  <c r="C345" i="1"/>
  <c r="C346" i="1"/>
  <c r="C348" i="1"/>
  <c r="C347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1" i="1"/>
  <c r="C390" i="1"/>
  <c r="C392" i="1"/>
  <c r="C394" i="1"/>
  <c r="C395" i="1"/>
  <c r="C393" i="1"/>
  <c r="C396" i="1"/>
  <c r="C397" i="1"/>
  <c r="C398" i="1"/>
  <c r="C399" i="1"/>
  <c r="C400" i="1"/>
  <c r="C401" i="1"/>
  <c r="C402" i="1"/>
  <c r="C404" i="1"/>
  <c r="C403" i="1"/>
  <c r="C405" i="1"/>
  <c r="C406" i="1"/>
  <c r="C409" i="1"/>
  <c r="C407" i="1"/>
  <c r="C408" i="1"/>
  <c r="C411" i="1"/>
  <c r="C410" i="1"/>
  <c r="C412" i="1"/>
  <c r="C413" i="1"/>
  <c r="C414" i="1"/>
  <c r="C415" i="1"/>
  <c r="C416" i="1"/>
  <c r="C418" i="1"/>
  <c r="C419" i="1"/>
  <c r="C417" i="1"/>
  <c r="C420" i="1"/>
  <c r="C421" i="1"/>
  <c r="C422" i="1"/>
  <c r="C423" i="1"/>
  <c r="C424" i="1"/>
  <c r="C425" i="1"/>
  <c r="C426" i="1"/>
  <c r="C427" i="1"/>
  <c r="C428" i="1"/>
  <c r="C429" i="1"/>
  <c r="C431" i="1"/>
  <c r="C430" i="1"/>
  <c r="C432" i="1"/>
  <c r="C433" i="1"/>
  <c r="C434" i="1"/>
  <c r="C436" i="1"/>
  <c r="C435" i="1"/>
  <c r="C437" i="1"/>
  <c r="C438" i="1"/>
  <c r="C440" i="1"/>
  <c r="C439" i="1"/>
  <c r="C441" i="1"/>
  <c r="C442" i="1"/>
  <c r="C443" i="1"/>
  <c r="C445" i="1"/>
  <c r="C444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1" i="1"/>
  <c r="C460" i="1"/>
  <c r="C462" i="1"/>
  <c r="C463" i="1"/>
  <c r="C464" i="1"/>
  <c r="C468" i="1"/>
  <c r="C465" i="1"/>
  <c r="C466" i="1"/>
  <c r="C467" i="1"/>
  <c r="C469" i="1"/>
  <c r="C471" i="1"/>
  <c r="C472" i="1"/>
  <c r="C470" i="1"/>
  <c r="C473" i="1"/>
  <c r="C474" i="1"/>
  <c r="C475" i="1"/>
  <c r="C476" i="1"/>
  <c r="C477" i="1"/>
  <c r="C479" i="1"/>
  <c r="C478" i="1"/>
  <c r="C480" i="1"/>
  <c r="C482" i="1"/>
  <c r="C483" i="1"/>
  <c r="C484" i="1"/>
  <c r="C481" i="1"/>
  <c r="C485" i="1"/>
  <c r="C486" i="1"/>
  <c r="C488" i="1"/>
  <c r="C487" i="1"/>
  <c r="C490" i="1"/>
  <c r="C489" i="1"/>
  <c r="C491" i="1"/>
  <c r="C492" i="1"/>
  <c r="C493" i="1"/>
  <c r="C494" i="1"/>
  <c r="C496" i="1"/>
  <c r="C495" i="1"/>
  <c r="C499" i="1"/>
  <c r="C497" i="1"/>
  <c r="C498" i="1"/>
  <c r="C500" i="1"/>
  <c r="C501" i="1"/>
  <c r="C503" i="1"/>
  <c r="C502" i="1"/>
  <c r="C506" i="1"/>
  <c r="C504" i="1"/>
  <c r="C505" i="1"/>
  <c r="C507" i="1"/>
  <c r="C508" i="1"/>
  <c r="C509" i="1"/>
  <c r="C510" i="1"/>
  <c r="C511" i="1"/>
  <c r="C512" i="1"/>
  <c r="C513" i="1"/>
  <c r="C514" i="1"/>
  <c r="C515" i="1"/>
  <c r="C516" i="1"/>
  <c r="C517" i="1"/>
  <c r="C519" i="1"/>
  <c r="C520" i="1"/>
  <c r="C518" i="1"/>
  <c r="C522" i="1"/>
  <c r="C521" i="1"/>
  <c r="C523" i="1"/>
  <c r="C524" i="1"/>
  <c r="C525" i="1"/>
  <c r="C526" i="1"/>
  <c r="C527" i="1"/>
  <c r="C528" i="1"/>
  <c r="C530" i="1"/>
  <c r="C531" i="1"/>
  <c r="C529" i="1"/>
  <c r="C536" i="1"/>
  <c r="C535" i="1"/>
  <c r="C534" i="1"/>
  <c r="C533" i="1"/>
  <c r="C532" i="1"/>
  <c r="C537" i="1"/>
  <c r="C538" i="1"/>
  <c r="C539" i="1"/>
  <c r="C540" i="1"/>
  <c r="C541" i="1"/>
  <c r="C542" i="1"/>
  <c r="C543" i="1"/>
  <c r="C544" i="1"/>
  <c r="C548" i="1"/>
  <c r="C545" i="1"/>
  <c r="C547" i="1"/>
  <c r="C546" i="1"/>
  <c r="C551" i="1"/>
  <c r="C550" i="1"/>
  <c r="C549" i="1"/>
  <c r="C555" i="1"/>
  <c r="C553" i="1"/>
  <c r="C552" i="1"/>
  <c r="C554" i="1"/>
  <c r="C558" i="1"/>
  <c r="C557" i="1"/>
  <c r="C556" i="1"/>
  <c r="C560" i="1"/>
  <c r="C559" i="1"/>
  <c r="C564" i="1"/>
  <c r="C565" i="1"/>
  <c r="C563" i="1"/>
  <c r="C562" i="1"/>
  <c r="C561" i="1"/>
  <c r="C566" i="1"/>
  <c r="C567" i="1"/>
  <c r="C568" i="1"/>
  <c r="C571" i="1"/>
  <c r="C577" i="1"/>
  <c r="C575" i="1"/>
  <c r="C573" i="1"/>
  <c r="C569" i="1"/>
  <c r="C572" i="1"/>
  <c r="C570" i="1"/>
  <c r="C576" i="1"/>
  <c r="C574" i="1"/>
  <c r="A30" i="3"/>
  <c r="AD8" i="1"/>
  <c r="O4" i="1" l="1"/>
</calcChain>
</file>

<file path=xl/sharedStrings.xml><?xml version="1.0" encoding="utf-8"?>
<sst xmlns="http://schemas.openxmlformats.org/spreadsheetml/2006/main" count="3840" uniqueCount="1897">
  <si>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</si>
  <si>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</si>
  <si>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</si>
  <si>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</si>
  <si>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</si>
  <si>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</si>
  <si>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</si>
  <si>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</si>
  <si>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</si>
  <si>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</si>
  <si>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</si>
  <si>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</si>
  <si>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</si>
  <si>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</si>
  <si>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</si>
  <si>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</si>
  <si>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</si>
  <si>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</si>
  <si>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</si>
  <si>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</si>
  <si>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</si>
  <si>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</si>
  <si>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</si>
  <si>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</si>
  <si>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</si>
  <si>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</si>
  <si>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</si>
  <si>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</si>
  <si>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</si>
  <si>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</si>
  <si>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</si>
  <si>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</si>
  <si>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</si>
  <si>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</si>
  <si>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</si>
  <si>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</si>
  <si>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</si>
  <si>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</si>
  <si>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</si>
  <si>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</si>
  <si>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</si>
  <si>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</si>
  <si>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</si>
  <si>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</si>
  <si>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</si>
  <si>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</si>
  <si>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</si>
  <si>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</si>
  <si>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</si>
  <si>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</si>
  <si>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</si>
  <si>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</si>
  <si>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</si>
  <si>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</si>
  <si>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</si>
  <si>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</si>
  <si>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</si>
  <si>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</si>
  <si>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</si>
  <si>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</si>
  <si>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</si>
  <si>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</si>
  <si>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</si>
  <si>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</si>
  <si>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</si>
  <si>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</si>
  <si>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</si>
  <si>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</si>
  <si>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</si>
  <si>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</si>
  <si>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</si>
  <si>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</si>
  <si>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</si>
  <si>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</si>
  <si>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</si>
  <si>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</si>
  <si>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</si>
  <si>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</si>
  <si>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</si>
  <si>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</si>
  <si>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</si>
  <si>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</si>
  <si>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</si>
  <si>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</si>
  <si>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</si>
  <si>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</si>
  <si>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</si>
  <si>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</si>
  <si>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</si>
  <si>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</si>
  <si>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</si>
  <si>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</si>
  <si>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</si>
  <si>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</si>
  <si>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</si>
  <si>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</si>
  <si>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</si>
  <si>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</si>
  <si>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</si>
  <si>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</si>
  <si>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</si>
  <si>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</si>
  <si>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</si>
  <si>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</si>
  <si>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</si>
  <si>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</si>
  <si>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</si>
  <si>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</si>
  <si>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</si>
  <si>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</si>
  <si>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</si>
  <si>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</si>
  <si>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</si>
  <si>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</si>
  <si>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</si>
  <si>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</si>
  <si>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</si>
  <si>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</si>
  <si>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</si>
  <si>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</si>
  <si>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</si>
  <si>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</si>
  <si>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</si>
  <si>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</si>
  <si>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</si>
  <si>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</si>
  <si>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</si>
  <si>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</si>
  <si>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</si>
  <si>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</si>
  <si>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</si>
  <si>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</si>
  <si>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</si>
  <si>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</si>
  <si>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</si>
  <si>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</si>
  <si>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</si>
  <si>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</si>
  <si>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</si>
  <si>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</si>
  <si>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</si>
  <si>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</si>
  <si>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</si>
  <si>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</si>
  <si>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</si>
  <si>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</si>
  <si>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</si>
  <si>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</si>
  <si>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</si>
  <si>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</si>
  <si>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</si>
  <si>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</si>
  <si>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</si>
  <si>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</si>
  <si>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</si>
  <si>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</si>
  <si>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</si>
  <si>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</si>
  <si>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</si>
  <si>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</si>
  <si>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</si>
  <si>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</si>
  <si>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</si>
  <si>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</si>
  <si>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</si>
  <si>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</si>
  <si>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</si>
  <si>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</si>
  <si>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</si>
  <si>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</si>
  <si>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</si>
  <si>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</si>
  <si>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</si>
  <si>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</si>
  <si>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</si>
  <si>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</si>
  <si>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</si>
  <si>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</si>
  <si>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</si>
  <si>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</si>
  <si>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</si>
  <si>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</si>
  <si>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</si>
  <si>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</si>
  <si>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</si>
  <si>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</si>
  <si>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</si>
  <si>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</si>
  <si>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</si>
  <si>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</si>
  <si>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</si>
  <si>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</si>
  <si>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</si>
  <si>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</si>
  <si>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</si>
  <si>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</si>
  <si>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</si>
  <si>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</si>
  <si>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</si>
  <si>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</si>
  <si>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</si>
  <si>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</si>
  <si>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</si>
  <si>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</si>
  <si>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</si>
  <si>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</si>
  <si>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</si>
  <si>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</si>
  <si>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</si>
  <si>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</si>
  <si>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</si>
  <si>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</si>
  <si>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</si>
  <si>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</si>
  <si>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</si>
  <si>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</si>
  <si>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</si>
  <si>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</si>
  <si>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</si>
  <si>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</si>
  <si>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</si>
  <si>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</si>
  <si>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</si>
  <si>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</si>
  <si>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</si>
  <si>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</si>
  <si>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</si>
  <si>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</si>
  <si>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</si>
  <si>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</si>
  <si>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</si>
  <si>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</si>
  <si>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</si>
  <si>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</si>
  <si>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</si>
  <si>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</si>
  <si>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</si>
  <si>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</si>
  <si>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</si>
  <si>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</si>
  <si>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</si>
  <si>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</si>
  <si>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</si>
  <si>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</si>
  <si>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</si>
  <si>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</si>
  <si>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</si>
  <si>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</si>
  <si>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</si>
  <si>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</si>
  <si>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</si>
  <si>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</si>
  <si>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</si>
  <si>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</si>
  <si>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</si>
  <si>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</si>
  <si>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</si>
  <si>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</si>
  <si>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</si>
  <si>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</si>
  <si>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</si>
  <si>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</si>
  <si>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</si>
  <si>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</si>
  <si>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</si>
  <si>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</si>
  <si>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</si>
  <si>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</si>
  <si>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</si>
  <si>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</si>
  <si>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</si>
  <si>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</si>
  <si>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</si>
  <si>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</si>
  <si>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</si>
  <si>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</si>
  <si>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</si>
  <si>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</si>
  <si>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</si>
  <si>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</si>
  <si>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</si>
  <si>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</si>
  <si>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</si>
  <si>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</si>
  <si>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</si>
  <si>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</si>
  <si>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</si>
  <si>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</si>
  <si>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</si>
  <si>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</si>
  <si>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</si>
  <si>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</si>
  <si>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</si>
  <si>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</si>
  <si>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</si>
  <si>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</si>
  <si>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</si>
  <si>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</si>
  <si>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</si>
  <si>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</si>
  <si>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</si>
  <si>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</si>
  <si>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</si>
  <si>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</si>
  <si>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</si>
  <si>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</si>
  <si>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</si>
  <si>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</si>
  <si>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</si>
  <si>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</si>
  <si>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</si>
  <si>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</si>
  <si>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</si>
  <si>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</si>
  <si>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</si>
  <si>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</si>
  <si>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</si>
  <si>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</si>
  <si>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</si>
  <si>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</si>
  <si>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</si>
  <si>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</si>
  <si>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</si>
  <si>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</si>
  <si>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</si>
  <si>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</si>
  <si>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</si>
  <si>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</si>
  <si>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</si>
  <si>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</si>
  <si>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</si>
  <si>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</si>
  <si>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</si>
  <si>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</si>
  <si>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</si>
  <si>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</si>
  <si>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</si>
  <si>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</si>
  <si>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</si>
  <si>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</si>
  <si>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</si>
  <si>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</si>
  <si>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</si>
  <si>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</si>
  <si>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</si>
  <si>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</si>
  <si>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</si>
  <si>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</si>
  <si>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</si>
  <si>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</si>
  <si>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</si>
  <si>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</si>
  <si>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</si>
  <si>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</si>
  <si>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</si>
  <si>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</si>
  <si>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</si>
  <si>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</si>
  <si>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</si>
  <si>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</si>
  <si>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</si>
  <si>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</si>
  <si>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</si>
  <si>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</si>
  <si>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</si>
  <si>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</si>
  <si>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</si>
  <si>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</si>
  <si>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</si>
  <si>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</si>
  <si>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</si>
  <si>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</si>
  <si>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</si>
  <si>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</si>
  <si>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</si>
  <si>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</si>
  <si>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</si>
  <si>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</si>
  <si>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</si>
  <si>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</si>
  <si>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</si>
  <si>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</si>
  <si>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</si>
  <si>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</si>
  <si>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</si>
  <si>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</si>
  <si>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</si>
  <si>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</si>
  <si>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</si>
  <si>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</si>
  <si>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</si>
  <si>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</si>
  <si>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</si>
  <si>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</si>
  <si>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</si>
  <si>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</si>
  <si>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</si>
  <si>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</si>
  <si>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</si>
  <si>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</si>
  <si>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</si>
  <si>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</si>
  <si>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</si>
  <si>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</si>
  <si>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</si>
  <si>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</si>
  <si>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</si>
  <si>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</si>
  <si>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</si>
  <si>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</si>
  <si>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</si>
  <si>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</si>
  <si>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</si>
  <si>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</si>
  <si>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</si>
  <si>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</si>
  <si>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</si>
  <si>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</si>
  <si>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</si>
  <si>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</si>
  <si>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</si>
  <si>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</si>
  <si>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</si>
  <si>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</si>
  <si>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</si>
  <si>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</si>
  <si>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</si>
  <si>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</si>
  <si>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</si>
  <si>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</si>
  <si>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</si>
  <si>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</si>
  <si>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</si>
  <si>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</si>
  <si>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</si>
  <si>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</si>
  <si>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</si>
  <si>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</si>
  <si>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</si>
  <si>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</si>
  <si>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</si>
  <si>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</si>
  <si>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</si>
  <si>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</si>
  <si>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</si>
  <si>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</si>
  <si>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</si>
  <si>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</si>
  <si>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</si>
  <si>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</si>
  <si>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</si>
  <si>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</si>
  <si>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</si>
  <si>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</si>
  <si>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</si>
  <si>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</si>
  <si>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</si>
  <si>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</si>
  <si>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</si>
  <si>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</si>
  <si>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</si>
  <si>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</si>
  <si>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</si>
  <si>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</si>
  <si>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</si>
  <si>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</si>
  <si>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</si>
  <si>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</si>
  <si>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</si>
  <si>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</si>
  <si>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</si>
  <si>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</si>
  <si>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</si>
  <si>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</si>
  <si>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</si>
  <si>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</si>
  <si>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</si>
  <si>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</si>
  <si>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</si>
  <si>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</si>
  <si>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</si>
  <si>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</si>
  <si>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</si>
  <si>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</si>
  <si>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</si>
  <si>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</si>
  <si>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</si>
  <si>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</si>
  <si>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</si>
  <si>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</si>
  <si>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</si>
  <si>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</si>
  <si>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</si>
  <si>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</si>
  <si>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</si>
  <si>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</si>
  <si>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</si>
  <si>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</si>
  <si>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</si>
  <si>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</si>
  <si>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</si>
  <si>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</si>
  <si>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</si>
  <si>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</si>
  <si>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</si>
  <si>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</si>
  <si>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</si>
  <si>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</si>
  <si>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</si>
  <si>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</si>
  <si>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</si>
  <si>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</si>
  <si>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</si>
  <si>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</si>
  <si>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</si>
  <si>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</si>
  <si>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</si>
  <si>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</si>
  <si>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</si>
  <si>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</si>
  <si>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</si>
  <si>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</si>
  <si>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</si>
  <si>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</si>
  <si>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</si>
  <si>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</si>
  <si>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</si>
  <si>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</si>
  <si>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</si>
  <si>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</si>
  <si>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</si>
  <si>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</si>
  <si>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</si>
  <si>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</si>
  <si>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</si>
  <si>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</si>
  <si>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</si>
  <si>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</si>
  <si>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</si>
  <si>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</si>
  <si>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</si>
  <si>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</si>
  <si>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</si>
  <si>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</si>
  <si>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</si>
  <si>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</si>
  <si>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</si>
  <si>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</si>
  <si>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</si>
  <si>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</si>
  <si>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</si>
  <si>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</si>
  <si>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</si>
  <si>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</si>
  <si>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</si>
  <si>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</si>
  <si>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</si>
  <si>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</si>
  <si>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</si>
  <si>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</si>
  <si>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</si>
  <si>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</si>
  <si>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</si>
  <si>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</si>
  <si>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</si>
  <si>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</si>
  <si>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</si>
  <si>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</si>
  <si>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</si>
  <si>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</si>
  <si>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</si>
  <si>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</si>
  <si>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</si>
  <si>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</si>
  <si>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</si>
  <si>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</si>
  <si>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</si>
  <si>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</si>
  <si>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</si>
  <si>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</si>
  <si>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</si>
  <si>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</si>
  <si>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</si>
  <si>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</si>
  <si>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</si>
  <si>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</si>
  <si>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</si>
  <si>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</si>
  <si>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</si>
  <si>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</si>
  <si>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</si>
  <si>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</si>
  <si>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</si>
  <si>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</si>
  <si>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</si>
  <si>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</si>
  <si>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</si>
  <si>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</si>
  <si>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</si>
  <si>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</si>
  <si>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</si>
  <si>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</si>
  <si>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</si>
  <si>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</si>
  <si>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</si>
  <si>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</si>
  <si>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</si>
  <si>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</si>
  <si>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</si>
  <si>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</si>
  <si>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</si>
  <si>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</si>
  <si>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</si>
  <si>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</si>
  <si>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</si>
  <si>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</si>
  <si>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</si>
  <si>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</si>
  <si>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</si>
  <si>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</si>
  <si>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</si>
  <si>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</si>
  <si>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</si>
  <si>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</si>
  <si>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</si>
  <si>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</si>
  <si>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</si>
  <si>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</si>
  <si>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</si>
  <si>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</si>
  <si>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</si>
  <si>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</si>
  <si>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</si>
  <si>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</si>
  <si>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</si>
  <si>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</si>
  <si>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</si>
  <si>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</si>
  <si>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</si>
  <si>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</si>
  <si>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</si>
  <si>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</si>
  <si>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</si>
  <si>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</si>
  <si>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</si>
  <si>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</si>
  <si>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</si>
  <si>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</si>
  <si>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</si>
  <si>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</si>
  <si>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</si>
  <si>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</si>
  <si>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</si>
  <si>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</si>
  <si>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</si>
  <si>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</si>
  <si>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</si>
  <si>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</si>
  <si>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</si>
  <si>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</si>
  <si>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</si>
  <si>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</si>
  <si>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</si>
  <si>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</si>
  <si>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</si>
  <si>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</si>
  <si>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</si>
  <si>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</si>
  <si>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</si>
  <si>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</si>
  <si>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</si>
  <si>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</si>
  <si>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</si>
  <si>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</si>
  <si>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</si>
  <si>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</si>
  <si>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</si>
  <si>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</si>
  <si>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</si>
  <si>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</si>
  <si>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</si>
  <si>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</si>
  <si>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</si>
  <si>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</si>
  <si>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</si>
  <si>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</si>
  <si>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</si>
  <si>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</si>
  <si>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</si>
  <si>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</si>
  <si>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</si>
  <si>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</si>
  <si>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</si>
  <si>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</si>
  <si>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</si>
  <si>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</si>
  <si>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</si>
  <si>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</si>
  <si>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</si>
  <si>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</si>
  <si>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</si>
  <si>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</si>
  <si>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</si>
  <si>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</si>
  <si>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</si>
  <si>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</si>
  <si>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</si>
  <si>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</si>
  <si>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</si>
  <si>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</si>
  <si>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</si>
  <si>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</si>
  <si>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</si>
  <si>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</si>
  <si>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</si>
  <si>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</si>
  <si>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</si>
  <si>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</si>
  <si>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</si>
  <si>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</si>
  <si>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</si>
  <si>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</si>
  <si>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</si>
  <si>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</si>
  <si>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</si>
  <si>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</si>
  <si>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</si>
  <si>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</si>
  <si>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</si>
  <si>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</si>
  <si>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</si>
  <si>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</si>
  <si>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</si>
  <si>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</si>
  <si>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</si>
  <si>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</si>
  <si>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</si>
  <si>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</si>
  <si>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</si>
  <si>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</si>
  <si>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</si>
  <si>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</si>
  <si>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</si>
  <si>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</si>
  <si>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</si>
  <si>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</si>
  <si>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</si>
  <si>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</si>
  <si>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</si>
  <si>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</si>
  <si>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</si>
  <si>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</si>
  <si>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</si>
  <si>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</si>
  <si>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</si>
  <si>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</si>
  <si>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</si>
  <si>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</si>
  <si>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</si>
  <si>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</si>
  <si>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</si>
  <si>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</si>
  <si>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</si>
  <si>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</si>
  <si>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</si>
  <si>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</si>
  <si>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</si>
  <si>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</si>
  <si>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</si>
  <si>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</si>
  <si>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</si>
  <si>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</si>
  <si>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</si>
  <si>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</si>
  <si>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</si>
  <si>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</si>
  <si>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</si>
  <si>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</si>
  <si>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</si>
  <si>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</si>
  <si>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</si>
  <si>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</si>
  <si>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</si>
  <si>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</si>
  <si>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</si>
  <si>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</si>
  <si>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</si>
  <si>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</si>
  <si>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</si>
  <si>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</si>
  <si>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</si>
  <si>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</si>
  <si>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</si>
  <si>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</si>
  <si>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</si>
  <si>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</si>
  <si>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</si>
  <si>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</si>
  <si>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</si>
  <si>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</si>
  <si>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</si>
  <si>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</si>
  <si>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</si>
  <si>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</si>
  <si>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</si>
  <si>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</si>
  <si>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</si>
  <si>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</si>
  <si>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</si>
  <si>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</si>
  <si>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</si>
  <si>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</si>
  <si>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</si>
  <si>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</si>
  <si>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</si>
  <si>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</si>
  <si>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</si>
  <si>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</si>
  <si>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</si>
  <si>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</si>
  <si>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</si>
  <si>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</si>
  <si>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</si>
  <si>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</si>
  <si>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</si>
  <si>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</si>
  <si>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</si>
  <si>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</si>
  <si>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</si>
  <si>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</si>
  <si>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</si>
  <si>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</si>
  <si>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</si>
  <si>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</si>
  <si>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</si>
  <si>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</si>
  <si>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</si>
  <si>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</si>
  <si>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</si>
  <si>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</si>
  <si>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</si>
  <si>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</si>
  <si>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</si>
  <si>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</si>
  <si>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</si>
  <si>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</si>
  <si>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</si>
  <si>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</si>
  <si>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</si>
  <si>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</si>
  <si>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</si>
  <si>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</si>
  <si>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</si>
  <si>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</si>
  <si>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</si>
  <si>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</si>
  <si>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</si>
  <si>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</si>
  <si>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</si>
  <si>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</si>
  <si>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</si>
  <si>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</si>
  <si>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</si>
  <si>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</si>
  <si>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</si>
  <si>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</si>
  <si>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</si>
  <si>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</si>
  <si>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</si>
  <si>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</si>
  <si>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</si>
  <si>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</si>
  <si>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</si>
  <si>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</si>
  <si>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</si>
  <si>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</si>
  <si>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</si>
  <si>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</si>
  <si>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</si>
  <si>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</si>
  <si>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</si>
  <si>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</si>
  <si>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</si>
  <si>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</si>
  <si>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</si>
  <si>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</si>
  <si>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</si>
  <si>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</si>
  <si>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</si>
  <si>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</si>
  <si>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</si>
  <si>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</si>
  <si>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</si>
  <si>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</si>
  <si>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</si>
  <si>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</si>
  <si>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</si>
  <si>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</si>
  <si>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</si>
  <si>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</si>
  <si>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</si>
  <si>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</si>
  <si>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</si>
  <si>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</si>
  <si>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</si>
  <si>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</si>
  <si>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</si>
  <si>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</si>
  <si>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</si>
  <si>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</si>
  <si>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</si>
  <si>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</si>
  <si>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</si>
  <si>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</si>
  <si>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</si>
  <si>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</si>
  <si>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</si>
  <si>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</si>
  <si>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</si>
  <si>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</si>
  <si>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</si>
  <si>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</si>
  <si>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</si>
  <si>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</si>
  <si>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</si>
  <si>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</si>
  <si>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</si>
  <si>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</si>
  <si>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</si>
  <si>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</si>
  <si>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</si>
  <si>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</si>
  <si>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</si>
  <si>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</si>
  <si>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</si>
  <si>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</si>
  <si>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</si>
  <si>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</si>
  <si>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</si>
  <si>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</si>
  <si>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</si>
  <si>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</si>
  <si>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</si>
  <si>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</si>
  <si>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</si>
  <si>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</si>
  <si>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</si>
  <si>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</si>
  <si>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</si>
  <si>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</si>
  <si>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</si>
  <si>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</si>
  <si>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</si>
  <si>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</si>
  <si>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</si>
  <si>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</si>
  <si>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</si>
  <si>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</si>
  <si>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</si>
  <si>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</si>
  <si>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</si>
  <si>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</si>
  <si>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</si>
  <si>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</si>
  <si>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</si>
  <si>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</si>
  <si>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</si>
  <si>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</si>
  <si>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</si>
  <si>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</si>
  <si>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</si>
  <si>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</si>
  <si>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</si>
  <si>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</si>
  <si>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</si>
  <si>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</si>
  <si>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</si>
  <si>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</si>
  <si>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</si>
  <si>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</si>
  <si>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</si>
  <si>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</si>
  <si>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</si>
  <si>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</si>
  <si>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</si>
  <si>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</si>
  <si>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</si>
  <si>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</si>
  <si>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</si>
  <si>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</si>
  <si>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</si>
  <si>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</si>
  <si>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</si>
  <si>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</si>
  <si>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</si>
  <si>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</si>
  <si>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</si>
  <si>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</si>
  <si>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</si>
  <si>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</si>
  <si>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</si>
  <si>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</si>
  <si>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</si>
  <si>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</si>
  <si>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</si>
  <si>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</si>
  <si>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</si>
  <si>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</si>
  <si>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</si>
  <si>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</si>
  <si>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</si>
  <si>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</si>
  <si>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</si>
  <si>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</si>
  <si>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</si>
  <si>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</si>
  <si>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</si>
  <si>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</si>
  <si>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</si>
  <si>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</si>
  <si>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</si>
  <si>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</si>
  <si>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</si>
  <si>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</si>
  <si>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</si>
  <si>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</si>
  <si>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</si>
  <si>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</si>
  <si>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</si>
  <si>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</si>
  <si>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</si>
  <si>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</si>
  <si>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</si>
  <si>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</si>
  <si>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</si>
  <si>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</si>
  <si>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</si>
  <si>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</si>
  <si>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</si>
  <si>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</si>
  <si>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</si>
  <si>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</si>
  <si>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</si>
  <si>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</si>
  <si>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</si>
  <si>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</si>
  <si>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</si>
  <si>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</si>
  <si>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</si>
  <si>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</si>
  <si>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</si>
  <si>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</si>
  <si>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</si>
  <si>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</si>
  <si>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</si>
  <si>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</si>
  <si>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</si>
  <si>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</si>
  <si>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</si>
  <si>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</si>
  <si>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</si>
  <si>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</si>
  <si>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</si>
  <si>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</si>
  <si>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</si>
  <si>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</si>
  <si>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</si>
  <si>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</si>
  <si>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</si>
  <si>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</si>
  <si>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</si>
  <si>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</si>
  <si>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</si>
  <si>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</si>
  <si>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</si>
  <si>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</si>
  <si>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</si>
  <si>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</si>
  <si>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</si>
  <si>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</si>
  <si>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</si>
  <si>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</si>
  <si>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</si>
  <si>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</si>
  <si>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</si>
  <si>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</si>
  <si>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</si>
  <si>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</si>
  <si>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</si>
  <si>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</si>
  <si>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</si>
  <si>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</si>
  <si>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</si>
  <si>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</si>
  <si>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</si>
  <si>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</si>
  <si>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</si>
  <si>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</si>
  <si>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</si>
  <si>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</si>
  <si>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</si>
  <si>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</si>
  <si>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</si>
  <si>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</si>
  <si>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</si>
  <si>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</si>
  <si>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</si>
  <si>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</si>
  <si>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</si>
  <si>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</si>
  <si>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</si>
  <si>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</si>
  <si>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</si>
  <si>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</si>
  <si>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</si>
  <si>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</si>
  <si>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</si>
  <si>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</si>
  <si>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</si>
  <si>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</si>
  <si>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</si>
  <si>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</si>
  <si>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</si>
  <si>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</si>
  <si>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</si>
  <si>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</si>
  <si>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</si>
  <si>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</si>
  <si>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</si>
  <si>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</si>
  <si>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</si>
  <si>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</si>
  <si>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</si>
  <si>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</si>
  <si>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</si>
  <si>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</si>
  <si>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</si>
  <si>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</si>
  <si>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</si>
  <si>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</si>
  <si>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</si>
  <si>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</si>
  <si>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</si>
  <si>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</si>
  <si>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</si>
  <si>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</si>
  <si>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</si>
  <si>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</si>
  <si>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</si>
  <si>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</si>
  <si>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</si>
  <si>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</si>
  <si>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</si>
  <si>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</si>
  <si>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</si>
  <si>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</si>
  <si>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</si>
  <si>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</si>
  <si>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</si>
  <si>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</si>
  <si>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</si>
  <si>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</si>
  <si>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</si>
  <si>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</si>
  <si>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</si>
  <si>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</si>
  <si>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</si>
  <si>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</si>
  <si>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</si>
  <si>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</si>
  <si>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</si>
  <si>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</si>
  <si>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</si>
  <si>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</si>
  <si>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</si>
  <si>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</si>
  <si>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</si>
  <si>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</si>
  <si>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WAS</t>
    </r>
  </si>
  <si>
    <t>Code</t>
  </si>
  <si>
    <t>Nom complet de l'équipe</t>
  </si>
  <si>
    <t>ATL</t>
  </si>
  <si>
    <t>Atlanta Hawks</t>
  </si>
  <si>
    <t>BKN</t>
  </si>
  <si>
    <t>Brooklyn Nets</t>
  </si>
  <si>
    <t>BOS</t>
  </si>
  <si>
    <t>Boston Celtics</t>
  </si>
  <si>
    <t>CHA</t>
  </si>
  <si>
    <t>Charlotte Hornets</t>
  </si>
  <si>
    <t>CHI</t>
  </si>
  <si>
    <t>Chicago Bulls</t>
  </si>
  <si>
    <t>CLE</t>
  </si>
  <si>
    <t>Cleveland Cavaliers</t>
  </si>
  <si>
    <t>DAL</t>
  </si>
  <si>
    <t>Dallas Mavericks</t>
  </si>
  <si>
    <t>DEN</t>
  </si>
  <si>
    <t>Denver Nuggets</t>
  </si>
  <si>
    <t>DET</t>
  </si>
  <si>
    <t>Detroit Pistons</t>
  </si>
  <si>
    <t>GSW</t>
  </si>
  <si>
    <t>Golden State Warriors</t>
  </si>
  <si>
    <t>HOU</t>
  </si>
  <si>
    <t>Houston Rockets</t>
  </si>
  <si>
    <t>IND</t>
  </si>
  <si>
    <t>Indiana Pacers</t>
  </si>
  <si>
    <t>LAC</t>
  </si>
  <si>
    <t>Los Angeles Clippers</t>
  </si>
  <si>
    <t>LAL</t>
  </si>
  <si>
    <t>Los Angeles Lakers</t>
  </si>
  <si>
    <t>MEM</t>
  </si>
  <si>
    <t>Memphis Grizzlies</t>
  </si>
  <si>
    <t>MIA</t>
  </si>
  <si>
    <t>Miami Heat</t>
  </si>
  <si>
    <t>MIL</t>
  </si>
  <si>
    <t>Milwaukee Bucks</t>
  </si>
  <si>
    <t>MIN</t>
  </si>
  <si>
    <t>Minnesota Timberwolves</t>
  </si>
  <si>
    <t>NOP</t>
  </si>
  <si>
    <t>New Orleans Pelicans</t>
  </si>
  <si>
    <t>NYK</t>
  </si>
  <si>
    <t>New York Knicks</t>
  </si>
  <si>
    <t>OKC</t>
  </si>
  <si>
    <t>Oklahoma City Thunder</t>
  </si>
  <si>
    <t>ORL</t>
  </si>
  <si>
    <t>Orlando Magic</t>
  </si>
  <si>
    <t>PHI</t>
  </si>
  <si>
    <t>Philadelphia 76ers</t>
  </si>
  <si>
    <t>PHX</t>
  </si>
  <si>
    <t>Phoenix Suns</t>
  </si>
  <si>
    <t>POR</t>
  </si>
  <si>
    <t>Portland Trail Blazers</t>
  </si>
  <si>
    <t>SAC</t>
  </si>
  <si>
    <t>Sacramento Kings</t>
  </si>
  <si>
    <t>SAS</t>
  </si>
  <si>
    <t>San Antonio Spurs</t>
  </si>
  <si>
    <t>TOR</t>
  </si>
  <si>
    <t>Toronto Raptors</t>
  </si>
  <si>
    <t>UTA</t>
  </si>
  <si>
    <t>Utah Jazz</t>
  </si>
  <si>
    <t>WAS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</si>
  <si>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</si>
  <si>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</si>
  <si>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</si>
  <si>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</si>
  <si>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</si>
  <si>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</si>
  <si>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</si>
  <si>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</si>
  <si>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</si>
  <si>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</si>
  <si>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</si>
  <si>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</si>
  <si>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</si>
  <si>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</si>
  <si>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</si>
  <si>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</si>
  <si>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</si>
  <si>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</si>
  <si>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Pourcentage de réussite aux lancers francs</t>
  </si>
  <si>
    <t>Rebonds offensifs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</si>
  <si>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</si>
  <si>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</si>
  <si>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</si>
  <si>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</si>
  <si>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</si>
  <si>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</si>
  <si>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</si>
  <si>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</si>
  <si>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</si>
  <si>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</si>
  <si>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</si>
  <si>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</si>
  <si>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</si>
  <si>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</si>
  <si>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</si>
  <si>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</si>
  <si>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</si>
  <si>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</si>
  <si>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</si>
  <si>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</si>
  <si>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</si>
  <si>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</si>
  <si>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</si>
  <si>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</si>
  <si>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</si>
  <si>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</si>
  <si>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</si>
  <si>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>Étiquettes de lignes</t>
  </si>
  <si>
    <t>Jalen McDaniels</t>
  </si>
  <si>
    <t>Total général</t>
  </si>
  <si>
    <t>Nombre de Player</t>
  </si>
  <si>
    <t>Nombre de joueurs</t>
  </si>
  <si>
    <t xml:space="preserve">Nombre d'équipes </t>
  </si>
  <si>
    <t>Somme de PTS</t>
  </si>
  <si>
    <t>Somme de OREB</t>
  </si>
  <si>
    <t>Somme de DREB</t>
  </si>
  <si>
    <t>Somme de PIE</t>
  </si>
  <si>
    <t>Somme de AST</t>
  </si>
  <si>
    <t>Somme de STL</t>
  </si>
  <si>
    <t>Somme de BLK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</si>
  <si>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</si>
  <si>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</si>
  <si>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</si>
  <si>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</si>
  <si>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</si>
  <si>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</si>
  <si>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</si>
  <si>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</si>
  <si>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</si>
  <si>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</si>
  <si>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</si>
  <si>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</si>
  <si>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</si>
  <si>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</si>
  <si>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</si>
  <si>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</si>
  <si>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</si>
  <si>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</si>
  <si>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</si>
  <si>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</si>
  <si>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Pourcentage de tirs réussis (FG%)</t>
  </si>
  <si>
    <t>Pourcentage de réussite
aux tirs à 3 points (3P%)</t>
  </si>
  <si>
    <t>Pourcentage de réussite
aux lancers francs(FT%)</t>
  </si>
  <si>
    <t>Rebonds offensifs(OREB)</t>
  </si>
  <si>
    <t>Estimation de l’impact du
joueur(PIE)</t>
  </si>
  <si>
    <t>Analyse du top 15 des joueurs en nombre de points</t>
  </si>
  <si>
    <t xml:space="preserve">Code </t>
  </si>
  <si>
    <t>Nombre de joueurs par équipe</t>
  </si>
  <si>
    <t xml:space="preserve">  Nombre de points total par équipe</t>
  </si>
  <si>
    <t xml:space="preserve">  </t>
  </si>
  <si>
    <t xml:space="preserve">Nombre de joueurs par equipe(Nb.si) </t>
  </si>
  <si>
    <t>Somme PTS d’une équipe (somme.si)</t>
  </si>
  <si>
    <t>Moyenne des points par équipe</t>
  </si>
  <si>
    <t>Tirs réussis par match (FGM)</t>
  </si>
  <si>
    <t xml:space="preserve"> </t>
  </si>
  <si>
    <t>Anthony Edwards</t>
  </si>
  <si>
    <t>Nikola Jokić</t>
  </si>
  <si>
    <t>Averagea de réussite aux tirs FG%</t>
  </si>
  <si>
    <t>Zach LaVine</t>
  </si>
  <si>
    <t>Karl-Anthony Towns</t>
  </si>
  <si>
    <t>TCD Analyse de la saison NBA 2024/2025.</t>
  </si>
  <si>
    <r>
      <t xml:space="preserve"> </t>
    </r>
    <r>
      <rPr>
        <sz val="14"/>
        <color rgb="FF000000"/>
        <rFont val="Arial"/>
        <family val="2"/>
        <scheme val="minor"/>
      </rPr>
      <t>Analyse de la saison de NBA 2024/2025.</t>
    </r>
  </si>
  <si>
    <t>Alondes Williams</t>
  </si>
  <si>
    <t>Ausar Thompson</t>
  </si>
  <si>
    <t>Bobi Klintman</t>
  </si>
  <si>
    <t>Cade Cunningham</t>
  </si>
  <si>
    <t>Daniss Jenkins</t>
  </si>
  <si>
    <t>Dennis Schröder</t>
  </si>
  <si>
    <t>Isaiah Stewart</t>
  </si>
  <si>
    <t>Jaden Ivey</t>
  </si>
  <si>
    <t>Jalen Duren</t>
  </si>
  <si>
    <t>Lindy Waters III</t>
  </si>
  <si>
    <t>Malik Beasley</t>
  </si>
  <si>
    <t>Marcus Sasser</t>
  </si>
  <si>
    <t>Paul Reed</t>
  </si>
  <si>
    <t>Ron Harper Jr,</t>
  </si>
  <si>
    <t>Ronald Holland II</t>
  </si>
  <si>
    <t>Simone Fontecchio</t>
  </si>
  <si>
    <t>Tim Hardaway Jr,</t>
  </si>
  <si>
    <t>Tobias Harris</t>
  </si>
  <si>
    <t>Tolu Smith</t>
  </si>
  <si>
    <t>Analyse de l'équipe Detroit Pistons (DET)</t>
  </si>
  <si>
    <t>Nombre de points totale (PTS)</t>
  </si>
  <si>
    <t>Shai Gilgeous-Alexander</t>
  </si>
  <si>
    <t>Giannis Antetokounmpo</t>
  </si>
  <si>
    <t>Jayson Tatum</t>
  </si>
  <si>
    <t>Tyler Herro</t>
  </si>
  <si>
    <t>Trae Young</t>
  </si>
  <si>
    <t>James Harden</t>
  </si>
  <si>
    <t>Jalen Green</t>
  </si>
  <si>
    <t>Stephen Curry</t>
  </si>
  <si>
    <t>DeMar DeRozan</t>
  </si>
  <si>
    <t>Donovan Mitchell</t>
  </si>
  <si>
    <t>Jalen Brunson</t>
  </si>
  <si>
    <t>Kevin Durant</t>
  </si>
  <si>
    <t>Jaren Jackson Jr,</t>
  </si>
  <si>
    <t>Pascal Siakam</t>
  </si>
  <si>
    <t>Darius Garland</t>
  </si>
  <si>
    <t>Coby White</t>
  </si>
  <si>
    <t>Jalen Williams</t>
  </si>
  <si>
    <t>De'Aaron Fox</t>
  </si>
  <si>
    <t>Alperen Sengun</t>
  </si>
  <si>
    <t>Franz Wagner</t>
  </si>
  <si>
    <t>Damian Lillard</t>
  </si>
  <si>
    <t>Mikal Bridges</t>
  </si>
  <si>
    <t>Jamal Murray</t>
  </si>
  <si>
    <t>Bam Adebayo</t>
  </si>
  <si>
    <t>Michael Porter Jr,</t>
  </si>
  <si>
    <t>Jaylen Brown</t>
  </si>
  <si>
    <t>Jordan Poole</t>
  </si>
  <si>
    <t>Tyrese Maxey</t>
  </si>
  <si>
    <t>Tyrese Haliburton</t>
  </si>
  <si>
    <t>Anfernee Simons</t>
  </si>
  <si>
    <t>Nikola Vučević</t>
  </si>
  <si>
    <t>Ivica Zubac</t>
  </si>
  <si>
    <t>Domantas Sabonis</t>
  </si>
  <si>
    <t>Shaedon Sharpe</t>
  </si>
  <si>
    <t>OG Anunoby</t>
  </si>
  <si>
    <t>Desmond Bane</t>
  </si>
  <si>
    <t>Evan Mobley</t>
  </si>
  <si>
    <t>Norman Powell</t>
  </si>
  <si>
    <t>Miles Bridges</t>
  </si>
  <si>
    <t>Julius Randle</t>
  </si>
  <si>
    <t>Anthony Davis</t>
  </si>
  <si>
    <t>Scottie Barnes</t>
  </si>
  <si>
    <t>Derrick White</t>
  </si>
  <si>
    <t>Kyrie Irving</t>
  </si>
  <si>
    <t>RJ Barrett</t>
  </si>
  <si>
    <t>Deni Avdija</t>
  </si>
  <si>
    <t>Christian Braun</t>
  </si>
  <si>
    <t>Stephon Castle</t>
  </si>
  <si>
    <t>Paolo Banchero</t>
  </si>
  <si>
    <t>LaMelo Ball</t>
  </si>
  <si>
    <t>CJ McCollum</t>
  </si>
  <si>
    <t>Ja Morant</t>
  </si>
  <si>
    <t>Collin Sexton</t>
  </si>
  <si>
    <t>Bennedict Mathurin</t>
  </si>
  <si>
    <t>Payton Pritchard</t>
  </si>
  <si>
    <t>Naz Reid</t>
  </si>
  <si>
    <t>Keyonte George</t>
  </si>
  <si>
    <t>Trey Murphy III</t>
  </si>
  <si>
    <t>Myles Turner</t>
  </si>
  <si>
    <t>Malik Monk</t>
  </si>
  <si>
    <t>Victor Wembanyama</t>
  </si>
  <si>
    <t>Jarrett Allen</t>
  </si>
  <si>
    <t>Quentin Grimes</t>
  </si>
  <si>
    <t>De'Andre Hunter</t>
  </si>
  <si>
    <t>Andrew Wiggins</t>
  </si>
  <si>
    <t>Dyson Daniels</t>
  </si>
  <si>
    <t>Cameron Johnson</t>
  </si>
  <si>
    <t>Dillon Brooks</t>
  </si>
  <si>
    <t>Josh Hart</t>
  </si>
  <si>
    <t>Devin Vassell</t>
  </si>
  <si>
    <t>Brook Lopez</t>
  </si>
  <si>
    <t>Josh Giddey</t>
  </si>
  <si>
    <t>Harrison Barnes</t>
  </si>
  <si>
    <t>Klay Thompson</t>
  </si>
  <si>
    <t>Jaden McDaniels</t>
  </si>
  <si>
    <t>Russell Westbrook</t>
  </si>
  <si>
    <t>Onyeka Okongwu</t>
  </si>
  <si>
    <t>Keldon Johnson</t>
  </si>
  <si>
    <t>Amen Thompson</t>
  </si>
  <si>
    <t>Jimmy Butler III</t>
  </si>
  <si>
    <t>Kyle Kuzma</t>
  </si>
  <si>
    <t>Zaccharie Risacher</t>
  </si>
  <si>
    <t>Keegan Murray</t>
  </si>
  <si>
    <t>Aaron Wiggins</t>
  </si>
  <si>
    <t>Naji Marshall</t>
  </si>
  <si>
    <t>Buddy Hield</t>
  </si>
  <si>
    <t>Kelly Oubre Jr,</t>
  </si>
  <si>
    <t>Bradley Beal</t>
  </si>
  <si>
    <t>Lauri Markkanen</t>
  </si>
  <si>
    <t>Toumani Camara</t>
  </si>
  <si>
    <t>Ty Jerome</t>
  </si>
  <si>
    <t>Alex Sarr</t>
  </si>
  <si>
    <t>Spencer Dinwiddie</t>
  </si>
  <si>
    <t>Rudy Gobert</t>
  </si>
  <si>
    <t>Fred VanVleet</t>
  </si>
  <si>
    <t>Jonas Valančiūnas</t>
  </si>
  <si>
    <t>Scoot Henderson</t>
  </si>
  <si>
    <t>P,J, Washington</t>
  </si>
  <si>
    <t>Keon Johnson</t>
  </si>
  <si>
    <t>Obi Toppin</t>
  </si>
  <si>
    <t>Jakob Poeltl</t>
  </si>
  <si>
    <t>Tyus Jones</t>
  </si>
  <si>
    <t>Jaylen Wells</t>
  </si>
  <si>
    <t>Gary Trent Jr,</t>
  </si>
  <si>
    <t>Kristaps Porziņģis</t>
  </si>
  <si>
    <t>Duncan Robinson</t>
  </si>
  <si>
    <t>Santi Aldama</t>
  </si>
  <si>
    <t>Julian Champagnie</t>
  </si>
  <si>
    <t>Bub Carrington</t>
  </si>
  <si>
    <t>Kawhi Leonard</t>
  </si>
  <si>
    <t>Scotty Pippen Jr,</t>
  </si>
  <si>
    <t>Georges Niang</t>
  </si>
  <si>
    <t>Gradey Dick</t>
  </si>
  <si>
    <t>Derrick Jones Jr,</t>
  </si>
  <si>
    <t>Caris LeVert</t>
  </si>
  <si>
    <t>Brice Sensabaugh</t>
  </si>
  <si>
    <t>Kevin Porter Jr,</t>
  </si>
  <si>
    <t>Nickeil Alexander-Walker</t>
  </si>
  <si>
    <t>Guerschon Yabusele</t>
  </si>
  <si>
    <t>John Collins</t>
  </si>
  <si>
    <t>Isaiah Joe</t>
  </si>
  <si>
    <t>Jalen Wilson</t>
  </si>
  <si>
    <t>Aaron Gordon</t>
  </si>
  <si>
    <t>Brandin Podziemski</t>
  </si>
  <si>
    <t>Max Christie</t>
  </si>
  <si>
    <t>Zion Williamson</t>
  </si>
  <si>
    <t>Anthony Black</t>
  </si>
  <si>
    <t>D'Angelo Russell</t>
  </si>
  <si>
    <t>Bilal Coulibaly</t>
  </si>
  <si>
    <t>Donte DiVincenzo</t>
  </si>
  <si>
    <t>Moses Moody</t>
  </si>
  <si>
    <t>Chris Paul</t>
  </si>
  <si>
    <t>Nic Claxton</t>
  </si>
  <si>
    <t>T,J, McConnell</t>
  </si>
  <si>
    <t>Jonathan Kuminga</t>
  </si>
  <si>
    <t>Luguentz Dort</t>
  </si>
  <si>
    <t>Corey Kispert</t>
  </si>
  <si>
    <t>Daniel Gafford</t>
  </si>
  <si>
    <t>Amir Coffey</t>
  </si>
  <si>
    <t>Jabari Smith Jr,</t>
  </si>
  <si>
    <t>Kyle Filipowski</t>
  </si>
  <si>
    <t>Jrue Holiday</t>
  </si>
  <si>
    <t>Matas Buzelis</t>
  </si>
  <si>
    <t>Tari Eason</t>
  </si>
  <si>
    <t>Royce O'Neale</t>
  </si>
  <si>
    <t>Kevin Huerter</t>
  </si>
  <si>
    <t>Bobby Portis</t>
  </si>
  <si>
    <t>Jalen Johnson</t>
  </si>
  <si>
    <t>Terry Rozier</t>
  </si>
  <si>
    <t>Grayson Allen</t>
  </si>
  <si>
    <t>Jerami Grant</t>
  </si>
  <si>
    <t>Mark Williams</t>
  </si>
  <si>
    <t>Kentavious Caldwell-Pope</t>
  </si>
  <si>
    <t>Ochai Agbaji</t>
  </si>
  <si>
    <t>Paul George</t>
  </si>
  <si>
    <t>Keon Ellis</t>
  </si>
  <si>
    <t>Yves Missi</t>
  </si>
  <si>
    <t>Taurean Prince</t>
  </si>
  <si>
    <t>Andrew Nembhard</t>
  </si>
  <si>
    <t>Walker Kessler</t>
  </si>
  <si>
    <t>Isaiah Hartenstein</t>
  </si>
  <si>
    <t>Cole Anthony</t>
  </si>
  <si>
    <t>Ziaire Williams</t>
  </si>
  <si>
    <t>Wendell Carter Jr,</t>
  </si>
  <si>
    <t>Isaiah Collier</t>
  </si>
  <si>
    <t>Jeremy Sochan</t>
  </si>
  <si>
    <t>Draymond Green</t>
  </si>
  <si>
    <t>Miles McBride</t>
  </si>
  <si>
    <t>Zach Edey</t>
  </si>
  <si>
    <t>Jordan Hawkins</t>
  </si>
  <si>
    <t>Sam Hauser</t>
  </si>
  <si>
    <t>Cam Thomas</t>
  </si>
  <si>
    <t>Jordan Clarkson</t>
  </si>
  <si>
    <t>Kel'el Ware</t>
  </si>
  <si>
    <t>Nick Smith Jr,</t>
  </si>
  <si>
    <t>Kyshawn George</t>
  </si>
  <si>
    <t>Davion Mitchell</t>
  </si>
  <si>
    <t>Julian Strawther</t>
  </si>
  <si>
    <t>Bogdan Bogdanović</t>
  </si>
  <si>
    <t>Mike Conley</t>
  </si>
  <si>
    <t>Luke Kennard</t>
  </si>
  <si>
    <t>Jose Alvarado</t>
  </si>
  <si>
    <t>Deandre Ayton</t>
  </si>
  <si>
    <t>Cason Wallace</t>
  </si>
  <si>
    <t>Johnny Juzang</t>
  </si>
  <si>
    <t>Jaime Jaquez Jr,</t>
  </si>
  <si>
    <t>Jalen Suggs</t>
  </si>
  <si>
    <t>Patrick Williams</t>
  </si>
  <si>
    <t>Brandon Miller</t>
  </si>
  <si>
    <t>Ayo Dosunmu</t>
  </si>
  <si>
    <t>Immanuel Quickley</t>
  </si>
  <si>
    <t>Dalano Banton</t>
  </si>
  <si>
    <t>Peyton Watson</t>
  </si>
  <si>
    <t>Justin Champagnie</t>
  </si>
  <si>
    <t>Dejounte Murray</t>
  </si>
  <si>
    <t>Jared Butler</t>
  </si>
  <si>
    <t>Al Horford</t>
  </si>
  <si>
    <t>AJ Green</t>
  </si>
  <si>
    <t>Aaron Nesmith</t>
  </si>
  <si>
    <t>Jamal Shead</t>
  </si>
  <si>
    <t>Tristan da Silva</t>
  </si>
  <si>
    <t>Ricky Council IV</t>
  </si>
  <si>
    <t>Brandon Clarke</t>
  </si>
  <si>
    <t>Nick Richards</t>
  </si>
  <si>
    <t>Jalen Smith</t>
  </si>
  <si>
    <t>Tyrese Martin</t>
  </si>
  <si>
    <t>Terance Mann</t>
  </si>
  <si>
    <t>Sam Merrill</t>
  </si>
  <si>
    <t>Ryan Dunn</t>
  </si>
  <si>
    <t>Goga Bitadze</t>
  </si>
  <si>
    <t>Josh Green</t>
  </si>
  <si>
    <t>Chris Boucher</t>
  </si>
  <si>
    <t>Cameron Payne</t>
  </si>
  <si>
    <t>Jaden Hardy</t>
  </si>
  <si>
    <t>Nikola Jović</t>
  </si>
  <si>
    <t>Clint Capela</t>
  </si>
  <si>
    <t>Haywood Highsmith</t>
  </si>
  <si>
    <t>Chet Holmgren</t>
  </si>
  <si>
    <t>Cam Whitmore</t>
  </si>
  <si>
    <t>Kris Dunn</t>
  </si>
  <si>
    <t>Max Strus</t>
  </si>
  <si>
    <t>Jarace Walker</t>
  </si>
  <si>
    <t>Jake LaRavia</t>
  </si>
  <si>
    <t>Jusuf Nurkić</t>
  </si>
  <si>
    <t>Joel Embiid</t>
  </si>
  <si>
    <t>Trendon Watford</t>
  </si>
  <si>
    <t>Brandon Boston</t>
  </si>
  <si>
    <t>Trey Lyles</t>
  </si>
  <si>
    <t>Ja'Kobe Walter</t>
  </si>
  <si>
    <t>Justin Edwards</t>
  </si>
  <si>
    <t>Seth Curry</t>
  </si>
  <si>
    <t>Jay Huff</t>
  </si>
  <si>
    <t>Khris Middleton</t>
  </si>
  <si>
    <t>Luke Kornet</t>
  </si>
  <si>
    <t>Donovan Clingan</t>
  </si>
  <si>
    <t>Kenrich Williams</t>
  </si>
  <si>
    <t>Thomas Bryant</t>
  </si>
  <si>
    <t>Jamison Battle</t>
  </si>
  <si>
    <t>Noah Clowney</t>
  </si>
  <si>
    <t>Jeremiah Robinson-Earl</t>
  </si>
  <si>
    <t>Vít Krejčí</t>
  </si>
  <si>
    <t>Zach Collins</t>
  </si>
  <si>
    <t>Trayce Jackson-Davis</t>
  </si>
  <si>
    <t>Moussa Diabaté</t>
  </si>
  <si>
    <t>Gary Payton II</t>
  </si>
  <si>
    <t>Brandon Ingram</t>
  </si>
  <si>
    <t>Day'Ron Sharpe</t>
  </si>
  <si>
    <t>Jonathan Mogbo</t>
  </si>
  <si>
    <t>Moritz Wagner</t>
  </si>
  <si>
    <t>Sandro Mamukelashvili</t>
  </si>
  <si>
    <t>Alex Caruso</t>
  </si>
  <si>
    <t>Kelly Olynyk</t>
  </si>
  <si>
    <t>Jonathan Isaac</t>
  </si>
  <si>
    <t>Talen Horton-Tucker</t>
  </si>
  <si>
    <t>Precious Achiuwa</t>
  </si>
  <si>
    <t>Julian Phillips</t>
  </si>
  <si>
    <t>Kyle Anderson</t>
  </si>
  <si>
    <t>Cody Martin</t>
  </si>
  <si>
    <t>Alec Burks</t>
  </si>
  <si>
    <t>Caleb Martin</t>
  </si>
  <si>
    <t>Tidjane Salaün</t>
  </si>
  <si>
    <t>Garrison Mathews</t>
  </si>
  <si>
    <t>Jared McCain</t>
  </si>
  <si>
    <t>Ryan Rollins</t>
  </si>
  <si>
    <t>Javonte Green</t>
  </si>
  <si>
    <t>Kevon Looney</t>
  </si>
  <si>
    <t>Aaron Holiday</t>
  </si>
  <si>
    <t>Bruce Brown</t>
  </si>
  <si>
    <t>Quinten Post</t>
  </si>
  <si>
    <t>Isaac Okoro</t>
  </si>
  <si>
    <t>Adem Bona</t>
  </si>
  <si>
    <t>Ben Sheppard</t>
  </si>
  <si>
    <t>Svi Mykhailiuk</t>
  </si>
  <si>
    <t>Mason Plumlee</t>
  </si>
  <si>
    <t>Tre Jones</t>
  </si>
  <si>
    <t>Dalen Terry</t>
  </si>
  <si>
    <t>Tristan Vukcevic</t>
  </si>
  <si>
    <t>Karlo Matković</t>
  </si>
  <si>
    <t>Dean Wade</t>
  </si>
  <si>
    <t>DaQuan Jeffries</t>
  </si>
  <si>
    <t>Dereck Lively II</t>
  </si>
  <si>
    <t>Nicolas Batum</t>
  </si>
  <si>
    <t>Jabari Walker</t>
  </si>
  <si>
    <t>Neemias Queta</t>
  </si>
  <si>
    <t>Marcus Smart</t>
  </si>
  <si>
    <t>Malcolm Brogdon</t>
  </si>
  <si>
    <t>Orlando Robinson</t>
  </si>
  <si>
    <t>Antonio Reeves</t>
  </si>
  <si>
    <t>Andre Drummond</t>
  </si>
  <si>
    <t>Kris Murray</t>
  </si>
  <si>
    <t>Jeff Dowtin Jr,</t>
  </si>
  <si>
    <t>Landry Shamet</t>
  </si>
  <si>
    <t>Josh Okogie</t>
  </si>
  <si>
    <t>KJ Simpson</t>
  </si>
  <si>
    <t>Drew Eubanks</t>
  </si>
  <si>
    <t>Jaylin Williams</t>
  </si>
  <si>
    <t>KJ Martin</t>
  </si>
  <si>
    <t>Brandon Williams</t>
  </si>
  <si>
    <t>Vasilije Micić</t>
  </si>
  <si>
    <t>Jett Howard</t>
  </si>
  <si>
    <t>Lonzo Ball</t>
  </si>
  <si>
    <t>Tosan Evbuomwan</t>
  </si>
  <si>
    <t>Eric Gordon</t>
  </si>
  <si>
    <t>Oso Ighodaro</t>
  </si>
  <si>
    <t>Ben Simmons</t>
  </si>
  <si>
    <t>Pelle Larsson</t>
  </si>
  <si>
    <t>Lonnie Walker IV</t>
  </si>
  <si>
    <t>Bol Bol</t>
  </si>
  <si>
    <t>Caleb Houstan</t>
  </si>
  <si>
    <t>A,J, Lawson</t>
  </si>
  <si>
    <t>Malaki Branham</t>
  </si>
  <si>
    <t>Monté Morris</t>
  </si>
  <si>
    <t>Ajay Mitchell</t>
  </si>
  <si>
    <t>Gui Santos</t>
  </si>
  <si>
    <t>Cody Williams</t>
  </si>
  <si>
    <t>Reed Sheppard</t>
  </si>
  <si>
    <t>Richaun Holmes</t>
  </si>
  <si>
    <t>Andre Jackson Jr,</t>
  </si>
  <si>
    <t>Steven Adams</t>
  </si>
  <si>
    <t>Rob Dillingham</t>
  </si>
  <si>
    <t>AJ Johnson</t>
  </si>
  <si>
    <t>Pat Connaughton</t>
  </si>
  <si>
    <t>Blake Wesley</t>
  </si>
  <si>
    <t>GG Jackson</t>
  </si>
  <si>
    <t>DeAndre Jordan</t>
  </si>
  <si>
    <t>Herbert Jones</t>
  </si>
  <si>
    <t>Larry Nance Jr,</t>
  </si>
  <si>
    <t>Olivier-Maxence Prosper</t>
  </si>
  <si>
    <t>Jock Landale</t>
  </si>
  <si>
    <t>Jalen Pickett</t>
  </si>
  <si>
    <t>Kai Jones</t>
  </si>
  <si>
    <t>Mouhamed Gueye</t>
  </si>
  <si>
    <t>Jamal Cain</t>
  </si>
  <si>
    <t>Collin Gillespie</t>
  </si>
  <si>
    <t>Duop Reath</t>
  </si>
  <si>
    <t>Craig Porter Jr,</t>
  </si>
  <si>
    <t>Jae'Sean Tate</t>
  </si>
  <si>
    <t>Tre Mann</t>
  </si>
  <si>
    <t>Zeke Nnaji</t>
  </si>
  <si>
    <t>Vince Williams Jr,</t>
  </si>
  <si>
    <t>Cory Joseph</t>
  </si>
  <si>
    <t>Danté Exum</t>
  </si>
  <si>
    <t>Jeff Green</t>
  </si>
  <si>
    <t>Jaylon Tyson</t>
  </si>
  <si>
    <t>Kessler Edwards</t>
  </si>
  <si>
    <t>Keaton Wallace</t>
  </si>
  <si>
    <t>Grant Williams</t>
  </si>
  <si>
    <t>Jaylen Clark</t>
  </si>
  <si>
    <t>Daniel Theis</t>
  </si>
  <si>
    <t>Micah Potter</t>
  </si>
  <si>
    <t>Quenton Jackson</t>
  </si>
  <si>
    <t>Charles Bassey</t>
  </si>
  <si>
    <t>Colby Jones</t>
  </si>
  <si>
    <t>Rayan Rupert</t>
  </si>
  <si>
    <t>Jevon Carter</t>
  </si>
  <si>
    <t>Trevelin Queen</t>
  </si>
  <si>
    <t>David Roddy</t>
  </si>
  <si>
    <t>Jordan Miller</t>
  </si>
  <si>
    <t>Wendell Moore Jr,</t>
  </si>
  <si>
    <t>Bones Hyland</t>
  </si>
  <si>
    <t>Dominick Barlow</t>
  </si>
  <si>
    <t>Doug McDermott</t>
  </si>
  <si>
    <t>Gary Harris</t>
  </si>
  <si>
    <t>Bismack Biyombo</t>
  </si>
  <si>
    <t>Ousmane Dieng</t>
  </si>
  <si>
    <t>Keion Brooks Jr,</t>
  </si>
  <si>
    <t>Terrence Shannon Jr,</t>
  </si>
  <si>
    <t>Mo Bamba</t>
  </si>
  <si>
    <t>Kyle Lowry</t>
  </si>
  <si>
    <t>Devin Carter</t>
  </si>
  <si>
    <t>Luka Garza</t>
  </si>
  <si>
    <t>Reggie Jackson</t>
  </si>
  <si>
    <t>Marvin Bagley III</t>
  </si>
  <si>
    <t>Isaac Jones</t>
  </si>
  <si>
    <t>Dillon Jones</t>
  </si>
  <si>
    <t>Hunter Tyson</t>
  </si>
  <si>
    <t>Anthony Gill</t>
  </si>
  <si>
    <t>Delon Wright</t>
  </si>
  <si>
    <t>Colin Castleton</t>
  </si>
  <si>
    <t>Kevin Love</t>
  </si>
  <si>
    <t>Branden Carlson</t>
  </si>
  <si>
    <t>Isaiah Wong</t>
  </si>
  <si>
    <t>Josh Minott</t>
  </si>
  <si>
    <t>Jared Rhoden</t>
  </si>
  <si>
    <t>Dwight Powell</t>
  </si>
  <si>
    <t>Robert Williams III</t>
  </si>
  <si>
    <t>Maxwell Lewis</t>
  </si>
  <si>
    <t>Dariq Whitehead</t>
  </si>
  <si>
    <t>Matisse Thybulle</t>
  </si>
  <si>
    <t>Baylor Scheierman</t>
  </si>
  <si>
    <t>Damion Baugh</t>
  </si>
  <si>
    <t>John Konchar</t>
  </si>
  <si>
    <t>Patty Mills</t>
  </si>
  <si>
    <t>Drew Timme</t>
  </si>
  <si>
    <t>Torrey Craig</t>
  </si>
  <si>
    <t>Jaden Springer</t>
  </si>
  <si>
    <t>Jalen Hood-Schifino</t>
  </si>
  <si>
    <t>Taj Gibson</t>
  </si>
  <si>
    <t>Oscar Tshiebwe</t>
  </si>
  <si>
    <t>Cam Spencer</t>
  </si>
  <si>
    <t>Johnny Furphy</t>
  </si>
  <si>
    <t>Pat Spencer</t>
  </si>
  <si>
    <t>Jordan McLaughlin</t>
  </si>
  <si>
    <t>Jericho Sims</t>
  </si>
  <si>
    <t>Reece Beekman</t>
  </si>
  <si>
    <t>Dru Smith</t>
  </si>
  <si>
    <t>Mitchell Robinson</t>
  </si>
  <si>
    <t>Lester Quinones</t>
  </si>
  <si>
    <t>Elfrid Payton</t>
  </si>
  <si>
    <t>Jordan Walsh</t>
  </si>
  <si>
    <t>Damion Lee</t>
  </si>
  <si>
    <t>Tyler Kolek</t>
  </si>
  <si>
    <t>Johnny Davis</t>
  </si>
  <si>
    <t>MarJon Beauchamp</t>
  </si>
  <si>
    <t>Jaylen Martin</t>
  </si>
  <si>
    <t>Alex Reese</t>
  </si>
  <si>
    <t>Kobe Brown</t>
  </si>
  <si>
    <t>Lamar Stevens</t>
  </si>
  <si>
    <t>Moses Brown</t>
  </si>
  <si>
    <t>JT Thor</t>
  </si>
  <si>
    <t>Tristan Thompson</t>
  </si>
  <si>
    <t>Jaylen Nowell</t>
  </si>
  <si>
    <t>Adam Flagler</t>
  </si>
  <si>
    <t>Marcus Bagley</t>
  </si>
  <si>
    <t>Tyler Smith</t>
  </si>
  <si>
    <t>Nate Williams</t>
  </si>
  <si>
    <t>De'Anthony Melton</t>
  </si>
  <si>
    <t>Tony Bradley</t>
  </si>
  <si>
    <t>Markelle Fultz</t>
  </si>
  <si>
    <t>Cole Swider</t>
  </si>
  <si>
    <t>Bruno Fernando</t>
  </si>
  <si>
    <t>Dario Šarić</t>
  </si>
  <si>
    <t>Drew Peterson</t>
  </si>
  <si>
    <t>Tyson Etienne</t>
  </si>
  <si>
    <t>Killian Hayes</t>
  </si>
  <si>
    <t>Garrett Temple</t>
  </si>
  <si>
    <t>Kobe Bufkin</t>
  </si>
  <si>
    <t>Chuma Okeke</t>
  </si>
  <si>
    <t>Patrick Baldwin Jr,</t>
  </si>
  <si>
    <t>Oshae Brissett</t>
  </si>
  <si>
    <t>Ariel Hukporti</t>
  </si>
  <si>
    <t>Enrique Freeman</t>
  </si>
  <si>
    <t>Kevin Knox II</t>
  </si>
  <si>
    <t>Keshad Johnson</t>
  </si>
  <si>
    <t>Daeqwon Plowden</t>
  </si>
  <si>
    <t>Jaylen Sims</t>
  </si>
  <si>
    <t>Pete Nance</t>
  </si>
  <si>
    <t>Emoni Bates</t>
  </si>
  <si>
    <t>Chris Duarte</t>
  </si>
  <si>
    <t>Alex Ducas</t>
  </si>
  <si>
    <t>Nae'Qwan Tomlin</t>
  </si>
  <si>
    <t>Yuki Kawamura</t>
  </si>
  <si>
    <t>TyTy Washington Jr,</t>
  </si>
  <si>
    <t>Isaiah Jackson</t>
  </si>
  <si>
    <t>JD Davison</t>
  </si>
  <si>
    <t>Kylor Kelley</t>
  </si>
  <si>
    <t>Sidy Cissoko</t>
  </si>
  <si>
    <t>Xavier Tillman</t>
  </si>
  <si>
    <t>Josh Richardson</t>
  </si>
  <si>
    <t>Elijah Harkless</t>
  </si>
  <si>
    <t>PJ Hall</t>
  </si>
  <si>
    <t>Trey Alexander</t>
  </si>
  <si>
    <t>Pacôme Dadiet</t>
  </si>
  <si>
    <t>RayJ Dennis</t>
  </si>
  <si>
    <t>Chris Livingston</t>
  </si>
  <si>
    <t>Matt Ryan</t>
  </si>
  <si>
    <t>Marcus Garrett</t>
  </si>
  <si>
    <t>Josh Christopher</t>
  </si>
  <si>
    <t>Spencer Jones</t>
  </si>
  <si>
    <t>Jacob Toppin</t>
  </si>
  <si>
    <t>Jazian Gortman</t>
  </si>
  <si>
    <t>N'Faly Dante</t>
  </si>
  <si>
    <t>Mason Jones</t>
  </si>
  <si>
    <t>Vlatko Čančar</t>
  </si>
  <si>
    <t>Jae Crowder</t>
  </si>
  <si>
    <t>Jackson Rowe</t>
  </si>
  <si>
    <t>E,J, Liddell</t>
  </si>
  <si>
    <t>Leonard Miller</t>
  </si>
  <si>
    <t>Cam Christie</t>
  </si>
  <si>
    <t>Jamaree Bouyea</t>
  </si>
  <si>
    <t>Justin Minaya</t>
  </si>
  <si>
    <t>Malachi Flynn</t>
  </si>
  <si>
    <t>David Duke Jr,</t>
  </si>
  <si>
    <t>Joe Ingles</t>
  </si>
  <si>
    <t>Stanley Umude</t>
  </si>
  <si>
    <t>Taylor Hendricks</t>
  </si>
  <si>
    <t>Isaiah Crawford</t>
  </si>
  <si>
    <t>Jack McVeigh</t>
  </si>
  <si>
    <t>Bryce McGowens</t>
  </si>
  <si>
    <t>Luke Travers</t>
  </si>
  <si>
    <t>Jahmir Young</t>
  </si>
  <si>
    <t>Trentyn Flowers</t>
  </si>
  <si>
    <t>Emanuel Miller</t>
  </si>
  <si>
    <t>Liam Robbins</t>
  </si>
  <si>
    <t>P,J, Tucker</t>
  </si>
  <si>
    <t>Jalen Bridges</t>
  </si>
  <si>
    <t>James Johnson</t>
  </si>
  <si>
    <t>Phillip Wheeler</t>
  </si>
  <si>
    <t>Anton Watson</t>
  </si>
  <si>
    <t>Adama Sanogo</t>
  </si>
  <si>
    <t>PJ Dozier</t>
  </si>
  <si>
    <t>Miles Norris</t>
  </si>
  <si>
    <t>Isaiah Mobley</t>
  </si>
  <si>
    <t>Kevin McCullar Jr,</t>
  </si>
  <si>
    <t>Tazé Moore</t>
  </si>
  <si>
    <t>James Wiseman</t>
  </si>
  <si>
    <t>Ulrich Chomche</t>
  </si>
  <si>
    <t>Skal Labissiere</t>
  </si>
  <si>
    <t>Harrison Ingram</t>
  </si>
  <si>
    <t>D,J, Carton</t>
  </si>
  <si>
    <t>Tristen Newton</t>
  </si>
  <si>
    <t>Cui Yongxi</t>
  </si>
  <si>
    <t>Braxton Key</t>
  </si>
  <si>
    <t>Yuri Collins</t>
  </si>
  <si>
    <t>Malevy Leons</t>
  </si>
  <si>
    <t>Daishen Nix</t>
  </si>
  <si>
    <t>Mac McClung</t>
  </si>
  <si>
    <t>Terry Taylor</t>
  </si>
  <si>
    <t>Jahlil Okafor</t>
  </si>
  <si>
    <t>Terence Davis</t>
  </si>
  <si>
    <t>Jesse Edwards</t>
  </si>
  <si>
    <t>Isaiah Stevens</t>
  </si>
  <si>
    <t>Riley Minix</t>
  </si>
  <si>
    <t>Zyon Pullin</t>
  </si>
  <si>
    <t>Fantasy Points (FP)</t>
  </si>
  <si>
    <t>Evaluation globale de l’impact (PIE)</t>
  </si>
  <si>
    <t>Ratio passes décisives/ pertes de balle (AST/TO)</t>
  </si>
  <si>
    <t>Analyse des joueurs de la NBA</t>
  </si>
  <si>
    <t xml:space="preserve"> Rebonds offensifs (OREB)</t>
  </si>
  <si>
    <t xml:space="preserve"> Rebonds défensifs (DREB)</t>
  </si>
  <si>
    <t xml:space="preserve"> Passes décisives (AST)</t>
  </si>
  <si>
    <t xml:space="preserve"> Interceptions (STL)</t>
  </si>
  <si>
    <t xml:space="preserve"> Evaluation globale de l’impact (PIE)</t>
  </si>
  <si>
    <t xml:space="preserve"> Contres(BLK)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</si>
</sst>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u/>
      <sz val="10"/>
      <color rgb="FF0000FF"/>
      <name val="&quot;Roboto Condensed&quot;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  <scheme val="minor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name val="&quot;Roboto Condensed&quot;"/>
    </font>
    <font>
      <u/>
      <sz val="10"/>
      <color rgb="FF1155CC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8"/>
      <name val="&quot;Roboto Condensed&quot;"/>
    </font>
    <font>
      <b/>
      <sz val="8"/>
      <color rgb="FFFF0000"/>
      <name val="&quot;Roboto Condensed&quot;"/>
    </font>
    <font>
      <sz val="10"/>
      <color rgb="FFFF0000"/>
      <name val="Arial"/>
      <family val="2"/>
      <scheme val="minor"/>
    </font>
    <font>
      <b/>
      <sz val="9"/>
      <color rgb="FF000000"/>
      <name val="Arial"/>
      <family val="2"/>
      <scheme val="major"/>
    </font>
    <font>
      <b/>
      <sz val="9"/>
      <color rgb="FF343232"/>
      <name val="Arial"/>
      <family val="2"/>
      <scheme val="maj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BE9E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BE9E7"/>
      </patternFill>
    </fill>
  </fills>
  <borders count="18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1" xfId="0" applyFont="1" applyFill="1" applyBorder="1" applyAlignment="1">
      <alignment horizontal="right"/>
    </xf>
    <xf numFmtId="0" fontId="8" fillId="0" borderId="3" xfId="0" applyFont="1" applyBorder="1"/>
    <xf numFmtId="20" fontId="8" fillId="0" borderId="3" xfId="0" applyNumberFormat="1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0" fillId="0" borderId="1" xfId="0" applyFont="1" applyBorder="1" applyAlignment="1">
      <alignment horizontal="left"/>
    </xf>
    <xf numFmtId="0" fontId="1" fillId="2" borderId="0" xfId="0" applyFont="1" applyFill="1"/>
    <xf numFmtId="0" fontId="1" fillId="0" borderId="0" xfId="0" applyFont="1"/>
    <xf numFmtId="20" fontId="1" fillId="0" borderId="0" xfId="0" applyNumberFormat="1" applyFont="1"/>
    <xf numFmtId="0" fontId="1" fillId="6" borderId="0" xfId="0" applyFont="1" applyFill="1"/>
    <xf numFmtId="0" fontId="12" fillId="0" borderId="3" xfId="0" applyFont="1" applyBorder="1"/>
    <xf numFmtId="0" fontId="14" fillId="0" borderId="0" xfId="0" applyFont="1"/>
    <xf numFmtId="0" fontId="11" fillId="0" borderId="0" xfId="0" applyFont="1"/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8" fillId="0" borderId="7" xfId="0" applyFont="1" applyBorder="1"/>
    <xf numFmtId="0" fontId="15" fillId="4" borderId="6" xfId="0" applyFont="1" applyFill="1" applyBorder="1" applyAlignment="1">
      <alignment horizontal="center" vertical="center"/>
    </xf>
    <xf numFmtId="0" fontId="8" fillId="7" borderId="3" xfId="0" applyFont="1" applyFill="1" applyBorder="1"/>
    <xf numFmtId="0" fontId="8" fillId="9" borderId="3" xfId="0" applyFont="1" applyFill="1" applyBorder="1"/>
    <xf numFmtId="0" fontId="12" fillId="9" borderId="3" xfId="0" applyFont="1" applyFill="1" applyBorder="1"/>
    <xf numFmtId="0" fontId="11" fillId="9" borderId="3" xfId="0" applyFont="1" applyFill="1" applyBorder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0" xfId="0" applyFill="1"/>
    <xf numFmtId="0" fontId="14" fillId="10" borderId="0" xfId="0" applyFont="1" applyFill="1"/>
    <xf numFmtId="0" fontId="18" fillId="10" borderId="0" xfId="0" applyFont="1" applyFill="1" applyAlignment="1">
      <alignment horizontal="left"/>
    </xf>
    <xf numFmtId="0" fontId="19" fillId="11" borderId="0" xfId="0" applyFont="1" applyFill="1"/>
    <xf numFmtId="0" fontId="12" fillId="7" borderId="3" xfId="0" applyFont="1" applyFill="1" applyBorder="1"/>
    <xf numFmtId="0" fontId="20" fillId="5" borderId="0" xfId="0" applyFont="1" applyFill="1"/>
    <xf numFmtId="0" fontId="20" fillId="2" borderId="0" xfId="0" applyFont="1" applyFill="1"/>
    <xf numFmtId="0" fontId="20" fillId="0" borderId="0" xfId="0" applyFont="1"/>
    <xf numFmtId="0" fontId="14" fillId="8" borderId="6" xfId="0" applyFont="1" applyFill="1" applyBorder="1"/>
    <xf numFmtId="0" fontId="0" fillId="8" borderId="6" xfId="0" applyFill="1" applyBorder="1"/>
    <xf numFmtId="0" fontId="0" fillId="9" borderId="6" xfId="0" applyFill="1" applyBorder="1"/>
    <xf numFmtId="0" fontId="12" fillId="0" borderId="0" xfId="0" applyFont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1" fillId="0" borderId="0" xfId="0" applyFont="1"/>
    <xf numFmtId="164" fontId="3" fillId="0" borderId="0" xfId="0" applyNumberFormat="1" applyFont="1" applyAlignment="1">
      <alignment horizontal="left"/>
    </xf>
    <xf numFmtId="164" fontId="0" fillId="9" borderId="6" xfId="0" applyNumberFormat="1" applyFill="1" applyBorder="1"/>
    <xf numFmtId="0" fontId="24" fillId="10" borderId="0" xfId="0" applyFont="1" applyFill="1"/>
    <xf numFmtId="0" fontId="25" fillId="0" borderId="0" xfId="0" applyFont="1"/>
    <xf numFmtId="0" fontId="26" fillId="10" borderId="0" xfId="0" applyFont="1" applyFill="1"/>
    <xf numFmtId="0" fontId="25" fillId="10" borderId="0" xfId="0" applyFont="1" applyFill="1"/>
    <xf numFmtId="0" fontId="25" fillId="10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5" fillId="10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5" fillId="10" borderId="17" xfId="0" applyFont="1" applyFill="1" applyBorder="1" applyAlignment="1">
      <alignment horizontal="center" vertical="center" wrapText="1"/>
    </xf>
    <xf numFmtId="0" fontId="14" fillId="0" borderId="15" xfId="0" applyFont="1" applyBorder="1"/>
    <xf numFmtId="0" fontId="14" fillId="0" borderId="16" xfId="0" applyFont="1" applyBorder="1"/>
    <xf numFmtId="0" fontId="0" fillId="0" borderId="0" xfId="0" applyAlignment="1">
      <alignment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8" borderId="3" xfId="0" applyFont="1" applyFill="1" applyBorder="1"/>
    <xf numFmtId="0" fontId="12" fillId="8" borderId="3" xfId="0" applyFont="1" applyFill="1" applyBorder="1"/>
    <xf numFmtId="0" fontId="7" fillId="4" borderId="4" xfId="0" applyFont="1" applyFill="1" applyBorder="1" applyAlignment="1">
      <alignment horizontal="center" vertical="center"/>
    </xf>
    <xf numFmtId="0" fontId="9" fillId="0" borderId="5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/>
              <a:t>Visualisation des équipes NBA : points totaux vs. nombre de joueurs</a:t>
            </a:r>
            <a:endParaRPr lang="fr-FR" sz="1400" b="1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5379976357917095E-2"/>
          <c:y val="0.17797157622739018"/>
          <c:w val="0.86531960222529436"/>
          <c:h val="0.4524873344320332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'Analyse de la saison NBA'!$D$4</c:f>
              <c:strCache>
                <c:ptCount val="1"/>
                <c:pt idx="0">
                  <c:v>  Nombre de points total par équipe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'Analyse de la saison NBA'!$B$5:$B$34</c:f>
              <c:strCache>
                <c:ptCount val="30"/>
                <c:pt idx="0">
                  <c:v>Atlanta Hawks</c:v>
                </c:pt>
                <c:pt idx="1">
                  <c:v>Brooklyn Nets</c:v>
                </c:pt>
                <c:pt idx="2">
                  <c:v>Boston Celtics</c:v>
                </c:pt>
                <c:pt idx="3">
                  <c:v>Charlotte Hornets</c:v>
                </c:pt>
                <c:pt idx="4">
                  <c:v>Chicago Bulls</c:v>
                </c:pt>
                <c:pt idx="5">
                  <c:v>Cleveland Cavaliers</c:v>
                </c:pt>
                <c:pt idx="6">
                  <c:v>Dallas Mavericks</c:v>
                </c:pt>
                <c:pt idx="7">
                  <c:v>Denver Nuggets</c:v>
                </c:pt>
                <c:pt idx="8">
                  <c:v>Detroit Pistons</c:v>
                </c:pt>
                <c:pt idx="9">
                  <c:v>Golden State Warriors</c:v>
                </c:pt>
                <c:pt idx="10">
                  <c:v>Houston Rockets</c:v>
                </c:pt>
                <c:pt idx="11">
                  <c:v>Indiana Pacers</c:v>
                </c:pt>
                <c:pt idx="12">
                  <c:v>Los Angeles Clippers</c:v>
                </c:pt>
                <c:pt idx="13">
                  <c:v>Los Angeles Lakers</c:v>
                </c:pt>
                <c:pt idx="14">
                  <c:v>Memphis Grizzlies</c:v>
                </c:pt>
                <c:pt idx="15">
                  <c:v>Miami Heat</c:v>
                </c:pt>
                <c:pt idx="16">
                  <c:v>Milwaukee Bucks</c:v>
                </c:pt>
                <c:pt idx="17">
                  <c:v>Minnesota Timberwolves</c:v>
                </c:pt>
                <c:pt idx="18">
                  <c:v>New Orleans Pelicans</c:v>
                </c:pt>
                <c:pt idx="19">
                  <c:v>New York Knicks</c:v>
                </c:pt>
                <c:pt idx="20">
                  <c:v>Oklahoma City Thunder</c:v>
                </c:pt>
                <c:pt idx="21">
                  <c:v>Orlando Magic</c:v>
                </c:pt>
                <c:pt idx="22">
                  <c:v>Philadelphia 76ers</c:v>
                </c:pt>
                <c:pt idx="23">
                  <c:v>Phoenix Suns</c:v>
                </c:pt>
                <c:pt idx="24">
                  <c:v>Portland Trail Blazers</c:v>
                </c:pt>
                <c:pt idx="25">
                  <c:v>Sacramento Kings</c:v>
                </c:pt>
                <c:pt idx="26">
                  <c:v>San Antonio Spurs</c:v>
                </c:pt>
                <c:pt idx="27">
                  <c:v>Toronto Raptors</c:v>
                </c:pt>
                <c:pt idx="28">
                  <c:v>Utah Jazz</c:v>
                </c:pt>
                <c:pt idx="29">
                  <c:v>Washington Wizards</c:v>
                </c:pt>
              </c:strCache>
            </c:strRef>
          </c:cat>
          <c:val>
            <c:numRef>
              <c:f>'Analyse de la saison NBA'!$D$5:$D$34</c:f>
              <c:numCache>
                <c:formatCode>General</c:formatCode>
                <c:ptCount val="30"/>
                <c:pt idx="0">
                  <c:v>9689</c:v>
                </c:pt>
                <c:pt idx="1">
                  <c:v>7999</c:v>
                </c:pt>
                <c:pt idx="2">
                  <c:v>9551</c:v>
                </c:pt>
                <c:pt idx="3">
                  <c:v>8278</c:v>
                </c:pt>
                <c:pt idx="4">
                  <c:v>9230</c:v>
                </c:pt>
                <c:pt idx="5">
                  <c:v>10180</c:v>
                </c:pt>
                <c:pt idx="6">
                  <c:v>9970</c:v>
                </c:pt>
                <c:pt idx="7">
                  <c:v>9899</c:v>
                </c:pt>
                <c:pt idx="8">
                  <c:v>10292</c:v>
                </c:pt>
                <c:pt idx="9">
                  <c:v>8288</c:v>
                </c:pt>
                <c:pt idx="10">
                  <c:v>9515</c:v>
                </c:pt>
                <c:pt idx="11">
                  <c:v>9630</c:v>
                </c:pt>
                <c:pt idx="12">
                  <c:v>9050</c:v>
                </c:pt>
                <c:pt idx="13">
                  <c:v>8691</c:v>
                </c:pt>
                <c:pt idx="14">
                  <c:v>9552</c:v>
                </c:pt>
                <c:pt idx="15">
                  <c:v>9828</c:v>
                </c:pt>
                <c:pt idx="16">
                  <c:v>10016</c:v>
                </c:pt>
                <c:pt idx="17">
                  <c:v>9523</c:v>
                </c:pt>
                <c:pt idx="18">
                  <c:v>8763</c:v>
                </c:pt>
                <c:pt idx="19">
                  <c:v>9540</c:v>
                </c:pt>
                <c:pt idx="20">
                  <c:v>9880</c:v>
                </c:pt>
                <c:pt idx="21">
                  <c:v>8648</c:v>
                </c:pt>
                <c:pt idx="22">
                  <c:v>9142</c:v>
                </c:pt>
                <c:pt idx="23">
                  <c:v>9719</c:v>
                </c:pt>
                <c:pt idx="24">
                  <c:v>9113</c:v>
                </c:pt>
                <c:pt idx="25">
                  <c:v>9786</c:v>
                </c:pt>
                <c:pt idx="26">
                  <c:v>10198</c:v>
                </c:pt>
                <c:pt idx="27">
                  <c:v>8963</c:v>
                </c:pt>
                <c:pt idx="28">
                  <c:v>9096</c:v>
                </c:pt>
                <c:pt idx="29">
                  <c:v>7986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B-4B47-9406-D4A89B83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423490656"/>
        <c:axId val="1423474816"/>
      </c:barChart>
      <c:lineChart>
        <c:grouping val="standard"/>
        <c:varyColors val="0"/>
        <c:ser>
          <c:idx val="0"/>
          <c:order val="0"/>
          <c:tx>
            <c:strRef>
              <c:f>'Analyse de la saison NBA'!$C$4</c:f>
              <c:strCache>
                <c:ptCount val="1"/>
                <c:pt idx="0">
                  <c:v>Nombre de joueurs par équipe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'Analyse de la saison NBA'!$B$5:$B$34</c:f>
              <c:strCache>
                <c:ptCount val="30"/>
                <c:pt idx="0">
                  <c:v>Atlanta Hawks</c:v>
                </c:pt>
                <c:pt idx="1">
                  <c:v>Brooklyn Nets</c:v>
                </c:pt>
                <c:pt idx="2">
                  <c:v>Boston Celtics</c:v>
                </c:pt>
                <c:pt idx="3">
                  <c:v>Charlotte Hornets</c:v>
                </c:pt>
                <c:pt idx="4">
                  <c:v>Chicago Bulls</c:v>
                </c:pt>
                <c:pt idx="5">
                  <c:v>Cleveland Cavaliers</c:v>
                </c:pt>
                <c:pt idx="6">
                  <c:v>Dallas Mavericks</c:v>
                </c:pt>
                <c:pt idx="7">
                  <c:v>Denver Nuggets</c:v>
                </c:pt>
                <c:pt idx="8">
                  <c:v>Detroit Pistons</c:v>
                </c:pt>
                <c:pt idx="9">
                  <c:v>Golden State Warriors</c:v>
                </c:pt>
                <c:pt idx="10">
                  <c:v>Houston Rockets</c:v>
                </c:pt>
                <c:pt idx="11">
                  <c:v>Indiana Pacers</c:v>
                </c:pt>
                <c:pt idx="12">
                  <c:v>Los Angeles Clippers</c:v>
                </c:pt>
                <c:pt idx="13">
                  <c:v>Los Angeles Lakers</c:v>
                </c:pt>
                <c:pt idx="14">
                  <c:v>Memphis Grizzlies</c:v>
                </c:pt>
                <c:pt idx="15">
                  <c:v>Miami Heat</c:v>
                </c:pt>
                <c:pt idx="16">
                  <c:v>Milwaukee Bucks</c:v>
                </c:pt>
                <c:pt idx="17">
                  <c:v>Minnesota Timberwolves</c:v>
                </c:pt>
                <c:pt idx="18">
                  <c:v>New Orleans Pelicans</c:v>
                </c:pt>
                <c:pt idx="19">
                  <c:v>New York Knicks</c:v>
                </c:pt>
                <c:pt idx="20">
                  <c:v>Oklahoma City Thunder</c:v>
                </c:pt>
                <c:pt idx="21">
                  <c:v>Orlando Magic</c:v>
                </c:pt>
                <c:pt idx="22">
                  <c:v>Philadelphia 76ers</c:v>
                </c:pt>
                <c:pt idx="23">
                  <c:v>Phoenix Suns</c:v>
                </c:pt>
                <c:pt idx="24">
                  <c:v>Portland Trail Blazers</c:v>
                </c:pt>
                <c:pt idx="25">
                  <c:v>Sacramento Kings</c:v>
                </c:pt>
                <c:pt idx="26">
                  <c:v>San Antonio Spurs</c:v>
                </c:pt>
                <c:pt idx="27">
                  <c:v>Toronto Raptors</c:v>
                </c:pt>
                <c:pt idx="28">
                  <c:v>Utah Jazz</c:v>
                </c:pt>
                <c:pt idx="29">
                  <c:v>Washington Wizards</c:v>
                </c:pt>
              </c:strCache>
            </c:strRef>
          </c:cat>
          <c:val>
            <c:numRef>
              <c:f>'Analyse de la saison NBA'!$C$5:$C$34</c:f>
              <c:numCache>
                <c:formatCode>General</c:formatCode>
                <c:ptCount val="30"/>
                <c:pt idx="0">
                  <c:v>18</c:v>
                </c:pt>
                <c:pt idx="1">
                  <c:v>20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19</c:v>
                </c:pt>
                <c:pt idx="7">
                  <c:v>17</c:v>
                </c:pt>
                <c:pt idx="8">
                  <c:v>19</c:v>
                </c:pt>
                <c:pt idx="9">
                  <c:v>17</c:v>
                </c:pt>
                <c:pt idx="10">
                  <c:v>18</c:v>
                </c:pt>
                <c:pt idx="11">
                  <c:v>20</c:v>
                </c:pt>
                <c:pt idx="12">
                  <c:v>17</c:v>
                </c:pt>
                <c:pt idx="13">
                  <c:v>20</c:v>
                </c:pt>
                <c:pt idx="14">
                  <c:v>18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22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23</c:v>
                </c:pt>
                <c:pt idx="23">
                  <c:v>18</c:v>
                </c:pt>
                <c:pt idx="24">
                  <c:v>19</c:v>
                </c:pt>
                <c:pt idx="25">
                  <c:v>19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3B-4B47-9406-D4A89B839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481536"/>
        <c:axId val="1423492096"/>
      </c:lineChart>
      <c:catAx>
        <c:axId val="142349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Team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3474816"/>
        <c:crosses val="autoZero"/>
        <c:auto val="1"/>
        <c:lblAlgn val="ctr"/>
        <c:lblOffset val="100"/>
        <c:noMultiLvlLbl val="0"/>
      </c:catAx>
      <c:valAx>
        <c:axId val="14234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3490656"/>
        <c:crosses val="autoZero"/>
        <c:crossBetween val="between"/>
      </c:valAx>
      <c:valAx>
        <c:axId val="1423492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3481536"/>
        <c:crosses val="max"/>
        <c:crossBetween val="between"/>
      </c:valAx>
      <c:catAx>
        <c:axId val="1423481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3492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299623329526558"/>
          <c:y val="9.3086837982461493E-2"/>
          <c:w val="0.75457800895326044"/>
          <c:h val="5.1516561883252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Analyse des rebonds de l'équipe Detroit Pistons (DET)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266258384368617E-2"/>
          <c:y val="0.2438582412314505"/>
          <c:w val="0.88008544765237684"/>
          <c:h val="0.50719414361802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'Analyse de équipe  DET '!$B$3</c:f>
              <c:strCache>
                <c:ptCount val="1"/>
                <c:pt idx="0">
                  <c:v> Rebonds offensifs (OREB)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de équipe  DET '!$A$4:$A$22</c:f>
              <c:strCache>
                <c:ptCount val="19"/>
                <c:pt idx="0">
                  <c:v>Alondes Williams</c:v>
                </c:pt>
                <c:pt idx="1">
                  <c:v>Ausar Thompson</c:v>
                </c:pt>
                <c:pt idx="2">
                  <c:v>Bobi Klintman</c:v>
                </c:pt>
                <c:pt idx="3">
                  <c:v>Cade Cunningham</c:v>
                </c:pt>
                <c:pt idx="4">
                  <c:v>Daniss Jenkins</c:v>
                </c:pt>
                <c:pt idx="5">
                  <c:v>Dennis Schröder</c:v>
                </c:pt>
                <c:pt idx="6">
                  <c:v>Isaiah Stewart</c:v>
                </c:pt>
                <c:pt idx="7">
                  <c:v>Jaden Ivey</c:v>
                </c:pt>
                <c:pt idx="8">
                  <c:v>Jalen Duren</c:v>
                </c:pt>
                <c:pt idx="9">
                  <c:v>Lindy Waters III</c:v>
                </c:pt>
                <c:pt idx="10">
                  <c:v>Malik Beasley</c:v>
                </c:pt>
                <c:pt idx="11">
                  <c:v>Marcus Sasser</c:v>
                </c:pt>
                <c:pt idx="12">
                  <c:v>Paul Reed</c:v>
                </c:pt>
                <c:pt idx="13">
                  <c:v>Ron Harper Jr,</c:v>
                </c:pt>
                <c:pt idx="14">
                  <c:v>Ronald Holland II</c:v>
                </c:pt>
                <c:pt idx="15">
                  <c:v>Simone Fontecchio</c:v>
                </c:pt>
                <c:pt idx="16">
                  <c:v>Tim Hardaway Jr,</c:v>
                </c:pt>
                <c:pt idx="17">
                  <c:v>Tobias Harris</c:v>
                </c:pt>
                <c:pt idx="18">
                  <c:v>Tolu Smith</c:v>
                </c:pt>
              </c:strCache>
            </c:strRef>
          </c:cat>
          <c:val>
            <c:numRef>
              <c:f>'Analyse de équipe  DET '!$B$4:$B$22</c:f>
              <c:numCache>
                <c:formatCode>General</c:formatCode>
                <c:ptCount val="19"/>
                <c:pt idx="0">
                  <c:v>0</c:v>
                </c:pt>
                <c:pt idx="1">
                  <c:v>112</c:v>
                </c:pt>
                <c:pt idx="2">
                  <c:v>1</c:v>
                </c:pt>
                <c:pt idx="3">
                  <c:v>56</c:v>
                </c:pt>
                <c:pt idx="4">
                  <c:v>0</c:v>
                </c:pt>
                <c:pt idx="5">
                  <c:v>30</c:v>
                </c:pt>
                <c:pt idx="6">
                  <c:v>130</c:v>
                </c:pt>
                <c:pt idx="7">
                  <c:v>39</c:v>
                </c:pt>
                <c:pt idx="8">
                  <c:v>281</c:v>
                </c:pt>
                <c:pt idx="9">
                  <c:v>21</c:v>
                </c:pt>
                <c:pt idx="10">
                  <c:v>49</c:v>
                </c:pt>
                <c:pt idx="11">
                  <c:v>17</c:v>
                </c:pt>
                <c:pt idx="12">
                  <c:v>41</c:v>
                </c:pt>
                <c:pt idx="13">
                  <c:v>4</c:v>
                </c:pt>
                <c:pt idx="14">
                  <c:v>41</c:v>
                </c:pt>
                <c:pt idx="15">
                  <c:v>53</c:v>
                </c:pt>
                <c:pt idx="16">
                  <c:v>15</c:v>
                </c:pt>
                <c:pt idx="17">
                  <c:v>66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E-42B6-BE2E-30163D0CB8B6}"/>
            </c:ext>
          </c:extLst>
        </c:ser>
        <c:ser>
          <c:idx val="1"/>
          <c:order val="1"/>
          <c:tx>
            <c:strRef>
              <c:f>'Analyse de équipe  DET '!$C$3</c:f>
              <c:strCache>
                <c:ptCount val="1"/>
                <c:pt idx="0">
                  <c:v> Rebonds défensifs (DREB)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'Analyse de équipe  DET '!$A$4:$A$22</c:f>
              <c:strCache>
                <c:ptCount val="19"/>
                <c:pt idx="0">
                  <c:v>Alondes Williams</c:v>
                </c:pt>
                <c:pt idx="1">
                  <c:v>Ausar Thompson</c:v>
                </c:pt>
                <c:pt idx="2">
                  <c:v>Bobi Klintman</c:v>
                </c:pt>
                <c:pt idx="3">
                  <c:v>Cade Cunningham</c:v>
                </c:pt>
                <c:pt idx="4">
                  <c:v>Daniss Jenkins</c:v>
                </c:pt>
                <c:pt idx="5">
                  <c:v>Dennis Schröder</c:v>
                </c:pt>
                <c:pt idx="6">
                  <c:v>Isaiah Stewart</c:v>
                </c:pt>
                <c:pt idx="7">
                  <c:v>Jaden Ivey</c:v>
                </c:pt>
                <c:pt idx="8">
                  <c:v>Jalen Duren</c:v>
                </c:pt>
                <c:pt idx="9">
                  <c:v>Lindy Waters III</c:v>
                </c:pt>
                <c:pt idx="10">
                  <c:v>Malik Beasley</c:v>
                </c:pt>
                <c:pt idx="11">
                  <c:v>Marcus Sasser</c:v>
                </c:pt>
                <c:pt idx="12">
                  <c:v>Paul Reed</c:v>
                </c:pt>
                <c:pt idx="13">
                  <c:v>Ron Harper Jr,</c:v>
                </c:pt>
                <c:pt idx="14">
                  <c:v>Ronald Holland II</c:v>
                </c:pt>
                <c:pt idx="15">
                  <c:v>Simone Fontecchio</c:v>
                </c:pt>
                <c:pt idx="16">
                  <c:v>Tim Hardaway Jr,</c:v>
                </c:pt>
                <c:pt idx="17">
                  <c:v>Tobias Harris</c:v>
                </c:pt>
                <c:pt idx="18">
                  <c:v>Tolu Smith</c:v>
                </c:pt>
              </c:strCache>
            </c:strRef>
          </c:cat>
          <c:val>
            <c:numRef>
              <c:f>'Analyse de équipe  DET '!$C$4:$C$22</c:f>
              <c:numCache>
                <c:formatCode>General</c:formatCode>
                <c:ptCount val="19"/>
                <c:pt idx="0">
                  <c:v>0</c:v>
                </c:pt>
                <c:pt idx="1">
                  <c:v>195</c:v>
                </c:pt>
                <c:pt idx="2">
                  <c:v>6</c:v>
                </c:pt>
                <c:pt idx="3">
                  <c:v>371</c:v>
                </c:pt>
                <c:pt idx="4">
                  <c:v>2</c:v>
                </c:pt>
                <c:pt idx="5">
                  <c:v>173</c:v>
                </c:pt>
                <c:pt idx="6">
                  <c:v>266</c:v>
                </c:pt>
                <c:pt idx="7">
                  <c:v>84</c:v>
                </c:pt>
                <c:pt idx="8">
                  <c:v>530</c:v>
                </c:pt>
                <c:pt idx="9">
                  <c:v>88</c:v>
                </c:pt>
                <c:pt idx="10">
                  <c:v>164</c:v>
                </c:pt>
                <c:pt idx="11">
                  <c:v>51</c:v>
                </c:pt>
                <c:pt idx="12">
                  <c:v>81</c:v>
                </c:pt>
                <c:pt idx="13">
                  <c:v>3</c:v>
                </c:pt>
                <c:pt idx="14">
                  <c:v>178</c:v>
                </c:pt>
                <c:pt idx="15">
                  <c:v>165</c:v>
                </c:pt>
                <c:pt idx="16">
                  <c:v>162</c:v>
                </c:pt>
                <c:pt idx="17">
                  <c:v>365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E-42B6-BE2E-30163D0CB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507519"/>
        <c:axId val="876509439"/>
      </c:barChart>
      <c:lineChart>
        <c:grouping val="standard"/>
        <c:varyColors val="0"/>
        <c:ser>
          <c:idx val="2"/>
          <c:order val="2"/>
          <c:tx>
            <c:strRef>
              <c:f>'Analyse de équipe  DET '!$D$3</c:f>
              <c:strCache>
                <c:ptCount val="1"/>
                <c:pt idx="0">
                  <c:v> Evaluation globale de l’impact (PIE)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'Analyse de équipe  DET '!$A$4:$A$22</c:f>
              <c:strCache>
                <c:ptCount val="19"/>
                <c:pt idx="0">
                  <c:v>Alondes Williams</c:v>
                </c:pt>
                <c:pt idx="1">
                  <c:v>Ausar Thompson</c:v>
                </c:pt>
                <c:pt idx="2">
                  <c:v>Bobi Klintman</c:v>
                </c:pt>
                <c:pt idx="3">
                  <c:v>Cade Cunningham</c:v>
                </c:pt>
                <c:pt idx="4">
                  <c:v>Daniss Jenkins</c:v>
                </c:pt>
                <c:pt idx="5">
                  <c:v>Dennis Schröder</c:v>
                </c:pt>
                <c:pt idx="6">
                  <c:v>Isaiah Stewart</c:v>
                </c:pt>
                <c:pt idx="7">
                  <c:v>Jaden Ivey</c:v>
                </c:pt>
                <c:pt idx="8">
                  <c:v>Jalen Duren</c:v>
                </c:pt>
                <c:pt idx="9">
                  <c:v>Lindy Waters III</c:v>
                </c:pt>
                <c:pt idx="10">
                  <c:v>Malik Beasley</c:v>
                </c:pt>
                <c:pt idx="11">
                  <c:v>Marcus Sasser</c:v>
                </c:pt>
                <c:pt idx="12">
                  <c:v>Paul Reed</c:v>
                </c:pt>
                <c:pt idx="13">
                  <c:v>Ron Harper Jr,</c:v>
                </c:pt>
                <c:pt idx="14">
                  <c:v>Ronald Holland II</c:v>
                </c:pt>
                <c:pt idx="15">
                  <c:v>Simone Fontecchio</c:v>
                </c:pt>
                <c:pt idx="16">
                  <c:v>Tim Hardaway Jr,</c:v>
                </c:pt>
                <c:pt idx="17">
                  <c:v>Tobias Harris</c:v>
                </c:pt>
                <c:pt idx="18">
                  <c:v>Tolu Smith</c:v>
                </c:pt>
              </c:strCache>
            </c:strRef>
          </c:cat>
          <c:val>
            <c:numRef>
              <c:f>'Analyse de équipe  DET '!$D$4:$D$22</c:f>
              <c:numCache>
                <c:formatCode>General</c:formatCode>
                <c:ptCount val="19"/>
                <c:pt idx="0">
                  <c:v>40</c:v>
                </c:pt>
                <c:pt idx="1">
                  <c:v>10.4</c:v>
                </c:pt>
                <c:pt idx="2">
                  <c:v>9.5</c:v>
                </c:pt>
                <c:pt idx="3">
                  <c:v>15.2</c:v>
                </c:pt>
                <c:pt idx="4">
                  <c:v>0</c:v>
                </c:pt>
                <c:pt idx="5">
                  <c:v>9.1</c:v>
                </c:pt>
                <c:pt idx="6">
                  <c:v>9.6</c:v>
                </c:pt>
                <c:pt idx="7">
                  <c:v>9.9</c:v>
                </c:pt>
                <c:pt idx="8">
                  <c:v>14</c:v>
                </c:pt>
                <c:pt idx="9">
                  <c:v>6.1</c:v>
                </c:pt>
                <c:pt idx="10">
                  <c:v>9.1</c:v>
                </c:pt>
                <c:pt idx="11">
                  <c:v>9.5</c:v>
                </c:pt>
                <c:pt idx="12">
                  <c:v>11.5</c:v>
                </c:pt>
                <c:pt idx="13">
                  <c:v>7.1</c:v>
                </c:pt>
                <c:pt idx="14">
                  <c:v>7.8</c:v>
                </c:pt>
                <c:pt idx="15">
                  <c:v>6.8</c:v>
                </c:pt>
                <c:pt idx="16">
                  <c:v>6.6</c:v>
                </c:pt>
                <c:pt idx="17">
                  <c:v>10</c:v>
                </c:pt>
                <c:pt idx="18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DE-42B6-BE2E-30163D0CB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516639"/>
        <c:axId val="876510399"/>
      </c:lineChart>
      <c:catAx>
        <c:axId val="876507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Players</a:t>
                </a:r>
              </a:p>
            </c:rich>
          </c:tx>
          <c:layout>
            <c:manualLayout>
              <c:xMode val="edge"/>
              <c:yMode val="edge"/>
              <c:x val="0.44550601064369716"/>
              <c:y val="0.95242782152230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509439"/>
        <c:crosses val="autoZero"/>
        <c:auto val="1"/>
        <c:lblAlgn val="ctr"/>
        <c:lblOffset val="100"/>
        <c:noMultiLvlLbl val="0"/>
      </c:catAx>
      <c:valAx>
        <c:axId val="87650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507519"/>
        <c:crosses val="autoZero"/>
        <c:crossBetween val="between"/>
      </c:valAx>
      <c:valAx>
        <c:axId val="8765103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516639"/>
        <c:crosses val="max"/>
        <c:crossBetween val="between"/>
      </c:valAx>
      <c:catAx>
        <c:axId val="876516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6510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Analyse des passes décisives,Interceptions et contres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2216201982385786E-2"/>
          <c:y val="0.23879794175925637"/>
          <c:w val="0.88279637755204265"/>
          <c:h val="0.5141265444586224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'Analyse de équipe  DET '!$E$3</c:f>
              <c:strCache>
                <c:ptCount val="1"/>
                <c:pt idx="0">
                  <c:v> Passes décisives (AST)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'Analyse de équipe  DET '!$A$4:$A$22</c:f>
              <c:strCache>
                <c:ptCount val="19"/>
                <c:pt idx="0">
                  <c:v>Alondes Williams</c:v>
                </c:pt>
                <c:pt idx="1">
                  <c:v>Ausar Thompson</c:v>
                </c:pt>
                <c:pt idx="2">
                  <c:v>Bobi Klintman</c:v>
                </c:pt>
                <c:pt idx="3">
                  <c:v>Cade Cunningham</c:v>
                </c:pt>
                <c:pt idx="4">
                  <c:v>Daniss Jenkins</c:v>
                </c:pt>
                <c:pt idx="5">
                  <c:v>Dennis Schröder</c:v>
                </c:pt>
                <c:pt idx="6">
                  <c:v>Isaiah Stewart</c:v>
                </c:pt>
                <c:pt idx="7">
                  <c:v>Jaden Ivey</c:v>
                </c:pt>
                <c:pt idx="8">
                  <c:v>Jalen Duren</c:v>
                </c:pt>
                <c:pt idx="9">
                  <c:v>Lindy Waters III</c:v>
                </c:pt>
                <c:pt idx="10">
                  <c:v>Malik Beasley</c:v>
                </c:pt>
                <c:pt idx="11">
                  <c:v>Marcus Sasser</c:v>
                </c:pt>
                <c:pt idx="12">
                  <c:v>Paul Reed</c:v>
                </c:pt>
                <c:pt idx="13">
                  <c:v>Ron Harper Jr,</c:v>
                </c:pt>
                <c:pt idx="14">
                  <c:v>Ronald Holland II</c:v>
                </c:pt>
                <c:pt idx="15">
                  <c:v>Simone Fontecchio</c:v>
                </c:pt>
                <c:pt idx="16">
                  <c:v>Tim Hardaway Jr,</c:v>
                </c:pt>
                <c:pt idx="17">
                  <c:v>Tobias Harris</c:v>
                </c:pt>
                <c:pt idx="18">
                  <c:v>Tolu Smith</c:v>
                </c:pt>
              </c:strCache>
            </c:strRef>
          </c:cat>
          <c:val>
            <c:numRef>
              <c:f>'Analyse de équipe  DET '!$E$4:$E$22</c:f>
              <c:numCache>
                <c:formatCode>General</c:formatCode>
                <c:ptCount val="19"/>
                <c:pt idx="0">
                  <c:v>1</c:v>
                </c:pt>
                <c:pt idx="1">
                  <c:v>136</c:v>
                </c:pt>
                <c:pt idx="2">
                  <c:v>7</c:v>
                </c:pt>
                <c:pt idx="3">
                  <c:v>637</c:v>
                </c:pt>
                <c:pt idx="4">
                  <c:v>3</c:v>
                </c:pt>
                <c:pt idx="5">
                  <c:v>405</c:v>
                </c:pt>
                <c:pt idx="6">
                  <c:v>122</c:v>
                </c:pt>
                <c:pt idx="7">
                  <c:v>120</c:v>
                </c:pt>
                <c:pt idx="8">
                  <c:v>211</c:v>
                </c:pt>
                <c:pt idx="9">
                  <c:v>52</c:v>
                </c:pt>
                <c:pt idx="10">
                  <c:v>139</c:v>
                </c:pt>
                <c:pt idx="11">
                  <c:v>131</c:v>
                </c:pt>
                <c:pt idx="12">
                  <c:v>45</c:v>
                </c:pt>
                <c:pt idx="13">
                  <c:v>2</c:v>
                </c:pt>
                <c:pt idx="14">
                  <c:v>81</c:v>
                </c:pt>
                <c:pt idx="15">
                  <c:v>68</c:v>
                </c:pt>
                <c:pt idx="16">
                  <c:v>123</c:v>
                </c:pt>
                <c:pt idx="17">
                  <c:v>161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0-40F8-A69C-552009CD391B}"/>
            </c:ext>
          </c:extLst>
        </c:ser>
        <c:ser>
          <c:idx val="2"/>
          <c:order val="2"/>
          <c:tx>
            <c:strRef>
              <c:f>'Analyse de équipe  DET '!$F$3</c:f>
              <c:strCache>
                <c:ptCount val="1"/>
                <c:pt idx="0">
                  <c:v> Interceptions (STL)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de équipe  DET '!$A$4:$A$22</c:f>
              <c:strCache>
                <c:ptCount val="19"/>
                <c:pt idx="0">
                  <c:v>Alondes Williams</c:v>
                </c:pt>
                <c:pt idx="1">
                  <c:v>Ausar Thompson</c:v>
                </c:pt>
                <c:pt idx="2">
                  <c:v>Bobi Klintman</c:v>
                </c:pt>
                <c:pt idx="3">
                  <c:v>Cade Cunningham</c:v>
                </c:pt>
                <c:pt idx="4">
                  <c:v>Daniss Jenkins</c:v>
                </c:pt>
                <c:pt idx="5">
                  <c:v>Dennis Schröder</c:v>
                </c:pt>
                <c:pt idx="6">
                  <c:v>Isaiah Stewart</c:v>
                </c:pt>
                <c:pt idx="7">
                  <c:v>Jaden Ivey</c:v>
                </c:pt>
                <c:pt idx="8">
                  <c:v>Jalen Duren</c:v>
                </c:pt>
                <c:pt idx="9">
                  <c:v>Lindy Waters III</c:v>
                </c:pt>
                <c:pt idx="10">
                  <c:v>Malik Beasley</c:v>
                </c:pt>
                <c:pt idx="11">
                  <c:v>Marcus Sasser</c:v>
                </c:pt>
                <c:pt idx="12">
                  <c:v>Paul Reed</c:v>
                </c:pt>
                <c:pt idx="13">
                  <c:v>Ron Harper Jr,</c:v>
                </c:pt>
                <c:pt idx="14">
                  <c:v>Ronald Holland II</c:v>
                </c:pt>
                <c:pt idx="15">
                  <c:v>Simone Fontecchio</c:v>
                </c:pt>
                <c:pt idx="16">
                  <c:v>Tim Hardaway Jr,</c:v>
                </c:pt>
                <c:pt idx="17">
                  <c:v>Tobias Harris</c:v>
                </c:pt>
                <c:pt idx="18">
                  <c:v>Tolu Smith</c:v>
                </c:pt>
              </c:strCache>
            </c:strRef>
          </c:cat>
          <c:val>
            <c:numRef>
              <c:f>'Analyse de équipe  DET '!$F$4:$F$22</c:f>
              <c:numCache>
                <c:formatCode>General</c:formatCode>
                <c:ptCount val="19"/>
                <c:pt idx="0">
                  <c:v>0</c:v>
                </c:pt>
                <c:pt idx="1">
                  <c:v>100</c:v>
                </c:pt>
                <c:pt idx="2">
                  <c:v>2</c:v>
                </c:pt>
                <c:pt idx="3">
                  <c:v>70</c:v>
                </c:pt>
                <c:pt idx="4">
                  <c:v>0</c:v>
                </c:pt>
                <c:pt idx="5">
                  <c:v>68</c:v>
                </c:pt>
                <c:pt idx="6">
                  <c:v>29</c:v>
                </c:pt>
                <c:pt idx="7">
                  <c:v>27</c:v>
                </c:pt>
                <c:pt idx="8">
                  <c:v>55</c:v>
                </c:pt>
                <c:pt idx="9">
                  <c:v>26</c:v>
                </c:pt>
                <c:pt idx="10">
                  <c:v>74</c:v>
                </c:pt>
                <c:pt idx="11">
                  <c:v>34</c:v>
                </c:pt>
                <c:pt idx="12">
                  <c:v>41</c:v>
                </c:pt>
                <c:pt idx="13">
                  <c:v>0</c:v>
                </c:pt>
                <c:pt idx="14">
                  <c:v>49</c:v>
                </c:pt>
                <c:pt idx="15">
                  <c:v>30</c:v>
                </c:pt>
                <c:pt idx="16">
                  <c:v>39</c:v>
                </c:pt>
                <c:pt idx="17">
                  <c:v>73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0-40F8-A69C-552009CD391B}"/>
            </c:ext>
          </c:extLst>
        </c:ser>
        <c:ser>
          <c:idx val="3"/>
          <c:order val="3"/>
          <c:tx>
            <c:strRef>
              <c:f>'Analyse de équipe  DET '!$G$3</c:f>
              <c:strCache>
                <c:ptCount val="1"/>
                <c:pt idx="0">
                  <c:v> Contres(BLK)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'Analyse de équipe  DET '!$A$4:$A$22</c:f>
              <c:strCache>
                <c:ptCount val="19"/>
                <c:pt idx="0">
                  <c:v>Alondes Williams</c:v>
                </c:pt>
                <c:pt idx="1">
                  <c:v>Ausar Thompson</c:v>
                </c:pt>
                <c:pt idx="2">
                  <c:v>Bobi Klintman</c:v>
                </c:pt>
                <c:pt idx="3">
                  <c:v>Cade Cunningham</c:v>
                </c:pt>
                <c:pt idx="4">
                  <c:v>Daniss Jenkins</c:v>
                </c:pt>
                <c:pt idx="5">
                  <c:v>Dennis Schröder</c:v>
                </c:pt>
                <c:pt idx="6">
                  <c:v>Isaiah Stewart</c:v>
                </c:pt>
                <c:pt idx="7">
                  <c:v>Jaden Ivey</c:v>
                </c:pt>
                <c:pt idx="8">
                  <c:v>Jalen Duren</c:v>
                </c:pt>
                <c:pt idx="9">
                  <c:v>Lindy Waters III</c:v>
                </c:pt>
                <c:pt idx="10">
                  <c:v>Malik Beasley</c:v>
                </c:pt>
                <c:pt idx="11">
                  <c:v>Marcus Sasser</c:v>
                </c:pt>
                <c:pt idx="12">
                  <c:v>Paul Reed</c:v>
                </c:pt>
                <c:pt idx="13">
                  <c:v>Ron Harper Jr,</c:v>
                </c:pt>
                <c:pt idx="14">
                  <c:v>Ronald Holland II</c:v>
                </c:pt>
                <c:pt idx="15">
                  <c:v>Simone Fontecchio</c:v>
                </c:pt>
                <c:pt idx="16">
                  <c:v>Tim Hardaway Jr,</c:v>
                </c:pt>
                <c:pt idx="17">
                  <c:v>Tobias Harris</c:v>
                </c:pt>
                <c:pt idx="18">
                  <c:v>Tolu Smith</c:v>
                </c:pt>
              </c:strCache>
            </c:strRef>
          </c:cat>
          <c:val>
            <c:numRef>
              <c:f>'Analyse de équipe  DET '!$G$4:$G$22</c:f>
              <c:numCache>
                <c:formatCode>General</c:formatCode>
                <c:ptCount val="19"/>
                <c:pt idx="0">
                  <c:v>0</c:v>
                </c:pt>
                <c:pt idx="1">
                  <c:v>41</c:v>
                </c:pt>
                <c:pt idx="2">
                  <c:v>1</c:v>
                </c:pt>
                <c:pt idx="3">
                  <c:v>56</c:v>
                </c:pt>
                <c:pt idx="4">
                  <c:v>0</c:v>
                </c:pt>
                <c:pt idx="5">
                  <c:v>15</c:v>
                </c:pt>
                <c:pt idx="6">
                  <c:v>101</c:v>
                </c:pt>
                <c:pt idx="7">
                  <c:v>12</c:v>
                </c:pt>
                <c:pt idx="8">
                  <c:v>86</c:v>
                </c:pt>
                <c:pt idx="9">
                  <c:v>10</c:v>
                </c:pt>
                <c:pt idx="10">
                  <c:v>8</c:v>
                </c:pt>
                <c:pt idx="11">
                  <c:v>6</c:v>
                </c:pt>
                <c:pt idx="12">
                  <c:v>27</c:v>
                </c:pt>
                <c:pt idx="13">
                  <c:v>0</c:v>
                </c:pt>
                <c:pt idx="14">
                  <c:v>16</c:v>
                </c:pt>
                <c:pt idx="15">
                  <c:v>15</c:v>
                </c:pt>
                <c:pt idx="16">
                  <c:v>8</c:v>
                </c:pt>
                <c:pt idx="17">
                  <c:v>58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90-40F8-A69C-552009CD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6549759"/>
        <c:axId val="876544479"/>
      </c:barChart>
      <c:lineChart>
        <c:grouping val="standard"/>
        <c:varyColors val="0"/>
        <c:ser>
          <c:idx val="0"/>
          <c:order val="0"/>
          <c:tx>
            <c:strRef>
              <c:f>'Analyse de équipe  DET '!$D$3</c:f>
              <c:strCache>
                <c:ptCount val="1"/>
                <c:pt idx="0">
                  <c:v> Evaluation globale de l’impact (PIE)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'Analyse de équipe  DET '!$A$4:$A$22</c:f>
              <c:strCache>
                <c:ptCount val="19"/>
                <c:pt idx="0">
                  <c:v>Alondes Williams</c:v>
                </c:pt>
                <c:pt idx="1">
                  <c:v>Ausar Thompson</c:v>
                </c:pt>
                <c:pt idx="2">
                  <c:v>Bobi Klintman</c:v>
                </c:pt>
                <c:pt idx="3">
                  <c:v>Cade Cunningham</c:v>
                </c:pt>
                <c:pt idx="4">
                  <c:v>Daniss Jenkins</c:v>
                </c:pt>
                <c:pt idx="5">
                  <c:v>Dennis Schröder</c:v>
                </c:pt>
                <c:pt idx="6">
                  <c:v>Isaiah Stewart</c:v>
                </c:pt>
                <c:pt idx="7">
                  <c:v>Jaden Ivey</c:v>
                </c:pt>
                <c:pt idx="8">
                  <c:v>Jalen Duren</c:v>
                </c:pt>
                <c:pt idx="9">
                  <c:v>Lindy Waters III</c:v>
                </c:pt>
                <c:pt idx="10">
                  <c:v>Malik Beasley</c:v>
                </c:pt>
                <c:pt idx="11">
                  <c:v>Marcus Sasser</c:v>
                </c:pt>
                <c:pt idx="12">
                  <c:v>Paul Reed</c:v>
                </c:pt>
                <c:pt idx="13">
                  <c:v>Ron Harper Jr,</c:v>
                </c:pt>
                <c:pt idx="14">
                  <c:v>Ronald Holland II</c:v>
                </c:pt>
                <c:pt idx="15">
                  <c:v>Simone Fontecchio</c:v>
                </c:pt>
                <c:pt idx="16">
                  <c:v>Tim Hardaway Jr,</c:v>
                </c:pt>
                <c:pt idx="17">
                  <c:v>Tobias Harris</c:v>
                </c:pt>
                <c:pt idx="18">
                  <c:v>Tolu Smith</c:v>
                </c:pt>
              </c:strCache>
            </c:strRef>
          </c:cat>
          <c:val>
            <c:numRef>
              <c:f>'Analyse de équipe  DET '!$D$4:$D$22</c:f>
              <c:numCache>
                <c:formatCode>General</c:formatCode>
                <c:ptCount val="19"/>
                <c:pt idx="0">
                  <c:v>40</c:v>
                </c:pt>
                <c:pt idx="1">
                  <c:v>10.4</c:v>
                </c:pt>
                <c:pt idx="2">
                  <c:v>9.5</c:v>
                </c:pt>
                <c:pt idx="3">
                  <c:v>15.2</c:v>
                </c:pt>
                <c:pt idx="4">
                  <c:v>0</c:v>
                </c:pt>
                <c:pt idx="5">
                  <c:v>9.1</c:v>
                </c:pt>
                <c:pt idx="6">
                  <c:v>9.6</c:v>
                </c:pt>
                <c:pt idx="7">
                  <c:v>9.9</c:v>
                </c:pt>
                <c:pt idx="8">
                  <c:v>14</c:v>
                </c:pt>
                <c:pt idx="9">
                  <c:v>6.1</c:v>
                </c:pt>
                <c:pt idx="10">
                  <c:v>9.1</c:v>
                </c:pt>
                <c:pt idx="11">
                  <c:v>9.5</c:v>
                </c:pt>
                <c:pt idx="12">
                  <c:v>11.5</c:v>
                </c:pt>
                <c:pt idx="13">
                  <c:v>7.1</c:v>
                </c:pt>
                <c:pt idx="14">
                  <c:v>7.8</c:v>
                </c:pt>
                <c:pt idx="15">
                  <c:v>6.8</c:v>
                </c:pt>
                <c:pt idx="16">
                  <c:v>6.6</c:v>
                </c:pt>
                <c:pt idx="17">
                  <c:v>10</c:v>
                </c:pt>
                <c:pt idx="18">
                  <c:v>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0-40F8-A69C-552009CD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541119"/>
        <c:axId val="876543519"/>
      </c:lineChart>
      <c:catAx>
        <c:axId val="876549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Players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544479"/>
        <c:crosses val="autoZero"/>
        <c:auto val="1"/>
        <c:lblAlgn val="ctr"/>
        <c:lblOffset val="100"/>
        <c:noMultiLvlLbl val="0"/>
      </c:catAx>
      <c:valAx>
        <c:axId val="8765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549759"/>
        <c:crosses val="autoZero"/>
        <c:crossBetween val="between"/>
      </c:valAx>
      <c:valAx>
        <c:axId val="8765435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541119"/>
        <c:crosses val="max"/>
        <c:crossBetween val="between"/>
      </c:valAx>
      <c:catAx>
        <c:axId val="876541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6543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effectLst/>
              </a:rPr>
              <a:t>Pourcentages de tirs, de 3 points et de lancers francs réussis   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858847398676394E-2"/>
          <c:y val="0.26293103448275862"/>
          <c:w val="0.89482665893757141"/>
          <c:h val="0.49358148413266523"/>
        </c:manualLayout>
      </c:layout>
      <c:lineChart>
        <c:grouping val="standard"/>
        <c:varyColors val="0"/>
        <c:ser>
          <c:idx val="0"/>
          <c:order val="0"/>
          <c:tx>
            <c:strRef>
              <c:f>'Analyse du top 15 des joueurs'!$D$3</c:f>
              <c:strCache>
                <c:ptCount val="1"/>
                <c:pt idx="0">
                  <c:v>Pourcentage de tirs réussis (FG%)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'Analyse du top 15 des joueurs'!$A$4:$A$18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'Analyse du top 15 des joueurs'!$D$4:$D$18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27-4CDD-983F-91B8D678BD3B}"/>
            </c:ext>
          </c:extLst>
        </c:ser>
        <c:ser>
          <c:idx val="1"/>
          <c:order val="1"/>
          <c:tx>
            <c:strRef>
              <c:f>'Analyse du top 15 des joueurs'!$E$3</c:f>
              <c:strCache>
                <c:ptCount val="1"/>
                <c:pt idx="0">
                  <c:v>Pourcentage de réussite
aux tirs à 3 points (3P%)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'Analyse du top 15 des joueurs'!$A$4:$A$18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'Analyse du top 15 des joueurs'!$E$4:$E$18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7-4CDD-983F-91B8D678BD3B}"/>
            </c:ext>
          </c:extLst>
        </c:ser>
        <c:ser>
          <c:idx val="2"/>
          <c:order val="2"/>
          <c:tx>
            <c:strRef>
              <c:f>'Analyse du top 15 des joueurs'!$F$3</c:f>
              <c:strCache>
                <c:ptCount val="1"/>
                <c:pt idx="0">
                  <c:v>Pourcentage de réussite
aux lancers francs(FT%)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'Analyse du top 15 des joueurs'!$A$4:$A$18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'Analyse du top 15 des joueurs'!$F$4:$F$18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7-4CDD-983F-91B8D678B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525696"/>
        <c:axId val="1423509376"/>
      </c:lineChart>
      <c:catAx>
        <c:axId val="142352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Players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3509376"/>
        <c:crosses val="autoZero"/>
        <c:auto val="1"/>
        <c:lblAlgn val="ctr"/>
        <c:lblOffset val="100"/>
        <c:noMultiLvlLbl val="0"/>
      </c:catAx>
      <c:valAx>
        <c:axId val="14235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352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6134988132045233E-2"/>
          <c:y val="0.135188382200888"/>
          <c:w val="0.9"/>
          <c:h val="7.6943122751367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Nombre de points totale (PTS) et Pourcentage de tirs réussis(FG%)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931893405410653"/>
          <c:y val="0.20219271180444137"/>
          <c:w val="0.85770730996754907"/>
          <c:h val="0.465404794620108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'Analyse du top 15 des joueurs'!$B$3</c:f>
              <c:strCache>
                <c:ptCount val="1"/>
                <c:pt idx="0">
                  <c:v>Nombre de points totale (PTS)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du top 15 des joueurs'!$A$4:$A$18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'Analyse du top 15 des joueurs'!$B$4:$B$18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B-45E1-A289-BE94F8DD9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974367"/>
        <c:axId val="1157937407"/>
      </c:barChart>
      <c:lineChart>
        <c:grouping val="standard"/>
        <c:varyColors val="0"/>
        <c:ser>
          <c:idx val="1"/>
          <c:order val="1"/>
          <c:tx>
            <c:strRef>
              <c:f>'Analyse du top 15 des joueurs'!$D$3</c:f>
              <c:strCache>
                <c:ptCount val="1"/>
                <c:pt idx="0">
                  <c:v>Pourcentage de tirs réussis (FG%)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'Analyse du top 15 des joueurs'!$A$4:$A$18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'Analyse du top 15 des joueurs'!$D$4:$D$18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B-45E1-A289-BE94F8DD9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946047"/>
        <c:axId val="1157942207"/>
      </c:lineChart>
      <c:catAx>
        <c:axId val="11579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937407"/>
        <c:crosses val="autoZero"/>
        <c:auto val="1"/>
        <c:lblAlgn val="ctr"/>
        <c:lblOffset val="100"/>
        <c:noMultiLvlLbl val="0"/>
      </c:catAx>
      <c:valAx>
        <c:axId val="115793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974367"/>
        <c:crosses val="autoZero"/>
        <c:crossBetween val="between"/>
      </c:valAx>
      <c:valAx>
        <c:axId val="11579422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946047"/>
        <c:crosses val="max"/>
        <c:crossBetween val="between"/>
      </c:valAx>
      <c:catAx>
        <c:axId val="1157946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57942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Analyse du nombre total de points (PTS) et des Fantasy Points (FP)</a:t>
            </a:r>
            <a:endParaRPr lang="fr-FR" sz="1400"/>
          </a:p>
        </c:rich>
      </c:tx>
      <c:layout>
        <c:manualLayout>
          <c:xMode val="edge"/>
          <c:yMode val="edge"/>
          <c:x val="0.19379886282871359"/>
          <c:y val="1.8903591682419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34080441437362E-2"/>
          <c:y val="8.4865218879776133E-2"/>
          <c:w val="0.88971886909658682"/>
          <c:h val="0.81012075431421349"/>
        </c:manualLayout>
      </c:layout>
      <c:scatterChart>
        <c:scatterStyle val="lineMarker"/>
        <c:varyColors val="0"/>
        <c:ser>
          <c:idx val="0"/>
          <c:order val="0"/>
          <c:tx>
            <c:strRef>
              <c:f>'Analyse complémentaire 1'!$D$3</c:f>
              <c:strCache>
                <c:ptCount val="1"/>
                <c:pt idx="0">
                  <c:v>Fantasy Points (FP)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'Analyse complémentaire 1'!$C$4:$C$572</c:f>
              <c:numCache>
                <c:formatCode>General</c:formatCode>
                <c:ptCount val="569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  <c:pt idx="15">
                  <c:v>1708</c:v>
                </c:pt>
                <c:pt idx="16">
                  <c:v>1704</c:v>
                </c:pt>
                <c:pt idx="17">
                  <c:v>1690</c:v>
                </c:pt>
                <c:pt idx="18">
                  <c:v>1649</c:v>
                </c:pt>
                <c:pt idx="19">
                  <c:v>1643</c:v>
                </c:pt>
                <c:pt idx="20">
                  <c:v>1576</c:v>
                </c:pt>
                <c:pt idx="21">
                  <c:v>1545</c:v>
                </c:pt>
                <c:pt idx="22">
                  <c:v>1510</c:v>
                </c:pt>
                <c:pt idx="23">
                  <c:v>1490</c:v>
                </c:pt>
                <c:pt idx="24">
                  <c:v>1475</c:v>
                </c:pt>
                <c:pt idx="25">
                  <c:v>1457</c:v>
                </c:pt>
                <c:pt idx="26">
                  <c:v>1452</c:v>
                </c:pt>
                <c:pt idx="27">
                  <c:v>1452</c:v>
                </c:pt>
                <c:pt idx="28">
                  <c:v>1444</c:v>
                </c:pt>
                <c:pt idx="29">
                  <c:v>1443</c:v>
                </c:pt>
                <c:pt idx="30">
                  <c:v>1434</c:v>
                </c:pt>
                <c:pt idx="31">
                  <c:v>1412</c:v>
                </c:pt>
                <c:pt idx="32">
                  <c:v>1410</c:v>
                </c:pt>
                <c:pt idx="33">
                  <c:v>1401</c:v>
                </c:pt>
                <c:pt idx="34">
                  <c:v>1399</c:v>
                </c:pt>
                <c:pt idx="35">
                  <c:v>1394</c:v>
                </c:pt>
                <c:pt idx="36">
                  <c:v>1368</c:v>
                </c:pt>
                <c:pt idx="37">
                  <c:v>1358</c:v>
                </c:pt>
                <c:pt idx="38">
                  <c:v>1351</c:v>
                </c:pt>
                <c:pt idx="39">
                  <c:v>1351</c:v>
                </c:pt>
                <c:pt idx="40">
                  <c:v>1344</c:v>
                </c:pt>
                <c:pt idx="41">
                  <c:v>1337</c:v>
                </c:pt>
                <c:pt idx="42">
                  <c:v>1337</c:v>
                </c:pt>
                <c:pt idx="43">
                  <c:v>1332</c:v>
                </c:pt>
                <c:pt idx="44">
                  <c:v>1332</c:v>
                </c:pt>
                <c:pt idx="45">
                  <c:v>1325</c:v>
                </c:pt>
                <c:pt idx="46">
                  <c:v>1314</c:v>
                </c:pt>
                <c:pt idx="47">
                  <c:v>1308</c:v>
                </c:pt>
                <c:pt idx="48">
                  <c:v>1299</c:v>
                </c:pt>
                <c:pt idx="49">
                  <c:v>1290</c:v>
                </c:pt>
                <c:pt idx="50">
                  <c:v>1260</c:v>
                </c:pt>
                <c:pt idx="51">
                  <c:v>1255</c:v>
                </c:pt>
                <c:pt idx="52">
                  <c:v>1246</c:v>
                </c:pt>
                <c:pt idx="53">
                  <c:v>1235</c:v>
                </c:pt>
                <c:pt idx="54">
                  <c:v>1224</c:v>
                </c:pt>
                <c:pt idx="55">
                  <c:v>1217</c:v>
                </c:pt>
                <c:pt idx="56">
                  <c:v>1217</c:v>
                </c:pt>
                <c:pt idx="57">
                  <c:v>1191</c:v>
                </c:pt>
                <c:pt idx="58">
                  <c:v>1191</c:v>
                </c:pt>
                <c:pt idx="59">
                  <c:v>1184</c:v>
                </c:pt>
                <c:pt idx="60">
                  <c:v>1182</c:v>
                </c:pt>
                <c:pt idx="61">
                  <c:v>1160</c:v>
                </c:pt>
                <c:pt idx="62">
                  <c:v>1159</c:v>
                </c:pt>
                <c:pt idx="63">
                  <c:v>1159</c:v>
                </c:pt>
                <c:pt idx="64">
                  <c:v>1144</c:v>
                </c:pt>
                <c:pt idx="65">
                  <c:v>1136</c:v>
                </c:pt>
                <c:pt idx="66">
                  <c:v>1126</c:v>
                </c:pt>
                <c:pt idx="67">
                  <c:v>1124</c:v>
                </c:pt>
                <c:pt idx="68">
                  <c:v>1123</c:v>
                </c:pt>
                <c:pt idx="69">
                  <c:v>1118</c:v>
                </c:pt>
                <c:pt idx="70">
                  <c:v>1118</c:v>
                </c:pt>
                <c:pt idx="71">
                  <c:v>1107</c:v>
                </c:pt>
                <c:pt idx="72">
                  <c:v>1095</c:v>
                </c:pt>
                <c:pt idx="73">
                  <c:v>1088</c:v>
                </c:pt>
                <c:pt idx="74">
                  <c:v>1080</c:v>
                </c:pt>
                <c:pt idx="75">
                  <c:v>1072</c:v>
                </c:pt>
                <c:pt idx="76">
                  <c:v>1072</c:v>
                </c:pt>
                <c:pt idx="77">
                  <c:v>1050</c:v>
                </c:pt>
                <c:pt idx="78">
                  <c:v>1047</c:v>
                </c:pt>
                <c:pt idx="79">
                  <c:v>1043</c:v>
                </c:pt>
                <c:pt idx="80">
                  <c:v>1040</c:v>
                </c:pt>
                <c:pt idx="81">
                  <c:v>1022</c:v>
                </c:pt>
                <c:pt idx="82">
                  <c:v>1009</c:v>
                </c:pt>
                <c:pt idx="83">
                  <c:v>1008</c:v>
                </c:pt>
                <c:pt idx="84">
                  <c:v>1000</c:v>
                </c:pt>
                <c:pt idx="85">
                  <c:v>1000</c:v>
                </c:pt>
                <c:pt idx="86">
                  <c:v>998</c:v>
                </c:pt>
                <c:pt idx="87">
                  <c:v>992</c:v>
                </c:pt>
                <c:pt idx="88">
                  <c:v>983</c:v>
                </c:pt>
                <c:pt idx="89">
                  <c:v>978</c:v>
                </c:pt>
                <c:pt idx="90">
                  <c:v>973</c:v>
                </c:pt>
                <c:pt idx="91">
                  <c:v>963</c:v>
                </c:pt>
                <c:pt idx="92">
                  <c:v>962</c:v>
                </c:pt>
                <c:pt idx="93">
                  <c:v>945</c:v>
                </c:pt>
                <c:pt idx="94">
                  <c:v>942</c:v>
                </c:pt>
                <c:pt idx="95">
                  <c:v>920</c:v>
                </c:pt>
                <c:pt idx="96">
                  <c:v>912</c:v>
                </c:pt>
                <c:pt idx="97">
                  <c:v>911</c:v>
                </c:pt>
                <c:pt idx="98">
                  <c:v>910</c:v>
                </c:pt>
                <c:pt idx="99">
                  <c:v>906</c:v>
                </c:pt>
                <c:pt idx="100">
                  <c:v>901</c:v>
                </c:pt>
                <c:pt idx="101">
                  <c:v>893</c:v>
                </c:pt>
                <c:pt idx="102">
                  <c:v>881</c:v>
                </c:pt>
                <c:pt idx="103">
                  <c:v>875</c:v>
                </c:pt>
                <c:pt idx="104">
                  <c:v>871</c:v>
                </c:pt>
                <c:pt idx="105">
                  <c:v>869</c:v>
                </c:pt>
                <c:pt idx="106">
                  <c:v>864</c:v>
                </c:pt>
                <c:pt idx="107">
                  <c:v>847</c:v>
                </c:pt>
                <c:pt idx="108">
                  <c:v>846</c:v>
                </c:pt>
                <c:pt idx="109">
                  <c:v>842</c:v>
                </c:pt>
                <c:pt idx="110">
                  <c:v>838</c:v>
                </c:pt>
                <c:pt idx="111">
                  <c:v>838</c:v>
                </c:pt>
                <c:pt idx="112">
                  <c:v>837</c:v>
                </c:pt>
                <c:pt idx="113">
                  <c:v>830</c:v>
                </c:pt>
                <c:pt idx="114">
                  <c:v>827</c:v>
                </c:pt>
                <c:pt idx="115">
                  <c:v>826</c:v>
                </c:pt>
                <c:pt idx="116">
                  <c:v>822</c:v>
                </c:pt>
                <c:pt idx="117">
                  <c:v>821</c:v>
                </c:pt>
                <c:pt idx="118">
                  <c:v>819</c:v>
                </c:pt>
                <c:pt idx="119">
                  <c:v>814</c:v>
                </c:pt>
                <c:pt idx="120">
                  <c:v>813</c:v>
                </c:pt>
                <c:pt idx="121">
                  <c:v>812</c:v>
                </c:pt>
                <c:pt idx="122">
                  <c:v>804</c:v>
                </c:pt>
                <c:pt idx="123">
                  <c:v>796</c:v>
                </c:pt>
                <c:pt idx="124">
                  <c:v>782</c:v>
                </c:pt>
                <c:pt idx="125">
                  <c:v>782</c:v>
                </c:pt>
                <c:pt idx="126">
                  <c:v>778</c:v>
                </c:pt>
                <c:pt idx="127">
                  <c:v>778</c:v>
                </c:pt>
                <c:pt idx="128">
                  <c:v>774</c:v>
                </c:pt>
                <c:pt idx="129">
                  <c:v>774</c:v>
                </c:pt>
                <c:pt idx="130">
                  <c:v>773</c:v>
                </c:pt>
                <c:pt idx="131">
                  <c:v>773</c:v>
                </c:pt>
                <c:pt idx="132">
                  <c:v>771</c:v>
                </c:pt>
                <c:pt idx="133">
                  <c:v>770</c:v>
                </c:pt>
                <c:pt idx="134">
                  <c:v>760</c:v>
                </c:pt>
                <c:pt idx="135">
                  <c:v>755</c:v>
                </c:pt>
                <c:pt idx="136">
                  <c:v>751</c:v>
                </c:pt>
                <c:pt idx="137">
                  <c:v>750</c:v>
                </c:pt>
                <c:pt idx="138">
                  <c:v>749</c:v>
                </c:pt>
                <c:pt idx="139">
                  <c:v>749</c:v>
                </c:pt>
                <c:pt idx="140">
                  <c:v>738</c:v>
                </c:pt>
                <c:pt idx="141">
                  <c:v>733</c:v>
                </c:pt>
                <c:pt idx="142">
                  <c:v>731</c:v>
                </c:pt>
                <c:pt idx="143">
                  <c:v>726</c:v>
                </c:pt>
                <c:pt idx="144">
                  <c:v>725</c:v>
                </c:pt>
                <c:pt idx="145">
                  <c:v>725</c:v>
                </c:pt>
                <c:pt idx="146">
                  <c:v>722</c:v>
                </c:pt>
                <c:pt idx="147">
                  <c:v>721</c:v>
                </c:pt>
                <c:pt idx="148">
                  <c:v>719</c:v>
                </c:pt>
                <c:pt idx="149">
                  <c:v>719</c:v>
                </c:pt>
                <c:pt idx="150">
                  <c:v>717</c:v>
                </c:pt>
                <c:pt idx="151">
                  <c:v>710</c:v>
                </c:pt>
                <c:pt idx="152">
                  <c:v>708</c:v>
                </c:pt>
                <c:pt idx="153">
                  <c:v>701</c:v>
                </c:pt>
                <c:pt idx="154">
                  <c:v>698</c:v>
                </c:pt>
                <c:pt idx="155">
                  <c:v>695</c:v>
                </c:pt>
                <c:pt idx="156">
                  <c:v>691</c:v>
                </c:pt>
                <c:pt idx="157">
                  <c:v>688</c:v>
                </c:pt>
                <c:pt idx="158">
                  <c:v>688</c:v>
                </c:pt>
                <c:pt idx="159">
                  <c:v>684</c:v>
                </c:pt>
                <c:pt idx="160">
                  <c:v>683</c:v>
                </c:pt>
                <c:pt idx="161">
                  <c:v>683</c:v>
                </c:pt>
                <c:pt idx="162">
                  <c:v>681</c:v>
                </c:pt>
                <c:pt idx="163">
                  <c:v>680</c:v>
                </c:pt>
                <c:pt idx="164">
                  <c:v>678</c:v>
                </c:pt>
                <c:pt idx="165">
                  <c:v>678</c:v>
                </c:pt>
                <c:pt idx="166">
                  <c:v>677</c:v>
                </c:pt>
                <c:pt idx="167">
                  <c:v>673</c:v>
                </c:pt>
                <c:pt idx="168">
                  <c:v>670</c:v>
                </c:pt>
                <c:pt idx="169">
                  <c:v>666</c:v>
                </c:pt>
                <c:pt idx="170">
                  <c:v>664</c:v>
                </c:pt>
                <c:pt idx="171">
                  <c:v>664</c:v>
                </c:pt>
                <c:pt idx="172">
                  <c:v>664</c:v>
                </c:pt>
                <c:pt idx="173">
                  <c:v>656</c:v>
                </c:pt>
                <c:pt idx="174">
                  <c:v>650</c:v>
                </c:pt>
                <c:pt idx="175">
                  <c:v>644</c:v>
                </c:pt>
                <c:pt idx="176">
                  <c:v>638</c:v>
                </c:pt>
                <c:pt idx="177">
                  <c:v>630</c:v>
                </c:pt>
                <c:pt idx="178">
                  <c:v>630</c:v>
                </c:pt>
                <c:pt idx="179">
                  <c:v>619</c:v>
                </c:pt>
                <c:pt idx="180">
                  <c:v>618</c:v>
                </c:pt>
                <c:pt idx="181">
                  <c:v>616</c:v>
                </c:pt>
                <c:pt idx="182">
                  <c:v>612</c:v>
                </c:pt>
                <c:pt idx="183">
                  <c:v>608</c:v>
                </c:pt>
                <c:pt idx="184">
                  <c:v>607</c:v>
                </c:pt>
                <c:pt idx="185">
                  <c:v>605</c:v>
                </c:pt>
                <c:pt idx="186">
                  <c:v>604</c:v>
                </c:pt>
                <c:pt idx="187">
                  <c:v>600</c:v>
                </c:pt>
                <c:pt idx="188">
                  <c:v>599</c:v>
                </c:pt>
                <c:pt idx="189">
                  <c:v>596</c:v>
                </c:pt>
                <c:pt idx="190">
                  <c:v>595</c:v>
                </c:pt>
                <c:pt idx="191">
                  <c:v>594</c:v>
                </c:pt>
                <c:pt idx="192">
                  <c:v>592</c:v>
                </c:pt>
                <c:pt idx="193">
                  <c:v>585</c:v>
                </c:pt>
                <c:pt idx="194">
                  <c:v>585</c:v>
                </c:pt>
                <c:pt idx="195">
                  <c:v>583</c:v>
                </c:pt>
                <c:pt idx="196">
                  <c:v>582</c:v>
                </c:pt>
                <c:pt idx="197">
                  <c:v>579</c:v>
                </c:pt>
                <c:pt idx="198">
                  <c:v>577</c:v>
                </c:pt>
                <c:pt idx="199">
                  <c:v>576</c:v>
                </c:pt>
                <c:pt idx="200">
                  <c:v>571</c:v>
                </c:pt>
                <c:pt idx="201">
                  <c:v>570</c:v>
                </c:pt>
                <c:pt idx="202">
                  <c:v>568</c:v>
                </c:pt>
                <c:pt idx="203">
                  <c:v>567</c:v>
                </c:pt>
                <c:pt idx="204">
                  <c:v>567</c:v>
                </c:pt>
                <c:pt idx="205">
                  <c:v>567</c:v>
                </c:pt>
                <c:pt idx="206">
                  <c:v>566</c:v>
                </c:pt>
                <c:pt idx="207">
                  <c:v>564</c:v>
                </c:pt>
                <c:pt idx="208">
                  <c:v>556</c:v>
                </c:pt>
                <c:pt idx="209">
                  <c:v>551</c:v>
                </c:pt>
                <c:pt idx="210">
                  <c:v>548</c:v>
                </c:pt>
                <c:pt idx="211">
                  <c:v>546</c:v>
                </c:pt>
                <c:pt idx="212">
                  <c:v>543</c:v>
                </c:pt>
                <c:pt idx="213">
                  <c:v>540</c:v>
                </c:pt>
                <c:pt idx="214">
                  <c:v>540</c:v>
                </c:pt>
                <c:pt idx="215">
                  <c:v>540</c:v>
                </c:pt>
                <c:pt idx="216">
                  <c:v>540</c:v>
                </c:pt>
                <c:pt idx="217">
                  <c:v>533</c:v>
                </c:pt>
                <c:pt idx="218">
                  <c:v>533</c:v>
                </c:pt>
                <c:pt idx="219">
                  <c:v>533</c:v>
                </c:pt>
                <c:pt idx="220">
                  <c:v>531</c:v>
                </c:pt>
                <c:pt idx="221">
                  <c:v>530</c:v>
                </c:pt>
                <c:pt idx="222">
                  <c:v>528</c:v>
                </c:pt>
                <c:pt idx="223">
                  <c:v>525</c:v>
                </c:pt>
                <c:pt idx="224">
                  <c:v>522</c:v>
                </c:pt>
                <c:pt idx="225">
                  <c:v>518</c:v>
                </c:pt>
                <c:pt idx="226">
                  <c:v>516</c:v>
                </c:pt>
                <c:pt idx="227">
                  <c:v>511</c:v>
                </c:pt>
                <c:pt idx="228">
                  <c:v>511</c:v>
                </c:pt>
                <c:pt idx="229">
                  <c:v>504</c:v>
                </c:pt>
                <c:pt idx="230">
                  <c:v>503</c:v>
                </c:pt>
                <c:pt idx="231">
                  <c:v>500</c:v>
                </c:pt>
                <c:pt idx="232">
                  <c:v>497</c:v>
                </c:pt>
                <c:pt idx="233">
                  <c:v>496</c:v>
                </c:pt>
                <c:pt idx="234">
                  <c:v>492</c:v>
                </c:pt>
                <c:pt idx="235">
                  <c:v>490</c:v>
                </c:pt>
                <c:pt idx="236">
                  <c:v>481</c:v>
                </c:pt>
                <c:pt idx="237">
                  <c:v>480</c:v>
                </c:pt>
                <c:pt idx="238">
                  <c:v>479</c:v>
                </c:pt>
                <c:pt idx="239">
                  <c:v>474</c:v>
                </c:pt>
                <c:pt idx="240">
                  <c:v>470</c:v>
                </c:pt>
                <c:pt idx="241">
                  <c:v>461</c:v>
                </c:pt>
                <c:pt idx="242">
                  <c:v>458</c:v>
                </c:pt>
                <c:pt idx="243">
                  <c:v>455</c:v>
                </c:pt>
                <c:pt idx="244">
                  <c:v>454</c:v>
                </c:pt>
                <c:pt idx="245">
                  <c:v>452</c:v>
                </c:pt>
                <c:pt idx="246">
                  <c:v>449</c:v>
                </c:pt>
                <c:pt idx="247">
                  <c:v>449</c:v>
                </c:pt>
                <c:pt idx="248">
                  <c:v>449</c:v>
                </c:pt>
                <c:pt idx="249">
                  <c:v>447</c:v>
                </c:pt>
                <c:pt idx="250">
                  <c:v>444</c:v>
                </c:pt>
                <c:pt idx="251">
                  <c:v>443</c:v>
                </c:pt>
                <c:pt idx="252">
                  <c:v>442</c:v>
                </c:pt>
                <c:pt idx="253">
                  <c:v>442</c:v>
                </c:pt>
                <c:pt idx="254">
                  <c:v>440</c:v>
                </c:pt>
                <c:pt idx="255">
                  <c:v>438</c:v>
                </c:pt>
                <c:pt idx="256">
                  <c:v>436</c:v>
                </c:pt>
                <c:pt idx="257">
                  <c:v>435</c:v>
                </c:pt>
                <c:pt idx="258">
                  <c:v>432</c:v>
                </c:pt>
                <c:pt idx="259">
                  <c:v>429</c:v>
                </c:pt>
                <c:pt idx="260">
                  <c:v>419</c:v>
                </c:pt>
                <c:pt idx="261">
                  <c:v>419</c:v>
                </c:pt>
                <c:pt idx="262">
                  <c:v>416</c:v>
                </c:pt>
                <c:pt idx="263">
                  <c:v>410</c:v>
                </c:pt>
                <c:pt idx="264">
                  <c:v>410</c:v>
                </c:pt>
                <c:pt idx="265">
                  <c:v>409</c:v>
                </c:pt>
                <c:pt idx="266">
                  <c:v>405</c:v>
                </c:pt>
                <c:pt idx="267">
                  <c:v>403</c:v>
                </c:pt>
                <c:pt idx="268">
                  <c:v>400</c:v>
                </c:pt>
                <c:pt idx="269">
                  <c:v>395</c:v>
                </c:pt>
                <c:pt idx="270">
                  <c:v>391</c:v>
                </c:pt>
                <c:pt idx="271">
                  <c:v>387</c:v>
                </c:pt>
                <c:pt idx="272">
                  <c:v>384</c:v>
                </c:pt>
                <c:pt idx="273">
                  <c:v>383</c:v>
                </c:pt>
                <c:pt idx="274">
                  <c:v>383</c:v>
                </c:pt>
                <c:pt idx="275">
                  <c:v>383</c:v>
                </c:pt>
                <c:pt idx="276">
                  <c:v>381</c:v>
                </c:pt>
                <c:pt idx="277">
                  <c:v>377</c:v>
                </c:pt>
                <c:pt idx="278">
                  <c:v>376</c:v>
                </c:pt>
                <c:pt idx="279">
                  <c:v>376</c:v>
                </c:pt>
                <c:pt idx="280">
                  <c:v>363</c:v>
                </c:pt>
                <c:pt idx="281">
                  <c:v>360</c:v>
                </c:pt>
                <c:pt idx="282">
                  <c:v>360</c:v>
                </c:pt>
                <c:pt idx="283">
                  <c:v>358</c:v>
                </c:pt>
                <c:pt idx="284">
                  <c:v>356</c:v>
                </c:pt>
                <c:pt idx="285">
                  <c:v>354</c:v>
                </c:pt>
                <c:pt idx="286">
                  <c:v>353</c:v>
                </c:pt>
                <c:pt idx="287">
                  <c:v>352</c:v>
                </c:pt>
                <c:pt idx="288">
                  <c:v>347</c:v>
                </c:pt>
                <c:pt idx="289">
                  <c:v>347</c:v>
                </c:pt>
                <c:pt idx="290">
                  <c:v>342</c:v>
                </c:pt>
                <c:pt idx="291">
                  <c:v>341</c:v>
                </c:pt>
                <c:pt idx="292">
                  <c:v>340</c:v>
                </c:pt>
                <c:pt idx="293">
                  <c:v>340</c:v>
                </c:pt>
                <c:pt idx="294">
                  <c:v>336</c:v>
                </c:pt>
                <c:pt idx="295">
                  <c:v>336</c:v>
                </c:pt>
                <c:pt idx="296">
                  <c:v>334</c:v>
                </c:pt>
                <c:pt idx="297">
                  <c:v>334</c:v>
                </c:pt>
                <c:pt idx="298">
                  <c:v>333</c:v>
                </c:pt>
                <c:pt idx="299">
                  <c:v>331</c:v>
                </c:pt>
                <c:pt idx="300">
                  <c:v>329</c:v>
                </c:pt>
                <c:pt idx="301">
                  <c:v>329</c:v>
                </c:pt>
                <c:pt idx="302">
                  <c:v>323</c:v>
                </c:pt>
                <c:pt idx="303">
                  <c:v>319</c:v>
                </c:pt>
                <c:pt idx="304">
                  <c:v>315</c:v>
                </c:pt>
                <c:pt idx="305">
                  <c:v>314</c:v>
                </c:pt>
                <c:pt idx="306">
                  <c:v>313</c:v>
                </c:pt>
                <c:pt idx="307">
                  <c:v>312</c:v>
                </c:pt>
                <c:pt idx="308">
                  <c:v>312</c:v>
                </c:pt>
                <c:pt idx="309">
                  <c:v>310</c:v>
                </c:pt>
                <c:pt idx="310">
                  <c:v>306</c:v>
                </c:pt>
                <c:pt idx="311">
                  <c:v>305</c:v>
                </c:pt>
                <c:pt idx="312">
                  <c:v>304</c:v>
                </c:pt>
                <c:pt idx="313">
                  <c:v>304</c:v>
                </c:pt>
                <c:pt idx="314">
                  <c:v>292</c:v>
                </c:pt>
                <c:pt idx="315">
                  <c:v>290</c:v>
                </c:pt>
                <c:pt idx="316">
                  <c:v>287</c:v>
                </c:pt>
                <c:pt idx="317">
                  <c:v>285</c:v>
                </c:pt>
                <c:pt idx="318">
                  <c:v>284</c:v>
                </c:pt>
                <c:pt idx="319">
                  <c:v>281</c:v>
                </c:pt>
                <c:pt idx="320">
                  <c:v>281</c:v>
                </c:pt>
                <c:pt idx="321">
                  <c:v>277</c:v>
                </c:pt>
                <c:pt idx="322">
                  <c:v>275</c:v>
                </c:pt>
                <c:pt idx="323">
                  <c:v>274</c:v>
                </c:pt>
                <c:pt idx="324">
                  <c:v>271</c:v>
                </c:pt>
                <c:pt idx="325">
                  <c:v>270</c:v>
                </c:pt>
                <c:pt idx="326">
                  <c:v>266</c:v>
                </c:pt>
                <c:pt idx="327">
                  <c:v>266</c:v>
                </c:pt>
                <c:pt idx="328">
                  <c:v>265</c:v>
                </c:pt>
                <c:pt idx="329">
                  <c:v>256</c:v>
                </c:pt>
                <c:pt idx="330">
                  <c:v>255</c:v>
                </c:pt>
                <c:pt idx="331">
                  <c:v>255</c:v>
                </c:pt>
                <c:pt idx="332">
                  <c:v>253</c:v>
                </c:pt>
                <c:pt idx="333">
                  <c:v>248</c:v>
                </c:pt>
                <c:pt idx="334">
                  <c:v>245</c:v>
                </c:pt>
                <c:pt idx="335">
                  <c:v>238</c:v>
                </c:pt>
                <c:pt idx="336">
                  <c:v>237</c:v>
                </c:pt>
                <c:pt idx="337">
                  <c:v>235</c:v>
                </c:pt>
                <c:pt idx="338">
                  <c:v>234</c:v>
                </c:pt>
                <c:pt idx="339">
                  <c:v>234</c:v>
                </c:pt>
                <c:pt idx="340">
                  <c:v>230</c:v>
                </c:pt>
                <c:pt idx="341">
                  <c:v>230</c:v>
                </c:pt>
                <c:pt idx="342">
                  <c:v>229</c:v>
                </c:pt>
                <c:pt idx="343">
                  <c:v>229</c:v>
                </c:pt>
                <c:pt idx="344">
                  <c:v>228</c:v>
                </c:pt>
                <c:pt idx="345">
                  <c:v>226</c:v>
                </c:pt>
                <c:pt idx="346">
                  <c:v>221</c:v>
                </c:pt>
                <c:pt idx="347">
                  <c:v>220</c:v>
                </c:pt>
                <c:pt idx="348">
                  <c:v>217</c:v>
                </c:pt>
                <c:pt idx="349">
                  <c:v>215</c:v>
                </c:pt>
                <c:pt idx="350">
                  <c:v>209</c:v>
                </c:pt>
                <c:pt idx="351">
                  <c:v>207</c:v>
                </c:pt>
                <c:pt idx="352">
                  <c:v>206</c:v>
                </c:pt>
                <c:pt idx="353">
                  <c:v>204</c:v>
                </c:pt>
                <c:pt idx="354">
                  <c:v>203</c:v>
                </c:pt>
                <c:pt idx="355">
                  <c:v>202</c:v>
                </c:pt>
                <c:pt idx="356">
                  <c:v>201</c:v>
                </c:pt>
                <c:pt idx="357">
                  <c:v>200</c:v>
                </c:pt>
                <c:pt idx="358">
                  <c:v>198</c:v>
                </c:pt>
                <c:pt idx="359">
                  <c:v>196</c:v>
                </c:pt>
                <c:pt idx="360">
                  <c:v>195</c:v>
                </c:pt>
                <c:pt idx="361">
                  <c:v>193</c:v>
                </c:pt>
                <c:pt idx="362">
                  <c:v>189</c:v>
                </c:pt>
                <c:pt idx="363">
                  <c:v>187</c:v>
                </c:pt>
                <c:pt idx="364">
                  <c:v>185</c:v>
                </c:pt>
                <c:pt idx="365">
                  <c:v>183</c:v>
                </c:pt>
                <c:pt idx="366">
                  <c:v>182</c:v>
                </c:pt>
                <c:pt idx="367">
                  <c:v>178</c:v>
                </c:pt>
                <c:pt idx="368">
                  <c:v>175</c:v>
                </c:pt>
                <c:pt idx="369">
                  <c:v>174</c:v>
                </c:pt>
                <c:pt idx="370">
                  <c:v>173</c:v>
                </c:pt>
                <c:pt idx="371">
                  <c:v>169</c:v>
                </c:pt>
                <c:pt idx="372">
                  <c:v>168</c:v>
                </c:pt>
                <c:pt idx="373">
                  <c:v>167</c:v>
                </c:pt>
                <c:pt idx="374">
                  <c:v>166</c:v>
                </c:pt>
                <c:pt idx="375">
                  <c:v>164</c:v>
                </c:pt>
                <c:pt idx="376">
                  <c:v>163</c:v>
                </c:pt>
                <c:pt idx="377">
                  <c:v>163</c:v>
                </c:pt>
                <c:pt idx="378">
                  <c:v>162</c:v>
                </c:pt>
                <c:pt idx="379">
                  <c:v>162</c:v>
                </c:pt>
                <c:pt idx="380">
                  <c:v>158</c:v>
                </c:pt>
                <c:pt idx="381">
                  <c:v>156</c:v>
                </c:pt>
                <c:pt idx="382">
                  <c:v>156</c:v>
                </c:pt>
                <c:pt idx="383">
                  <c:v>155</c:v>
                </c:pt>
                <c:pt idx="384">
                  <c:v>152</c:v>
                </c:pt>
                <c:pt idx="385">
                  <c:v>152</c:v>
                </c:pt>
                <c:pt idx="386">
                  <c:v>152</c:v>
                </c:pt>
                <c:pt idx="387">
                  <c:v>151</c:v>
                </c:pt>
                <c:pt idx="388">
                  <c:v>149</c:v>
                </c:pt>
                <c:pt idx="389">
                  <c:v>148</c:v>
                </c:pt>
                <c:pt idx="390">
                  <c:v>147</c:v>
                </c:pt>
                <c:pt idx="391">
                  <c:v>147</c:v>
                </c:pt>
                <c:pt idx="392">
                  <c:v>144</c:v>
                </c:pt>
                <c:pt idx="393">
                  <c:v>143</c:v>
                </c:pt>
                <c:pt idx="394">
                  <c:v>141</c:v>
                </c:pt>
                <c:pt idx="395">
                  <c:v>141</c:v>
                </c:pt>
                <c:pt idx="396">
                  <c:v>138</c:v>
                </c:pt>
                <c:pt idx="397">
                  <c:v>138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136</c:v>
                </c:pt>
                <c:pt idx="402">
                  <c:v>136</c:v>
                </c:pt>
                <c:pt idx="403">
                  <c:v>136</c:v>
                </c:pt>
                <c:pt idx="404">
                  <c:v>135</c:v>
                </c:pt>
                <c:pt idx="405">
                  <c:v>133</c:v>
                </c:pt>
                <c:pt idx="406">
                  <c:v>128</c:v>
                </c:pt>
                <c:pt idx="407">
                  <c:v>124</c:v>
                </c:pt>
                <c:pt idx="408">
                  <c:v>122</c:v>
                </c:pt>
                <c:pt idx="409">
                  <c:v>122</c:v>
                </c:pt>
                <c:pt idx="410">
                  <c:v>122</c:v>
                </c:pt>
                <c:pt idx="411">
                  <c:v>120</c:v>
                </c:pt>
                <c:pt idx="412">
                  <c:v>120</c:v>
                </c:pt>
                <c:pt idx="413">
                  <c:v>118</c:v>
                </c:pt>
                <c:pt idx="414">
                  <c:v>116</c:v>
                </c:pt>
                <c:pt idx="415">
                  <c:v>116</c:v>
                </c:pt>
                <c:pt idx="416">
                  <c:v>115</c:v>
                </c:pt>
                <c:pt idx="417">
                  <c:v>114</c:v>
                </c:pt>
                <c:pt idx="418">
                  <c:v>113</c:v>
                </c:pt>
                <c:pt idx="419">
                  <c:v>112</c:v>
                </c:pt>
                <c:pt idx="420">
                  <c:v>110</c:v>
                </c:pt>
                <c:pt idx="421">
                  <c:v>110</c:v>
                </c:pt>
                <c:pt idx="422">
                  <c:v>110</c:v>
                </c:pt>
                <c:pt idx="423">
                  <c:v>109</c:v>
                </c:pt>
                <c:pt idx="424">
                  <c:v>109</c:v>
                </c:pt>
                <c:pt idx="425">
                  <c:v>108</c:v>
                </c:pt>
                <c:pt idx="426">
                  <c:v>107</c:v>
                </c:pt>
                <c:pt idx="427">
                  <c:v>107</c:v>
                </c:pt>
                <c:pt idx="428">
                  <c:v>106</c:v>
                </c:pt>
                <c:pt idx="429">
                  <c:v>106</c:v>
                </c:pt>
                <c:pt idx="430">
                  <c:v>105</c:v>
                </c:pt>
                <c:pt idx="431">
                  <c:v>105</c:v>
                </c:pt>
                <c:pt idx="432">
                  <c:v>102</c:v>
                </c:pt>
                <c:pt idx="433">
                  <c:v>98</c:v>
                </c:pt>
                <c:pt idx="434">
                  <c:v>97</c:v>
                </c:pt>
                <c:pt idx="435">
                  <c:v>95</c:v>
                </c:pt>
                <c:pt idx="436">
                  <c:v>95</c:v>
                </c:pt>
                <c:pt idx="437">
                  <c:v>94</c:v>
                </c:pt>
                <c:pt idx="438">
                  <c:v>89</c:v>
                </c:pt>
                <c:pt idx="439">
                  <c:v>87</c:v>
                </c:pt>
                <c:pt idx="440">
                  <c:v>87</c:v>
                </c:pt>
                <c:pt idx="441">
                  <c:v>86</c:v>
                </c:pt>
                <c:pt idx="442">
                  <c:v>84</c:v>
                </c:pt>
                <c:pt idx="443">
                  <c:v>83</c:v>
                </c:pt>
                <c:pt idx="444">
                  <c:v>83</c:v>
                </c:pt>
                <c:pt idx="445">
                  <c:v>82</c:v>
                </c:pt>
                <c:pt idx="446">
                  <c:v>82</c:v>
                </c:pt>
                <c:pt idx="447">
                  <c:v>81</c:v>
                </c:pt>
                <c:pt idx="448">
                  <c:v>78</c:v>
                </c:pt>
                <c:pt idx="449">
                  <c:v>77</c:v>
                </c:pt>
                <c:pt idx="450">
                  <c:v>76</c:v>
                </c:pt>
                <c:pt idx="451">
                  <c:v>75</c:v>
                </c:pt>
                <c:pt idx="452">
                  <c:v>75</c:v>
                </c:pt>
                <c:pt idx="453">
                  <c:v>74</c:v>
                </c:pt>
                <c:pt idx="454">
                  <c:v>72</c:v>
                </c:pt>
                <c:pt idx="455">
                  <c:v>68</c:v>
                </c:pt>
                <c:pt idx="456">
                  <c:v>67</c:v>
                </c:pt>
                <c:pt idx="457">
                  <c:v>67</c:v>
                </c:pt>
                <c:pt idx="458">
                  <c:v>67</c:v>
                </c:pt>
                <c:pt idx="459">
                  <c:v>67</c:v>
                </c:pt>
                <c:pt idx="460">
                  <c:v>66</c:v>
                </c:pt>
                <c:pt idx="461">
                  <c:v>62</c:v>
                </c:pt>
                <c:pt idx="462">
                  <c:v>62</c:v>
                </c:pt>
                <c:pt idx="463">
                  <c:v>62</c:v>
                </c:pt>
                <c:pt idx="464">
                  <c:v>61</c:v>
                </c:pt>
                <c:pt idx="465">
                  <c:v>59</c:v>
                </c:pt>
                <c:pt idx="466">
                  <c:v>58</c:v>
                </c:pt>
                <c:pt idx="467">
                  <c:v>56</c:v>
                </c:pt>
                <c:pt idx="468">
                  <c:v>56</c:v>
                </c:pt>
                <c:pt idx="469">
                  <c:v>55</c:v>
                </c:pt>
                <c:pt idx="470">
                  <c:v>55</c:v>
                </c:pt>
                <c:pt idx="471">
                  <c:v>54</c:v>
                </c:pt>
                <c:pt idx="472">
                  <c:v>53</c:v>
                </c:pt>
                <c:pt idx="473">
                  <c:v>53</c:v>
                </c:pt>
                <c:pt idx="474">
                  <c:v>53</c:v>
                </c:pt>
                <c:pt idx="475">
                  <c:v>53</c:v>
                </c:pt>
                <c:pt idx="476">
                  <c:v>52</c:v>
                </c:pt>
                <c:pt idx="477">
                  <c:v>48</c:v>
                </c:pt>
                <c:pt idx="478">
                  <c:v>46</c:v>
                </c:pt>
                <c:pt idx="479">
                  <c:v>46</c:v>
                </c:pt>
                <c:pt idx="480">
                  <c:v>43</c:v>
                </c:pt>
                <c:pt idx="481">
                  <c:v>43</c:v>
                </c:pt>
                <c:pt idx="482">
                  <c:v>42</c:v>
                </c:pt>
                <c:pt idx="483">
                  <c:v>38</c:v>
                </c:pt>
                <c:pt idx="484">
                  <c:v>37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  <c:pt idx="493">
                  <c:v>33</c:v>
                </c:pt>
                <c:pt idx="494">
                  <c:v>33</c:v>
                </c:pt>
                <c:pt idx="495">
                  <c:v>32</c:v>
                </c:pt>
                <c:pt idx="496">
                  <c:v>32</c:v>
                </c:pt>
                <c:pt idx="497">
                  <c:v>32</c:v>
                </c:pt>
                <c:pt idx="498">
                  <c:v>31</c:v>
                </c:pt>
                <c:pt idx="499">
                  <c:v>31</c:v>
                </c:pt>
                <c:pt idx="500">
                  <c:v>30</c:v>
                </c:pt>
                <c:pt idx="501">
                  <c:v>29</c:v>
                </c:pt>
                <c:pt idx="502">
                  <c:v>29</c:v>
                </c:pt>
                <c:pt idx="503">
                  <c:v>28</c:v>
                </c:pt>
                <c:pt idx="504">
                  <c:v>28</c:v>
                </c:pt>
                <c:pt idx="505">
                  <c:v>26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22</c:v>
                </c:pt>
                <c:pt idx="513">
                  <c:v>22</c:v>
                </c:pt>
                <c:pt idx="514">
                  <c:v>20</c:v>
                </c:pt>
                <c:pt idx="515">
                  <c:v>18</c:v>
                </c:pt>
                <c:pt idx="516">
                  <c:v>17</c:v>
                </c:pt>
                <c:pt idx="517">
                  <c:v>17</c:v>
                </c:pt>
                <c:pt idx="518">
                  <c:v>16</c:v>
                </c:pt>
                <c:pt idx="519">
                  <c:v>16</c:v>
                </c:pt>
                <c:pt idx="520">
                  <c:v>15</c:v>
                </c:pt>
                <c:pt idx="521">
                  <c:v>15</c:v>
                </c:pt>
                <c:pt idx="522">
                  <c:v>15</c:v>
                </c:pt>
                <c:pt idx="523">
                  <c:v>14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13</c:v>
                </c:pt>
                <c:pt idx="529">
                  <c:v>12</c:v>
                </c:pt>
                <c:pt idx="530">
                  <c:v>11</c:v>
                </c:pt>
                <c:pt idx="531">
                  <c:v>11</c:v>
                </c:pt>
                <c:pt idx="532">
                  <c:v>10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7</c:v>
                </c:pt>
                <c:pt idx="541">
                  <c:v>7</c:v>
                </c:pt>
                <c:pt idx="542">
                  <c:v>7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4</c:v>
                </c:pt>
                <c:pt idx="551">
                  <c:v>4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2</c:v>
                </c:pt>
                <c:pt idx="558">
                  <c:v>2</c:v>
                </c:pt>
                <c:pt idx="559">
                  <c:v>1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</c:numCache>
            </c:numRef>
          </c:xVal>
          <c:yVal>
            <c:numRef>
              <c:f>'Analyse complémentaire 1'!$D$4:$D$572</c:f>
              <c:numCache>
                <c:formatCode>General</c:formatCode>
                <c:ptCount val="569"/>
                <c:pt idx="0">
                  <c:v>4112</c:v>
                </c:pt>
                <c:pt idx="1">
                  <c:v>3429</c:v>
                </c:pt>
                <c:pt idx="2">
                  <c:v>4501</c:v>
                </c:pt>
                <c:pt idx="3">
                  <c:v>3846</c:v>
                </c:pt>
                <c:pt idx="4">
                  <c:v>3456</c:v>
                </c:pt>
                <c:pt idx="5">
                  <c:v>3113</c:v>
                </c:pt>
                <c:pt idx="6">
                  <c:v>3018</c:v>
                </c:pt>
                <c:pt idx="7">
                  <c:v>3397</c:v>
                </c:pt>
                <c:pt idx="8">
                  <c:v>3360</c:v>
                </c:pt>
                <c:pt idx="9">
                  <c:v>3555</c:v>
                </c:pt>
                <c:pt idx="10">
                  <c:v>3370</c:v>
                </c:pt>
                <c:pt idx="11">
                  <c:v>2568</c:v>
                </c:pt>
                <c:pt idx="12">
                  <c:v>2690</c:v>
                </c:pt>
                <c:pt idx="13">
                  <c:v>2849</c:v>
                </c:pt>
                <c:pt idx="14">
                  <c:v>2757</c:v>
                </c:pt>
                <c:pt idx="15">
                  <c:v>3297</c:v>
                </c:pt>
                <c:pt idx="16">
                  <c:v>2805</c:v>
                </c:pt>
                <c:pt idx="17">
                  <c:v>2665</c:v>
                </c:pt>
                <c:pt idx="18">
                  <c:v>2678</c:v>
                </c:pt>
                <c:pt idx="19">
                  <c:v>2827</c:v>
                </c:pt>
                <c:pt idx="20">
                  <c:v>2847</c:v>
                </c:pt>
                <c:pt idx="21">
                  <c:v>2678</c:v>
                </c:pt>
                <c:pt idx="22">
                  <c:v>2412</c:v>
                </c:pt>
                <c:pt idx="23">
                  <c:v>2788</c:v>
                </c:pt>
                <c:pt idx="24">
                  <c:v>2635</c:v>
                </c:pt>
                <c:pt idx="25">
                  <c:v>2579</c:v>
                </c:pt>
                <c:pt idx="26">
                  <c:v>3192</c:v>
                </c:pt>
                <c:pt idx="27">
                  <c:v>2436</c:v>
                </c:pt>
                <c:pt idx="28">
                  <c:v>2465</c:v>
                </c:pt>
                <c:pt idx="29">
                  <c:v>2435</c:v>
                </c:pt>
                <c:pt idx="30">
                  <c:v>2586</c:v>
                </c:pt>
                <c:pt idx="31">
                  <c:v>3104</c:v>
                </c:pt>
                <c:pt idx="32">
                  <c:v>2625</c:v>
                </c:pt>
                <c:pt idx="33">
                  <c:v>2456</c:v>
                </c:pt>
                <c:pt idx="34">
                  <c:v>2381</c:v>
                </c:pt>
                <c:pt idx="35">
                  <c:v>2224</c:v>
                </c:pt>
                <c:pt idx="36">
                  <c:v>2267</c:v>
                </c:pt>
                <c:pt idx="37">
                  <c:v>3022</c:v>
                </c:pt>
                <c:pt idx="38">
                  <c:v>2135</c:v>
                </c:pt>
                <c:pt idx="39">
                  <c:v>2832</c:v>
                </c:pt>
                <c:pt idx="40">
                  <c:v>3184</c:v>
                </c:pt>
                <c:pt idx="41">
                  <c:v>3157</c:v>
                </c:pt>
                <c:pt idx="42">
                  <c:v>1952</c:v>
                </c:pt>
                <c:pt idx="43">
                  <c:v>2102</c:v>
                </c:pt>
                <c:pt idx="44">
                  <c:v>2427</c:v>
                </c:pt>
                <c:pt idx="45">
                  <c:v>2539</c:v>
                </c:pt>
                <c:pt idx="46">
                  <c:v>2826</c:v>
                </c:pt>
                <c:pt idx="47">
                  <c:v>1860</c:v>
                </c:pt>
                <c:pt idx="48">
                  <c:v>2381</c:v>
                </c:pt>
                <c:pt idx="49">
                  <c:v>2353</c:v>
                </c:pt>
                <c:pt idx="50">
                  <c:v>2637</c:v>
                </c:pt>
                <c:pt idx="51">
                  <c:v>2704</c:v>
                </c:pt>
                <c:pt idx="52">
                  <c:v>2523</c:v>
                </c:pt>
                <c:pt idx="53">
                  <c:v>2025</c:v>
                </c:pt>
                <c:pt idx="54">
                  <c:v>2158</c:v>
                </c:pt>
                <c:pt idx="55">
                  <c:v>2390</c:v>
                </c:pt>
                <c:pt idx="56">
                  <c:v>2299</c:v>
                </c:pt>
                <c:pt idx="57">
                  <c:v>2155</c:v>
                </c:pt>
                <c:pt idx="58">
                  <c:v>1992</c:v>
                </c:pt>
                <c:pt idx="59">
                  <c:v>2016</c:v>
                </c:pt>
                <c:pt idx="60">
                  <c:v>1882</c:v>
                </c:pt>
                <c:pt idx="61">
                  <c:v>1985</c:v>
                </c:pt>
                <c:pt idx="62">
                  <c:v>1758</c:v>
                </c:pt>
                <c:pt idx="63">
                  <c:v>1901</c:v>
                </c:pt>
                <c:pt idx="64">
                  <c:v>2096</c:v>
                </c:pt>
                <c:pt idx="65">
                  <c:v>2264</c:v>
                </c:pt>
                <c:pt idx="66">
                  <c:v>1977</c:v>
                </c:pt>
                <c:pt idx="67">
                  <c:v>1908</c:v>
                </c:pt>
                <c:pt idx="68">
                  <c:v>2326</c:v>
                </c:pt>
                <c:pt idx="69">
                  <c:v>2093</c:v>
                </c:pt>
                <c:pt idx="70">
                  <c:v>2512</c:v>
                </c:pt>
                <c:pt idx="71">
                  <c:v>2649</c:v>
                </c:pt>
                <c:pt idx="72">
                  <c:v>1973</c:v>
                </c:pt>
                <c:pt idx="73">
                  <c:v>1645</c:v>
                </c:pt>
                <c:pt idx="74">
                  <c:v>1866</c:v>
                </c:pt>
                <c:pt idx="75">
                  <c:v>2812</c:v>
                </c:pt>
                <c:pt idx="76">
                  <c:v>1790</c:v>
                </c:pt>
                <c:pt idx="77">
                  <c:v>1725</c:v>
                </c:pt>
                <c:pt idx="78">
                  <c:v>2895</c:v>
                </c:pt>
                <c:pt idx="79">
                  <c:v>1882</c:v>
                </c:pt>
                <c:pt idx="80">
                  <c:v>2248</c:v>
                </c:pt>
                <c:pt idx="81">
                  <c:v>2639</c:v>
                </c:pt>
                <c:pt idx="82">
                  <c:v>1697</c:v>
                </c:pt>
                <c:pt idx="83">
                  <c:v>1670</c:v>
                </c:pt>
                <c:pt idx="84">
                  <c:v>2263</c:v>
                </c:pt>
                <c:pt idx="85">
                  <c:v>2073</c:v>
                </c:pt>
                <c:pt idx="86">
                  <c:v>2310</c:v>
                </c:pt>
                <c:pt idx="87">
                  <c:v>2353</c:v>
                </c:pt>
                <c:pt idx="88">
                  <c:v>1913</c:v>
                </c:pt>
                <c:pt idx="89">
                  <c:v>1748</c:v>
                </c:pt>
                <c:pt idx="90">
                  <c:v>2463</c:v>
                </c:pt>
                <c:pt idx="91">
                  <c:v>1975</c:v>
                </c:pt>
                <c:pt idx="92">
                  <c:v>1658</c:v>
                </c:pt>
                <c:pt idx="93">
                  <c:v>1575</c:v>
                </c:pt>
                <c:pt idx="94">
                  <c:v>2044</c:v>
                </c:pt>
                <c:pt idx="95">
                  <c:v>2496</c:v>
                </c:pt>
                <c:pt idx="96">
                  <c:v>1634</c:v>
                </c:pt>
                <c:pt idx="97">
                  <c:v>1753</c:v>
                </c:pt>
                <c:pt idx="98">
                  <c:v>1615</c:v>
                </c:pt>
                <c:pt idx="99">
                  <c:v>1794</c:v>
                </c:pt>
                <c:pt idx="100">
                  <c:v>1564</c:v>
                </c:pt>
                <c:pt idx="101">
                  <c:v>1415</c:v>
                </c:pt>
                <c:pt idx="102">
                  <c:v>2075</c:v>
                </c:pt>
                <c:pt idx="103">
                  <c:v>1589</c:v>
                </c:pt>
                <c:pt idx="104">
                  <c:v>1956</c:v>
                </c:pt>
                <c:pt idx="105">
                  <c:v>1809</c:v>
                </c:pt>
                <c:pt idx="106">
                  <c:v>2390</c:v>
                </c:pt>
                <c:pt idx="107">
                  <c:v>1332</c:v>
                </c:pt>
                <c:pt idx="108">
                  <c:v>1878</c:v>
                </c:pt>
                <c:pt idx="109">
                  <c:v>1968</c:v>
                </c:pt>
                <c:pt idx="110">
                  <c:v>1643</c:v>
                </c:pt>
                <c:pt idx="111">
                  <c:v>1813</c:v>
                </c:pt>
                <c:pt idx="112">
                  <c:v>1675</c:v>
                </c:pt>
                <c:pt idx="113">
                  <c:v>1564</c:v>
                </c:pt>
                <c:pt idx="114">
                  <c:v>2018</c:v>
                </c:pt>
                <c:pt idx="115">
                  <c:v>1847</c:v>
                </c:pt>
                <c:pt idx="116">
                  <c:v>1438</c:v>
                </c:pt>
                <c:pt idx="117">
                  <c:v>1339</c:v>
                </c:pt>
                <c:pt idx="118">
                  <c:v>1520</c:v>
                </c:pt>
                <c:pt idx="119">
                  <c:v>1332</c:v>
                </c:pt>
                <c:pt idx="120">
                  <c:v>1762</c:v>
                </c:pt>
                <c:pt idx="121">
                  <c:v>1574</c:v>
                </c:pt>
                <c:pt idx="122">
                  <c:v>1845</c:v>
                </c:pt>
                <c:pt idx="123">
                  <c:v>1388</c:v>
                </c:pt>
                <c:pt idx="124">
                  <c:v>1872</c:v>
                </c:pt>
                <c:pt idx="125">
                  <c:v>1319</c:v>
                </c:pt>
                <c:pt idx="126">
                  <c:v>1247</c:v>
                </c:pt>
                <c:pt idx="127">
                  <c:v>1455</c:v>
                </c:pt>
                <c:pt idx="128">
                  <c:v>1536</c:v>
                </c:pt>
                <c:pt idx="129">
                  <c:v>1243</c:v>
                </c:pt>
                <c:pt idx="130">
                  <c:v>1635</c:v>
                </c:pt>
                <c:pt idx="131">
                  <c:v>1416</c:v>
                </c:pt>
                <c:pt idx="132">
                  <c:v>1583</c:v>
                </c:pt>
                <c:pt idx="133">
                  <c:v>1624</c:v>
                </c:pt>
                <c:pt idx="134">
                  <c:v>1404</c:v>
                </c:pt>
                <c:pt idx="135">
                  <c:v>1302</c:v>
                </c:pt>
                <c:pt idx="136">
                  <c:v>1343</c:v>
                </c:pt>
                <c:pt idx="137">
                  <c:v>1326</c:v>
                </c:pt>
                <c:pt idx="138">
                  <c:v>1638</c:v>
                </c:pt>
                <c:pt idx="139">
                  <c:v>1474</c:v>
                </c:pt>
                <c:pt idx="140">
                  <c:v>1338</c:v>
                </c:pt>
                <c:pt idx="141">
                  <c:v>1638</c:v>
                </c:pt>
                <c:pt idx="142">
                  <c:v>1502</c:v>
                </c:pt>
                <c:pt idx="143">
                  <c:v>1611</c:v>
                </c:pt>
                <c:pt idx="144">
                  <c:v>1507</c:v>
                </c:pt>
                <c:pt idx="145">
                  <c:v>1310</c:v>
                </c:pt>
                <c:pt idx="146">
                  <c:v>2230</c:v>
                </c:pt>
                <c:pt idx="147">
                  <c:v>1974</c:v>
                </c:pt>
                <c:pt idx="148">
                  <c:v>1683</c:v>
                </c:pt>
                <c:pt idx="149">
                  <c:v>1241</c:v>
                </c:pt>
                <c:pt idx="150">
                  <c:v>1548</c:v>
                </c:pt>
                <c:pt idx="151">
                  <c:v>1123</c:v>
                </c:pt>
                <c:pt idx="152">
                  <c:v>1135</c:v>
                </c:pt>
                <c:pt idx="153">
                  <c:v>1596</c:v>
                </c:pt>
                <c:pt idx="154">
                  <c:v>1102</c:v>
                </c:pt>
                <c:pt idx="155">
                  <c:v>1402</c:v>
                </c:pt>
                <c:pt idx="156">
                  <c:v>1534</c:v>
                </c:pt>
                <c:pt idx="157">
                  <c:v>1562</c:v>
                </c:pt>
                <c:pt idx="158">
                  <c:v>1376</c:v>
                </c:pt>
                <c:pt idx="159">
                  <c:v>1619</c:v>
                </c:pt>
                <c:pt idx="160">
                  <c:v>1583</c:v>
                </c:pt>
                <c:pt idx="161">
                  <c:v>1359</c:v>
                </c:pt>
                <c:pt idx="162">
                  <c:v>1455</c:v>
                </c:pt>
                <c:pt idx="163">
                  <c:v>1552</c:v>
                </c:pt>
                <c:pt idx="164">
                  <c:v>1293</c:v>
                </c:pt>
                <c:pt idx="165">
                  <c:v>1261</c:v>
                </c:pt>
                <c:pt idx="166">
                  <c:v>1222</c:v>
                </c:pt>
                <c:pt idx="167">
                  <c:v>1558</c:v>
                </c:pt>
                <c:pt idx="168">
                  <c:v>1417</c:v>
                </c:pt>
                <c:pt idx="169">
                  <c:v>1312</c:v>
                </c:pt>
                <c:pt idx="170">
                  <c:v>1374</c:v>
                </c:pt>
                <c:pt idx="171">
                  <c:v>1584</c:v>
                </c:pt>
                <c:pt idx="172">
                  <c:v>1854</c:v>
                </c:pt>
                <c:pt idx="173">
                  <c:v>1424</c:v>
                </c:pt>
                <c:pt idx="174">
                  <c:v>1560</c:v>
                </c:pt>
                <c:pt idx="175">
                  <c:v>2071</c:v>
                </c:pt>
                <c:pt idx="176">
                  <c:v>1927</c:v>
                </c:pt>
                <c:pt idx="177">
                  <c:v>1286</c:v>
                </c:pt>
                <c:pt idx="178">
                  <c:v>1304</c:v>
                </c:pt>
                <c:pt idx="179">
                  <c:v>1612</c:v>
                </c:pt>
                <c:pt idx="180">
                  <c:v>1605</c:v>
                </c:pt>
                <c:pt idx="181">
                  <c:v>1361</c:v>
                </c:pt>
                <c:pt idx="182">
                  <c:v>2020</c:v>
                </c:pt>
                <c:pt idx="183">
                  <c:v>1293</c:v>
                </c:pt>
                <c:pt idx="184">
                  <c:v>1643</c:v>
                </c:pt>
                <c:pt idx="185">
                  <c:v>991</c:v>
                </c:pt>
                <c:pt idx="186">
                  <c:v>1108</c:v>
                </c:pt>
                <c:pt idx="187">
                  <c:v>828</c:v>
                </c:pt>
                <c:pt idx="188">
                  <c:v>984</c:v>
                </c:pt>
                <c:pt idx="189">
                  <c:v>1493</c:v>
                </c:pt>
                <c:pt idx="190">
                  <c:v>1523</c:v>
                </c:pt>
                <c:pt idx="191">
                  <c:v>948</c:v>
                </c:pt>
                <c:pt idx="192">
                  <c:v>1442</c:v>
                </c:pt>
                <c:pt idx="193">
                  <c:v>1473</c:v>
                </c:pt>
                <c:pt idx="194">
                  <c:v>988</c:v>
                </c:pt>
                <c:pt idx="195">
                  <c:v>1075</c:v>
                </c:pt>
                <c:pt idx="196">
                  <c:v>1484</c:v>
                </c:pt>
                <c:pt idx="197">
                  <c:v>1209</c:v>
                </c:pt>
                <c:pt idx="198">
                  <c:v>1310</c:v>
                </c:pt>
                <c:pt idx="199">
                  <c:v>1300</c:v>
                </c:pt>
                <c:pt idx="200">
                  <c:v>1510</c:v>
                </c:pt>
                <c:pt idx="201">
                  <c:v>998</c:v>
                </c:pt>
                <c:pt idx="202">
                  <c:v>1294</c:v>
                </c:pt>
                <c:pt idx="203">
                  <c:v>1078</c:v>
                </c:pt>
                <c:pt idx="204">
                  <c:v>1191</c:v>
                </c:pt>
                <c:pt idx="205">
                  <c:v>942</c:v>
                </c:pt>
                <c:pt idx="206">
                  <c:v>1187</c:v>
                </c:pt>
                <c:pt idx="207">
                  <c:v>1013</c:v>
                </c:pt>
                <c:pt idx="208">
                  <c:v>1106</c:v>
                </c:pt>
                <c:pt idx="209">
                  <c:v>1340</c:v>
                </c:pt>
                <c:pt idx="210">
                  <c:v>1166</c:v>
                </c:pt>
                <c:pt idx="211">
                  <c:v>1314</c:v>
                </c:pt>
                <c:pt idx="212">
                  <c:v>1243</c:v>
                </c:pt>
                <c:pt idx="213">
                  <c:v>1086</c:v>
                </c:pt>
                <c:pt idx="214">
                  <c:v>1386</c:v>
                </c:pt>
                <c:pt idx="215">
                  <c:v>1007</c:v>
                </c:pt>
                <c:pt idx="216">
                  <c:v>954</c:v>
                </c:pt>
                <c:pt idx="217">
                  <c:v>1230</c:v>
                </c:pt>
                <c:pt idx="218">
                  <c:v>1095</c:v>
                </c:pt>
                <c:pt idx="219">
                  <c:v>1015</c:v>
                </c:pt>
                <c:pt idx="220">
                  <c:v>1248</c:v>
                </c:pt>
                <c:pt idx="221">
                  <c:v>1288</c:v>
                </c:pt>
                <c:pt idx="222">
                  <c:v>882</c:v>
                </c:pt>
                <c:pt idx="223">
                  <c:v>1197</c:v>
                </c:pt>
                <c:pt idx="224">
                  <c:v>1026</c:v>
                </c:pt>
                <c:pt idx="225">
                  <c:v>1029</c:v>
                </c:pt>
                <c:pt idx="226">
                  <c:v>1079</c:v>
                </c:pt>
                <c:pt idx="227">
                  <c:v>1022</c:v>
                </c:pt>
                <c:pt idx="228">
                  <c:v>1132</c:v>
                </c:pt>
                <c:pt idx="229">
                  <c:v>1631</c:v>
                </c:pt>
                <c:pt idx="230">
                  <c:v>1074</c:v>
                </c:pt>
                <c:pt idx="231">
                  <c:v>940</c:v>
                </c:pt>
                <c:pt idx="232">
                  <c:v>1044</c:v>
                </c:pt>
                <c:pt idx="233">
                  <c:v>741</c:v>
                </c:pt>
                <c:pt idx="234">
                  <c:v>998</c:v>
                </c:pt>
                <c:pt idx="235">
                  <c:v>1359</c:v>
                </c:pt>
                <c:pt idx="236">
                  <c:v>1206</c:v>
                </c:pt>
                <c:pt idx="237">
                  <c:v>1107</c:v>
                </c:pt>
                <c:pt idx="238">
                  <c:v>816</c:v>
                </c:pt>
                <c:pt idx="239">
                  <c:v>1480</c:v>
                </c:pt>
                <c:pt idx="240">
                  <c:v>1030</c:v>
                </c:pt>
                <c:pt idx="241">
                  <c:v>871</c:v>
                </c:pt>
                <c:pt idx="242">
                  <c:v>1058</c:v>
                </c:pt>
                <c:pt idx="243">
                  <c:v>1175</c:v>
                </c:pt>
                <c:pt idx="244">
                  <c:v>1229</c:v>
                </c:pt>
                <c:pt idx="245">
                  <c:v>800</c:v>
                </c:pt>
                <c:pt idx="246">
                  <c:v>849</c:v>
                </c:pt>
                <c:pt idx="247">
                  <c:v>882</c:v>
                </c:pt>
                <c:pt idx="248">
                  <c:v>1104</c:v>
                </c:pt>
                <c:pt idx="249">
                  <c:v>874</c:v>
                </c:pt>
                <c:pt idx="250">
                  <c:v>858</c:v>
                </c:pt>
                <c:pt idx="251">
                  <c:v>878</c:v>
                </c:pt>
                <c:pt idx="252">
                  <c:v>741</c:v>
                </c:pt>
                <c:pt idx="253">
                  <c:v>832</c:v>
                </c:pt>
                <c:pt idx="254">
                  <c:v>903</c:v>
                </c:pt>
                <c:pt idx="255">
                  <c:v>1372</c:v>
                </c:pt>
                <c:pt idx="256">
                  <c:v>1541</c:v>
                </c:pt>
                <c:pt idx="257">
                  <c:v>994</c:v>
                </c:pt>
                <c:pt idx="258">
                  <c:v>1418</c:v>
                </c:pt>
                <c:pt idx="259">
                  <c:v>990</c:v>
                </c:pt>
                <c:pt idx="260">
                  <c:v>743</c:v>
                </c:pt>
                <c:pt idx="261">
                  <c:v>787</c:v>
                </c:pt>
                <c:pt idx="262">
                  <c:v>1016</c:v>
                </c:pt>
                <c:pt idx="263">
                  <c:v>958</c:v>
                </c:pt>
                <c:pt idx="264">
                  <c:v>1030</c:v>
                </c:pt>
                <c:pt idx="265">
                  <c:v>1073</c:v>
                </c:pt>
                <c:pt idx="266">
                  <c:v>1207</c:v>
                </c:pt>
                <c:pt idx="267">
                  <c:v>918</c:v>
                </c:pt>
                <c:pt idx="268">
                  <c:v>671</c:v>
                </c:pt>
                <c:pt idx="269">
                  <c:v>1115</c:v>
                </c:pt>
                <c:pt idx="270">
                  <c:v>1178</c:v>
                </c:pt>
                <c:pt idx="271">
                  <c:v>687</c:v>
                </c:pt>
                <c:pt idx="272">
                  <c:v>769</c:v>
                </c:pt>
                <c:pt idx="273">
                  <c:v>1091</c:v>
                </c:pt>
                <c:pt idx="274">
                  <c:v>902</c:v>
                </c:pt>
                <c:pt idx="275">
                  <c:v>1207</c:v>
                </c:pt>
                <c:pt idx="276">
                  <c:v>997</c:v>
                </c:pt>
                <c:pt idx="277">
                  <c:v>679</c:v>
                </c:pt>
                <c:pt idx="278">
                  <c:v>724</c:v>
                </c:pt>
                <c:pt idx="279">
                  <c:v>1066</c:v>
                </c:pt>
                <c:pt idx="280">
                  <c:v>774</c:v>
                </c:pt>
                <c:pt idx="281">
                  <c:v>1007</c:v>
                </c:pt>
                <c:pt idx="282">
                  <c:v>996</c:v>
                </c:pt>
                <c:pt idx="283">
                  <c:v>662</c:v>
                </c:pt>
                <c:pt idx="284">
                  <c:v>864</c:v>
                </c:pt>
                <c:pt idx="285">
                  <c:v>870</c:v>
                </c:pt>
                <c:pt idx="286">
                  <c:v>639</c:v>
                </c:pt>
                <c:pt idx="287">
                  <c:v>518</c:v>
                </c:pt>
                <c:pt idx="288">
                  <c:v>756</c:v>
                </c:pt>
                <c:pt idx="289">
                  <c:v>952</c:v>
                </c:pt>
                <c:pt idx="290">
                  <c:v>1284</c:v>
                </c:pt>
                <c:pt idx="291">
                  <c:v>614</c:v>
                </c:pt>
                <c:pt idx="292">
                  <c:v>754</c:v>
                </c:pt>
                <c:pt idx="293">
                  <c:v>672</c:v>
                </c:pt>
                <c:pt idx="294">
                  <c:v>715</c:v>
                </c:pt>
                <c:pt idx="295">
                  <c:v>893</c:v>
                </c:pt>
                <c:pt idx="296">
                  <c:v>806</c:v>
                </c:pt>
                <c:pt idx="297">
                  <c:v>581</c:v>
                </c:pt>
                <c:pt idx="298">
                  <c:v>1258</c:v>
                </c:pt>
                <c:pt idx="299">
                  <c:v>865</c:v>
                </c:pt>
                <c:pt idx="300">
                  <c:v>745</c:v>
                </c:pt>
                <c:pt idx="301">
                  <c:v>606</c:v>
                </c:pt>
                <c:pt idx="302">
                  <c:v>790</c:v>
                </c:pt>
                <c:pt idx="303">
                  <c:v>897</c:v>
                </c:pt>
                <c:pt idx="304">
                  <c:v>677</c:v>
                </c:pt>
                <c:pt idx="305">
                  <c:v>638</c:v>
                </c:pt>
                <c:pt idx="306">
                  <c:v>954</c:v>
                </c:pt>
                <c:pt idx="307">
                  <c:v>928</c:v>
                </c:pt>
                <c:pt idx="308">
                  <c:v>702</c:v>
                </c:pt>
                <c:pt idx="309">
                  <c:v>800</c:v>
                </c:pt>
                <c:pt idx="310">
                  <c:v>646</c:v>
                </c:pt>
                <c:pt idx="311">
                  <c:v>578</c:v>
                </c:pt>
                <c:pt idx="312">
                  <c:v>730</c:v>
                </c:pt>
                <c:pt idx="313">
                  <c:v>484</c:v>
                </c:pt>
                <c:pt idx="314">
                  <c:v>832</c:v>
                </c:pt>
                <c:pt idx="315">
                  <c:v>718</c:v>
                </c:pt>
                <c:pt idx="316">
                  <c:v>566</c:v>
                </c:pt>
                <c:pt idx="317">
                  <c:v>455</c:v>
                </c:pt>
                <c:pt idx="318">
                  <c:v>636</c:v>
                </c:pt>
                <c:pt idx="319">
                  <c:v>644</c:v>
                </c:pt>
                <c:pt idx="320">
                  <c:v>744</c:v>
                </c:pt>
                <c:pt idx="321">
                  <c:v>888</c:v>
                </c:pt>
                <c:pt idx="322">
                  <c:v>589</c:v>
                </c:pt>
                <c:pt idx="323">
                  <c:v>508</c:v>
                </c:pt>
                <c:pt idx="324">
                  <c:v>537</c:v>
                </c:pt>
                <c:pt idx="325">
                  <c:v>456</c:v>
                </c:pt>
                <c:pt idx="326">
                  <c:v>732</c:v>
                </c:pt>
                <c:pt idx="327">
                  <c:v>557</c:v>
                </c:pt>
                <c:pt idx="328">
                  <c:v>503</c:v>
                </c:pt>
                <c:pt idx="329">
                  <c:v>763</c:v>
                </c:pt>
                <c:pt idx="330">
                  <c:v>1056</c:v>
                </c:pt>
                <c:pt idx="331">
                  <c:v>562</c:v>
                </c:pt>
                <c:pt idx="332">
                  <c:v>550</c:v>
                </c:pt>
                <c:pt idx="333">
                  <c:v>418</c:v>
                </c:pt>
                <c:pt idx="334">
                  <c:v>482</c:v>
                </c:pt>
                <c:pt idx="335">
                  <c:v>452</c:v>
                </c:pt>
                <c:pt idx="336">
                  <c:v>429</c:v>
                </c:pt>
                <c:pt idx="337">
                  <c:v>357</c:v>
                </c:pt>
                <c:pt idx="338">
                  <c:v>473</c:v>
                </c:pt>
                <c:pt idx="339">
                  <c:v>468</c:v>
                </c:pt>
                <c:pt idx="340">
                  <c:v>616</c:v>
                </c:pt>
                <c:pt idx="341">
                  <c:v>525</c:v>
                </c:pt>
                <c:pt idx="342">
                  <c:v>556</c:v>
                </c:pt>
                <c:pt idx="343">
                  <c:v>580</c:v>
                </c:pt>
                <c:pt idx="344">
                  <c:v>657</c:v>
                </c:pt>
                <c:pt idx="345">
                  <c:v>812</c:v>
                </c:pt>
                <c:pt idx="346">
                  <c:v>436</c:v>
                </c:pt>
                <c:pt idx="347">
                  <c:v>415</c:v>
                </c:pt>
                <c:pt idx="348">
                  <c:v>488</c:v>
                </c:pt>
                <c:pt idx="349">
                  <c:v>534</c:v>
                </c:pt>
                <c:pt idx="350">
                  <c:v>383</c:v>
                </c:pt>
                <c:pt idx="351">
                  <c:v>717</c:v>
                </c:pt>
                <c:pt idx="352">
                  <c:v>500</c:v>
                </c:pt>
                <c:pt idx="353">
                  <c:v>466</c:v>
                </c:pt>
                <c:pt idx="354">
                  <c:v>494</c:v>
                </c:pt>
                <c:pt idx="355">
                  <c:v>466</c:v>
                </c:pt>
                <c:pt idx="356">
                  <c:v>495</c:v>
                </c:pt>
                <c:pt idx="357">
                  <c:v>480</c:v>
                </c:pt>
                <c:pt idx="358">
                  <c:v>571</c:v>
                </c:pt>
                <c:pt idx="359">
                  <c:v>403</c:v>
                </c:pt>
                <c:pt idx="360">
                  <c:v>465</c:v>
                </c:pt>
                <c:pt idx="361">
                  <c:v>405</c:v>
                </c:pt>
                <c:pt idx="362">
                  <c:v>434</c:v>
                </c:pt>
                <c:pt idx="363">
                  <c:v>478</c:v>
                </c:pt>
                <c:pt idx="364">
                  <c:v>563</c:v>
                </c:pt>
                <c:pt idx="365">
                  <c:v>295</c:v>
                </c:pt>
                <c:pt idx="366">
                  <c:v>502</c:v>
                </c:pt>
                <c:pt idx="367">
                  <c:v>402</c:v>
                </c:pt>
                <c:pt idx="368">
                  <c:v>445</c:v>
                </c:pt>
                <c:pt idx="369">
                  <c:v>320</c:v>
                </c:pt>
                <c:pt idx="370">
                  <c:v>291</c:v>
                </c:pt>
                <c:pt idx="371">
                  <c:v>371</c:v>
                </c:pt>
                <c:pt idx="372">
                  <c:v>472</c:v>
                </c:pt>
                <c:pt idx="373">
                  <c:v>428</c:v>
                </c:pt>
                <c:pt idx="374">
                  <c:v>386</c:v>
                </c:pt>
                <c:pt idx="375">
                  <c:v>372</c:v>
                </c:pt>
                <c:pt idx="376">
                  <c:v>540</c:v>
                </c:pt>
                <c:pt idx="377">
                  <c:v>460</c:v>
                </c:pt>
                <c:pt idx="378">
                  <c:v>356</c:v>
                </c:pt>
                <c:pt idx="379">
                  <c:v>455</c:v>
                </c:pt>
                <c:pt idx="380">
                  <c:v>475</c:v>
                </c:pt>
                <c:pt idx="381">
                  <c:v>421</c:v>
                </c:pt>
                <c:pt idx="382">
                  <c:v>307</c:v>
                </c:pt>
                <c:pt idx="383">
                  <c:v>295</c:v>
                </c:pt>
                <c:pt idx="384">
                  <c:v>375</c:v>
                </c:pt>
                <c:pt idx="385">
                  <c:v>353</c:v>
                </c:pt>
                <c:pt idx="386">
                  <c:v>311</c:v>
                </c:pt>
                <c:pt idx="387">
                  <c:v>374</c:v>
                </c:pt>
                <c:pt idx="388">
                  <c:v>269</c:v>
                </c:pt>
                <c:pt idx="389">
                  <c:v>533</c:v>
                </c:pt>
                <c:pt idx="390">
                  <c:v>350</c:v>
                </c:pt>
                <c:pt idx="391">
                  <c:v>197</c:v>
                </c:pt>
                <c:pt idx="392">
                  <c:v>365</c:v>
                </c:pt>
                <c:pt idx="393">
                  <c:v>470</c:v>
                </c:pt>
                <c:pt idx="394">
                  <c:v>340</c:v>
                </c:pt>
                <c:pt idx="395">
                  <c:v>279</c:v>
                </c:pt>
                <c:pt idx="396">
                  <c:v>262</c:v>
                </c:pt>
                <c:pt idx="397">
                  <c:v>438</c:v>
                </c:pt>
                <c:pt idx="398">
                  <c:v>473</c:v>
                </c:pt>
                <c:pt idx="399">
                  <c:v>349</c:v>
                </c:pt>
                <c:pt idx="400">
                  <c:v>234</c:v>
                </c:pt>
                <c:pt idx="401">
                  <c:v>295</c:v>
                </c:pt>
                <c:pt idx="402">
                  <c:v>291</c:v>
                </c:pt>
                <c:pt idx="403">
                  <c:v>248</c:v>
                </c:pt>
                <c:pt idx="404">
                  <c:v>400</c:v>
                </c:pt>
                <c:pt idx="405">
                  <c:v>291</c:v>
                </c:pt>
                <c:pt idx="406">
                  <c:v>255</c:v>
                </c:pt>
                <c:pt idx="407">
                  <c:v>440</c:v>
                </c:pt>
                <c:pt idx="408">
                  <c:v>343</c:v>
                </c:pt>
                <c:pt idx="409">
                  <c:v>311</c:v>
                </c:pt>
                <c:pt idx="410">
                  <c:v>278</c:v>
                </c:pt>
                <c:pt idx="411">
                  <c:v>216</c:v>
                </c:pt>
                <c:pt idx="412">
                  <c:v>271</c:v>
                </c:pt>
                <c:pt idx="413">
                  <c:v>220</c:v>
                </c:pt>
                <c:pt idx="414">
                  <c:v>435</c:v>
                </c:pt>
                <c:pt idx="415">
                  <c:v>410</c:v>
                </c:pt>
                <c:pt idx="416">
                  <c:v>244</c:v>
                </c:pt>
                <c:pt idx="417">
                  <c:v>172</c:v>
                </c:pt>
                <c:pt idx="418">
                  <c:v>330</c:v>
                </c:pt>
                <c:pt idx="419">
                  <c:v>285</c:v>
                </c:pt>
                <c:pt idx="420">
                  <c:v>273</c:v>
                </c:pt>
                <c:pt idx="421">
                  <c:v>474</c:v>
                </c:pt>
                <c:pt idx="422">
                  <c:v>209</c:v>
                </c:pt>
                <c:pt idx="423">
                  <c:v>217</c:v>
                </c:pt>
                <c:pt idx="424">
                  <c:v>273</c:v>
                </c:pt>
                <c:pt idx="425">
                  <c:v>297</c:v>
                </c:pt>
                <c:pt idx="426">
                  <c:v>212</c:v>
                </c:pt>
                <c:pt idx="427">
                  <c:v>337</c:v>
                </c:pt>
                <c:pt idx="428">
                  <c:v>333</c:v>
                </c:pt>
                <c:pt idx="429">
                  <c:v>300</c:v>
                </c:pt>
                <c:pt idx="430">
                  <c:v>218</c:v>
                </c:pt>
                <c:pt idx="431">
                  <c:v>290</c:v>
                </c:pt>
                <c:pt idx="432">
                  <c:v>337</c:v>
                </c:pt>
                <c:pt idx="433">
                  <c:v>257</c:v>
                </c:pt>
                <c:pt idx="434">
                  <c:v>244</c:v>
                </c:pt>
                <c:pt idx="435">
                  <c:v>440</c:v>
                </c:pt>
                <c:pt idx="436">
                  <c:v>293</c:v>
                </c:pt>
                <c:pt idx="437">
                  <c:v>317</c:v>
                </c:pt>
                <c:pt idx="438">
                  <c:v>285</c:v>
                </c:pt>
                <c:pt idx="439">
                  <c:v>228</c:v>
                </c:pt>
                <c:pt idx="440">
                  <c:v>320</c:v>
                </c:pt>
                <c:pt idx="441">
                  <c:v>146</c:v>
                </c:pt>
                <c:pt idx="442">
                  <c:v>475</c:v>
                </c:pt>
                <c:pt idx="443">
                  <c:v>244</c:v>
                </c:pt>
                <c:pt idx="444">
                  <c:v>133</c:v>
                </c:pt>
                <c:pt idx="445">
                  <c:v>250</c:v>
                </c:pt>
                <c:pt idx="446">
                  <c:v>197</c:v>
                </c:pt>
                <c:pt idx="447">
                  <c:v>147</c:v>
                </c:pt>
                <c:pt idx="448">
                  <c:v>171</c:v>
                </c:pt>
                <c:pt idx="449">
                  <c:v>192</c:v>
                </c:pt>
                <c:pt idx="450">
                  <c:v>212</c:v>
                </c:pt>
                <c:pt idx="451">
                  <c:v>146</c:v>
                </c:pt>
                <c:pt idx="452">
                  <c:v>151</c:v>
                </c:pt>
                <c:pt idx="453">
                  <c:v>313</c:v>
                </c:pt>
                <c:pt idx="454">
                  <c:v>180</c:v>
                </c:pt>
                <c:pt idx="455">
                  <c:v>292</c:v>
                </c:pt>
                <c:pt idx="456">
                  <c:v>125</c:v>
                </c:pt>
                <c:pt idx="457">
                  <c:v>144</c:v>
                </c:pt>
                <c:pt idx="458">
                  <c:v>222</c:v>
                </c:pt>
                <c:pt idx="459">
                  <c:v>115</c:v>
                </c:pt>
                <c:pt idx="460">
                  <c:v>116</c:v>
                </c:pt>
                <c:pt idx="461">
                  <c:v>140</c:v>
                </c:pt>
                <c:pt idx="462">
                  <c:v>128</c:v>
                </c:pt>
                <c:pt idx="463">
                  <c:v>148</c:v>
                </c:pt>
                <c:pt idx="464">
                  <c:v>147</c:v>
                </c:pt>
                <c:pt idx="465">
                  <c:v>110</c:v>
                </c:pt>
                <c:pt idx="466">
                  <c:v>172</c:v>
                </c:pt>
                <c:pt idx="467">
                  <c:v>160</c:v>
                </c:pt>
                <c:pt idx="468">
                  <c:v>125</c:v>
                </c:pt>
                <c:pt idx="469">
                  <c:v>135</c:v>
                </c:pt>
                <c:pt idx="470">
                  <c:v>88</c:v>
                </c:pt>
                <c:pt idx="471">
                  <c:v>137</c:v>
                </c:pt>
                <c:pt idx="472">
                  <c:v>182</c:v>
                </c:pt>
                <c:pt idx="473">
                  <c:v>111</c:v>
                </c:pt>
                <c:pt idx="474">
                  <c:v>156</c:v>
                </c:pt>
                <c:pt idx="475">
                  <c:v>98</c:v>
                </c:pt>
                <c:pt idx="476">
                  <c:v>97</c:v>
                </c:pt>
                <c:pt idx="477">
                  <c:v>153</c:v>
                </c:pt>
                <c:pt idx="478">
                  <c:v>108</c:v>
                </c:pt>
                <c:pt idx="479">
                  <c:v>88</c:v>
                </c:pt>
                <c:pt idx="480">
                  <c:v>106</c:v>
                </c:pt>
                <c:pt idx="481">
                  <c:v>55</c:v>
                </c:pt>
                <c:pt idx="482">
                  <c:v>71</c:v>
                </c:pt>
                <c:pt idx="483">
                  <c:v>86</c:v>
                </c:pt>
                <c:pt idx="484">
                  <c:v>61</c:v>
                </c:pt>
                <c:pt idx="485">
                  <c:v>73</c:v>
                </c:pt>
                <c:pt idx="486">
                  <c:v>86</c:v>
                </c:pt>
                <c:pt idx="487">
                  <c:v>65</c:v>
                </c:pt>
                <c:pt idx="488">
                  <c:v>79</c:v>
                </c:pt>
                <c:pt idx="489">
                  <c:v>80</c:v>
                </c:pt>
                <c:pt idx="490">
                  <c:v>104</c:v>
                </c:pt>
                <c:pt idx="491">
                  <c:v>74</c:v>
                </c:pt>
                <c:pt idx="492">
                  <c:v>97</c:v>
                </c:pt>
                <c:pt idx="493">
                  <c:v>77</c:v>
                </c:pt>
                <c:pt idx="494">
                  <c:v>129</c:v>
                </c:pt>
                <c:pt idx="495">
                  <c:v>83</c:v>
                </c:pt>
                <c:pt idx="496">
                  <c:v>99</c:v>
                </c:pt>
                <c:pt idx="497">
                  <c:v>76</c:v>
                </c:pt>
                <c:pt idx="498">
                  <c:v>67</c:v>
                </c:pt>
                <c:pt idx="499">
                  <c:v>70</c:v>
                </c:pt>
                <c:pt idx="500">
                  <c:v>87</c:v>
                </c:pt>
                <c:pt idx="501">
                  <c:v>88</c:v>
                </c:pt>
                <c:pt idx="502">
                  <c:v>46</c:v>
                </c:pt>
                <c:pt idx="503">
                  <c:v>64</c:v>
                </c:pt>
                <c:pt idx="504">
                  <c:v>69</c:v>
                </c:pt>
                <c:pt idx="505">
                  <c:v>78</c:v>
                </c:pt>
                <c:pt idx="506">
                  <c:v>53</c:v>
                </c:pt>
                <c:pt idx="507">
                  <c:v>43</c:v>
                </c:pt>
                <c:pt idx="508">
                  <c:v>68</c:v>
                </c:pt>
                <c:pt idx="509">
                  <c:v>52</c:v>
                </c:pt>
                <c:pt idx="510">
                  <c:v>79</c:v>
                </c:pt>
                <c:pt idx="511">
                  <c:v>61</c:v>
                </c:pt>
                <c:pt idx="512">
                  <c:v>52</c:v>
                </c:pt>
                <c:pt idx="513">
                  <c:v>41</c:v>
                </c:pt>
                <c:pt idx="514">
                  <c:v>40</c:v>
                </c:pt>
                <c:pt idx="515">
                  <c:v>57</c:v>
                </c:pt>
                <c:pt idx="516">
                  <c:v>48</c:v>
                </c:pt>
                <c:pt idx="517">
                  <c:v>57</c:v>
                </c:pt>
                <c:pt idx="518">
                  <c:v>40</c:v>
                </c:pt>
                <c:pt idx="519">
                  <c:v>29</c:v>
                </c:pt>
                <c:pt idx="520">
                  <c:v>59</c:v>
                </c:pt>
                <c:pt idx="521">
                  <c:v>42</c:v>
                </c:pt>
                <c:pt idx="522">
                  <c:v>66</c:v>
                </c:pt>
                <c:pt idx="523">
                  <c:v>60</c:v>
                </c:pt>
                <c:pt idx="524">
                  <c:v>32</c:v>
                </c:pt>
                <c:pt idx="525">
                  <c:v>49</c:v>
                </c:pt>
                <c:pt idx="526">
                  <c:v>25</c:v>
                </c:pt>
                <c:pt idx="527">
                  <c:v>22</c:v>
                </c:pt>
                <c:pt idx="528">
                  <c:v>18</c:v>
                </c:pt>
                <c:pt idx="529">
                  <c:v>46</c:v>
                </c:pt>
                <c:pt idx="530">
                  <c:v>23</c:v>
                </c:pt>
                <c:pt idx="531">
                  <c:v>15</c:v>
                </c:pt>
                <c:pt idx="532">
                  <c:v>26</c:v>
                </c:pt>
                <c:pt idx="533">
                  <c:v>33</c:v>
                </c:pt>
                <c:pt idx="534">
                  <c:v>24</c:v>
                </c:pt>
                <c:pt idx="535">
                  <c:v>10</c:v>
                </c:pt>
                <c:pt idx="536">
                  <c:v>23</c:v>
                </c:pt>
                <c:pt idx="537">
                  <c:v>29</c:v>
                </c:pt>
                <c:pt idx="538">
                  <c:v>15</c:v>
                </c:pt>
                <c:pt idx="539">
                  <c:v>16</c:v>
                </c:pt>
                <c:pt idx="540">
                  <c:v>23</c:v>
                </c:pt>
                <c:pt idx="541">
                  <c:v>13</c:v>
                </c:pt>
                <c:pt idx="542">
                  <c:v>27</c:v>
                </c:pt>
                <c:pt idx="543">
                  <c:v>24</c:v>
                </c:pt>
                <c:pt idx="544">
                  <c:v>25</c:v>
                </c:pt>
                <c:pt idx="545">
                  <c:v>21</c:v>
                </c:pt>
                <c:pt idx="546">
                  <c:v>7</c:v>
                </c:pt>
                <c:pt idx="547">
                  <c:v>19</c:v>
                </c:pt>
                <c:pt idx="548">
                  <c:v>10</c:v>
                </c:pt>
                <c:pt idx="549">
                  <c:v>7</c:v>
                </c:pt>
                <c:pt idx="550">
                  <c:v>28</c:v>
                </c:pt>
                <c:pt idx="551">
                  <c:v>15</c:v>
                </c:pt>
                <c:pt idx="552">
                  <c:v>14</c:v>
                </c:pt>
                <c:pt idx="553">
                  <c:v>12</c:v>
                </c:pt>
                <c:pt idx="554">
                  <c:v>4</c:v>
                </c:pt>
                <c:pt idx="555">
                  <c:v>6</c:v>
                </c:pt>
                <c:pt idx="556">
                  <c:v>11</c:v>
                </c:pt>
                <c:pt idx="557">
                  <c:v>18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4</c:v>
                </c:pt>
                <c:pt idx="562">
                  <c:v>3</c:v>
                </c:pt>
                <c:pt idx="563">
                  <c:v>3</c:v>
                </c:pt>
                <c:pt idx="564">
                  <c:v>2</c:v>
                </c:pt>
                <c:pt idx="565">
                  <c:v>4</c:v>
                </c:pt>
                <c:pt idx="566">
                  <c:v>5</c:v>
                </c:pt>
                <c:pt idx="567">
                  <c:v>2</c:v>
                </c:pt>
                <c:pt idx="5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4-4CC6-9F43-D9AC12340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29664"/>
        <c:axId val="1031141184"/>
      </c:scatterChart>
      <c:valAx>
        <c:axId val="103112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points totale (PTS)</a:t>
                </a:r>
              </a:p>
            </c:rich>
          </c:tx>
          <c:layout>
            <c:manualLayout>
              <c:xMode val="edge"/>
              <c:yMode val="edge"/>
              <c:x val="0.37760101643345539"/>
              <c:y val="0.943877551020408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1141184"/>
        <c:crosses val="autoZero"/>
        <c:crossBetween val="midCat"/>
      </c:valAx>
      <c:valAx>
        <c:axId val="10311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Fantasy Points (FP)</a:t>
                </a:r>
              </a:p>
            </c:rich>
          </c:tx>
          <c:layout>
            <c:manualLayout>
              <c:xMode val="edge"/>
              <c:yMode val="edge"/>
              <c:x val="2.1231422505307855E-3"/>
              <c:y val="0.29619047619047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112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Analyse de l’évaluation globale de l’impact (PIE) en fonction du ratio AST/TO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014940440137297E-2"/>
          <c:y val="0.13065508505247919"/>
          <c:w val="0.90367194485304725"/>
          <c:h val="0.80962721679334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'Analyse complémentaire 2'!$D$3</c:f>
              <c:strCache>
                <c:ptCount val="1"/>
                <c:pt idx="0">
                  <c:v>Evaluation globale de l’impact (PIE)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'Analyse complémentaire 2'!$C$4:$C$572</c:f>
              <c:numCache>
                <c:formatCode>General</c:formatCode>
                <c:ptCount val="569"/>
                <c:pt idx="0">
                  <c:v>2.66</c:v>
                </c:pt>
                <c:pt idx="1">
                  <c:v>1.44</c:v>
                </c:pt>
                <c:pt idx="2">
                  <c:v>3.11</c:v>
                </c:pt>
                <c:pt idx="3">
                  <c:v>2.1</c:v>
                </c:pt>
                <c:pt idx="4">
                  <c:v>2.6</c:v>
                </c:pt>
                <c:pt idx="5">
                  <c:v>2.4</c:v>
                </c:pt>
                <c:pt idx="6">
                  <c:v>2.14</c:v>
                </c:pt>
                <c:pt idx="7">
                  <c:v>2.48</c:v>
                </c:pt>
                <c:pt idx="8">
                  <c:v>2.06</c:v>
                </c:pt>
                <c:pt idx="9">
                  <c:v>2.0099999999999998</c:v>
                </c:pt>
                <c:pt idx="10">
                  <c:v>1.1599999999999999</c:v>
                </c:pt>
                <c:pt idx="11">
                  <c:v>1.49</c:v>
                </c:pt>
                <c:pt idx="12">
                  <c:v>1.39</c:v>
                </c:pt>
                <c:pt idx="13">
                  <c:v>2.11</c:v>
                </c:pt>
                <c:pt idx="14">
                  <c:v>3.26</c:v>
                </c:pt>
                <c:pt idx="15">
                  <c:v>2.21</c:v>
                </c:pt>
                <c:pt idx="16">
                  <c:v>2.38</c:v>
                </c:pt>
                <c:pt idx="17">
                  <c:v>2.9</c:v>
                </c:pt>
                <c:pt idx="18">
                  <c:v>1.38</c:v>
                </c:pt>
                <c:pt idx="19">
                  <c:v>0.97</c:v>
                </c:pt>
                <c:pt idx="20">
                  <c:v>2.41</c:v>
                </c:pt>
                <c:pt idx="21">
                  <c:v>2.68</c:v>
                </c:pt>
                <c:pt idx="22">
                  <c:v>1.86</c:v>
                </c:pt>
                <c:pt idx="23">
                  <c:v>2.37</c:v>
                </c:pt>
                <c:pt idx="24">
                  <c:v>2.38</c:v>
                </c:pt>
                <c:pt idx="25">
                  <c:v>2.25</c:v>
                </c:pt>
                <c:pt idx="26">
                  <c:v>1.92</c:v>
                </c:pt>
                <c:pt idx="27">
                  <c:v>2.06</c:v>
                </c:pt>
                <c:pt idx="28">
                  <c:v>2.5299999999999998</c:v>
                </c:pt>
                <c:pt idx="29">
                  <c:v>2.3199999999999998</c:v>
                </c:pt>
                <c:pt idx="30">
                  <c:v>2.92</c:v>
                </c:pt>
                <c:pt idx="31">
                  <c:v>2.09</c:v>
                </c:pt>
                <c:pt idx="32">
                  <c:v>2.14</c:v>
                </c:pt>
                <c:pt idx="33">
                  <c:v>1.59</c:v>
                </c:pt>
                <c:pt idx="34">
                  <c:v>1.77</c:v>
                </c:pt>
                <c:pt idx="35">
                  <c:v>1.49</c:v>
                </c:pt>
                <c:pt idx="36">
                  <c:v>2.56</c:v>
                </c:pt>
                <c:pt idx="37">
                  <c:v>5.61</c:v>
                </c:pt>
                <c:pt idx="38">
                  <c:v>2.36</c:v>
                </c:pt>
                <c:pt idx="39">
                  <c:v>2.15</c:v>
                </c:pt>
                <c:pt idx="40">
                  <c:v>1.69</c:v>
                </c:pt>
                <c:pt idx="41">
                  <c:v>2.09</c:v>
                </c:pt>
                <c:pt idx="42">
                  <c:v>1.67</c:v>
                </c:pt>
                <c:pt idx="43">
                  <c:v>1.32</c:v>
                </c:pt>
                <c:pt idx="44">
                  <c:v>1.61</c:v>
                </c:pt>
                <c:pt idx="45">
                  <c:v>2.1800000000000002</c:v>
                </c:pt>
                <c:pt idx="46">
                  <c:v>1.56</c:v>
                </c:pt>
                <c:pt idx="47">
                  <c:v>1.1599999999999999</c:v>
                </c:pt>
                <c:pt idx="48">
                  <c:v>1.82</c:v>
                </c:pt>
                <c:pt idx="49">
                  <c:v>1.65</c:v>
                </c:pt>
                <c:pt idx="50">
                  <c:v>1.6</c:v>
                </c:pt>
                <c:pt idx="51">
                  <c:v>2.04</c:v>
                </c:pt>
                <c:pt idx="52">
                  <c:v>2.76</c:v>
                </c:pt>
                <c:pt idx="53">
                  <c:v>2.08</c:v>
                </c:pt>
                <c:pt idx="54">
                  <c:v>1.9</c:v>
                </c:pt>
                <c:pt idx="55">
                  <c:v>1.43</c:v>
                </c:pt>
                <c:pt idx="56">
                  <c:v>2.5299999999999998</c:v>
                </c:pt>
                <c:pt idx="57">
                  <c:v>1.88</c:v>
                </c:pt>
                <c:pt idx="58">
                  <c:v>1.61</c:v>
                </c:pt>
                <c:pt idx="59">
                  <c:v>2.0699999999999998</c:v>
                </c:pt>
                <c:pt idx="60">
                  <c:v>2.14</c:v>
                </c:pt>
                <c:pt idx="61">
                  <c:v>1.97</c:v>
                </c:pt>
                <c:pt idx="62">
                  <c:v>1.65</c:v>
                </c:pt>
                <c:pt idx="63">
                  <c:v>1.01</c:v>
                </c:pt>
                <c:pt idx="64">
                  <c:v>3.36</c:v>
                </c:pt>
                <c:pt idx="65">
                  <c:v>1.68</c:v>
                </c:pt>
                <c:pt idx="66">
                  <c:v>2.06</c:v>
                </c:pt>
                <c:pt idx="67">
                  <c:v>1.83</c:v>
                </c:pt>
                <c:pt idx="68">
                  <c:v>0.9</c:v>
                </c:pt>
                <c:pt idx="69">
                  <c:v>2.2799999999999998</c:v>
                </c:pt>
                <c:pt idx="70">
                  <c:v>1.1299999999999999</c:v>
                </c:pt>
                <c:pt idx="71">
                  <c:v>1.63</c:v>
                </c:pt>
                <c:pt idx="72">
                  <c:v>1.62</c:v>
                </c:pt>
                <c:pt idx="73">
                  <c:v>1.1200000000000001</c:v>
                </c:pt>
                <c:pt idx="74">
                  <c:v>1.6</c:v>
                </c:pt>
                <c:pt idx="75">
                  <c:v>2.15</c:v>
                </c:pt>
                <c:pt idx="76">
                  <c:v>1.96</c:v>
                </c:pt>
                <c:pt idx="77">
                  <c:v>1.68</c:v>
                </c:pt>
                <c:pt idx="78">
                  <c:v>2.87</c:v>
                </c:pt>
                <c:pt idx="79">
                  <c:v>2.08</c:v>
                </c:pt>
                <c:pt idx="80">
                  <c:v>1.7</c:v>
                </c:pt>
                <c:pt idx="81">
                  <c:v>2.4900000000000002</c:v>
                </c:pt>
                <c:pt idx="82">
                  <c:v>2.72</c:v>
                </c:pt>
                <c:pt idx="83">
                  <c:v>1.65</c:v>
                </c:pt>
                <c:pt idx="84">
                  <c:v>1.72</c:v>
                </c:pt>
                <c:pt idx="85">
                  <c:v>1.91</c:v>
                </c:pt>
                <c:pt idx="86">
                  <c:v>1.89</c:v>
                </c:pt>
                <c:pt idx="87">
                  <c:v>1.87</c:v>
                </c:pt>
                <c:pt idx="88">
                  <c:v>2.85</c:v>
                </c:pt>
                <c:pt idx="89">
                  <c:v>1.62</c:v>
                </c:pt>
                <c:pt idx="90">
                  <c:v>1.92</c:v>
                </c:pt>
                <c:pt idx="91">
                  <c:v>4.03</c:v>
                </c:pt>
                <c:pt idx="92">
                  <c:v>1.04</c:v>
                </c:pt>
                <c:pt idx="93">
                  <c:v>1</c:v>
                </c:pt>
                <c:pt idx="94">
                  <c:v>1.82</c:v>
                </c:pt>
                <c:pt idx="95">
                  <c:v>1.54</c:v>
                </c:pt>
                <c:pt idx="96">
                  <c:v>1.94</c:v>
                </c:pt>
                <c:pt idx="97">
                  <c:v>1.86</c:v>
                </c:pt>
                <c:pt idx="98">
                  <c:v>1.47</c:v>
                </c:pt>
                <c:pt idx="99">
                  <c:v>1.35</c:v>
                </c:pt>
                <c:pt idx="100">
                  <c:v>1.97</c:v>
                </c:pt>
                <c:pt idx="101">
                  <c:v>1.06</c:v>
                </c:pt>
                <c:pt idx="102">
                  <c:v>1.61</c:v>
                </c:pt>
                <c:pt idx="103">
                  <c:v>2.58</c:v>
                </c:pt>
                <c:pt idx="104">
                  <c:v>1.41</c:v>
                </c:pt>
                <c:pt idx="105">
                  <c:v>3.42</c:v>
                </c:pt>
                <c:pt idx="106">
                  <c:v>1.43</c:v>
                </c:pt>
                <c:pt idx="107">
                  <c:v>2.56</c:v>
                </c:pt>
                <c:pt idx="108">
                  <c:v>3.83</c:v>
                </c:pt>
                <c:pt idx="109">
                  <c:v>1.37</c:v>
                </c:pt>
                <c:pt idx="110">
                  <c:v>1.89</c:v>
                </c:pt>
                <c:pt idx="111">
                  <c:v>1.1100000000000001</c:v>
                </c:pt>
                <c:pt idx="112">
                  <c:v>1.51</c:v>
                </c:pt>
                <c:pt idx="113">
                  <c:v>1.88</c:v>
                </c:pt>
                <c:pt idx="114">
                  <c:v>1.42</c:v>
                </c:pt>
                <c:pt idx="115">
                  <c:v>4.71</c:v>
                </c:pt>
                <c:pt idx="116">
                  <c:v>1.96</c:v>
                </c:pt>
                <c:pt idx="117">
                  <c:v>2.0699999999999998</c:v>
                </c:pt>
                <c:pt idx="118">
                  <c:v>1.64</c:v>
                </c:pt>
                <c:pt idx="119">
                  <c:v>2.0499999999999998</c:v>
                </c:pt>
                <c:pt idx="120">
                  <c:v>2.65</c:v>
                </c:pt>
                <c:pt idx="121">
                  <c:v>1.5</c:v>
                </c:pt>
                <c:pt idx="122">
                  <c:v>2.58</c:v>
                </c:pt>
                <c:pt idx="123">
                  <c:v>1.61</c:v>
                </c:pt>
                <c:pt idx="124">
                  <c:v>2.5099999999999998</c:v>
                </c:pt>
                <c:pt idx="125">
                  <c:v>1.35</c:v>
                </c:pt>
                <c:pt idx="126">
                  <c:v>1.18</c:v>
                </c:pt>
                <c:pt idx="127">
                  <c:v>0.91</c:v>
                </c:pt>
                <c:pt idx="128">
                  <c:v>2.83</c:v>
                </c:pt>
                <c:pt idx="129">
                  <c:v>1.03</c:v>
                </c:pt>
                <c:pt idx="130">
                  <c:v>1.88</c:v>
                </c:pt>
                <c:pt idx="131">
                  <c:v>1.69</c:v>
                </c:pt>
                <c:pt idx="132">
                  <c:v>2.25</c:v>
                </c:pt>
                <c:pt idx="133">
                  <c:v>1.7</c:v>
                </c:pt>
                <c:pt idx="134">
                  <c:v>0.78</c:v>
                </c:pt>
                <c:pt idx="135">
                  <c:v>3.13</c:v>
                </c:pt>
                <c:pt idx="136">
                  <c:v>1.84</c:v>
                </c:pt>
                <c:pt idx="137">
                  <c:v>2.25</c:v>
                </c:pt>
                <c:pt idx="138">
                  <c:v>2.93</c:v>
                </c:pt>
                <c:pt idx="139">
                  <c:v>1.66</c:v>
                </c:pt>
                <c:pt idx="140">
                  <c:v>1.77</c:v>
                </c:pt>
                <c:pt idx="141">
                  <c:v>1.73</c:v>
                </c:pt>
                <c:pt idx="142">
                  <c:v>2.75</c:v>
                </c:pt>
                <c:pt idx="143">
                  <c:v>1.59</c:v>
                </c:pt>
                <c:pt idx="144">
                  <c:v>2.27</c:v>
                </c:pt>
                <c:pt idx="145">
                  <c:v>1.78</c:v>
                </c:pt>
                <c:pt idx="146">
                  <c:v>4.6900000000000004</c:v>
                </c:pt>
                <c:pt idx="147">
                  <c:v>1.8</c:v>
                </c:pt>
                <c:pt idx="148">
                  <c:v>3.22</c:v>
                </c:pt>
                <c:pt idx="149">
                  <c:v>1.46</c:v>
                </c:pt>
                <c:pt idx="150">
                  <c:v>2.25</c:v>
                </c:pt>
                <c:pt idx="151">
                  <c:v>1.78</c:v>
                </c:pt>
                <c:pt idx="152">
                  <c:v>1.61</c:v>
                </c:pt>
                <c:pt idx="153">
                  <c:v>1.21</c:v>
                </c:pt>
                <c:pt idx="154">
                  <c:v>1.71</c:v>
                </c:pt>
                <c:pt idx="155">
                  <c:v>0.98</c:v>
                </c:pt>
                <c:pt idx="156">
                  <c:v>1.37</c:v>
                </c:pt>
                <c:pt idx="157">
                  <c:v>3.1</c:v>
                </c:pt>
                <c:pt idx="158">
                  <c:v>1.07</c:v>
                </c:pt>
                <c:pt idx="159">
                  <c:v>1.28</c:v>
                </c:pt>
                <c:pt idx="160">
                  <c:v>2.5099999999999998</c:v>
                </c:pt>
                <c:pt idx="161">
                  <c:v>2.33</c:v>
                </c:pt>
                <c:pt idx="162">
                  <c:v>1.82</c:v>
                </c:pt>
                <c:pt idx="163">
                  <c:v>1.71</c:v>
                </c:pt>
                <c:pt idx="164">
                  <c:v>2.14</c:v>
                </c:pt>
                <c:pt idx="165">
                  <c:v>1.83</c:v>
                </c:pt>
                <c:pt idx="166">
                  <c:v>1.55</c:v>
                </c:pt>
                <c:pt idx="167">
                  <c:v>1.54</c:v>
                </c:pt>
                <c:pt idx="168">
                  <c:v>2.19</c:v>
                </c:pt>
                <c:pt idx="169">
                  <c:v>1.81</c:v>
                </c:pt>
                <c:pt idx="170">
                  <c:v>1.68</c:v>
                </c:pt>
                <c:pt idx="171">
                  <c:v>1.69</c:v>
                </c:pt>
                <c:pt idx="172">
                  <c:v>1.21</c:v>
                </c:pt>
                <c:pt idx="173">
                  <c:v>1.89</c:v>
                </c:pt>
                <c:pt idx="174">
                  <c:v>2.91</c:v>
                </c:pt>
                <c:pt idx="175">
                  <c:v>1.1299999999999999</c:v>
                </c:pt>
                <c:pt idx="176">
                  <c:v>2.27</c:v>
                </c:pt>
                <c:pt idx="177">
                  <c:v>1.85</c:v>
                </c:pt>
                <c:pt idx="178">
                  <c:v>1.25</c:v>
                </c:pt>
                <c:pt idx="179">
                  <c:v>1.74</c:v>
                </c:pt>
                <c:pt idx="180">
                  <c:v>2.14</c:v>
                </c:pt>
                <c:pt idx="181">
                  <c:v>1.52</c:v>
                </c:pt>
                <c:pt idx="182">
                  <c:v>2.2000000000000002</c:v>
                </c:pt>
                <c:pt idx="183">
                  <c:v>4.5599999999999996</c:v>
                </c:pt>
                <c:pt idx="184">
                  <c:v>0.74</c:v>
                </c:pt>
                <c:pt idx="185">
                  <c:v>1.1399999999999999</c:v>
                </c:pt>
                <c:pt idx="186">
                  <c:v>2.78</c:v>
                </c:pt>
                <c:pt idx="187">
                  <c:v>1.52</c:v>
                </c:pt>
                <c:pt idx="188">
                  <c:v>1.6</c:v>
                </c:pt>
                <c:pt idx="189">
                  <c:v>1.68</c:v>
                </c:pt>
                <c:pt idx="190">
                  <c:v>1.05</c:v>
                </c:pt>
                <c:pt idx="191">
                  <c:v>1.77</c:v>
                </c:pt>
                <c:pt idx="192">
                  <c:v>1.74</c:v>
                </c:pt>
                <c:pt idx="193">
                  <c:v>2.84</c:v>
                </c:pt>
                <c:pt idx="194">
                  <c:v>1.46</c:v>
                </c:pt>
                <c:pt idx="195">
                  <c:v>1.97</c:v>
                </c:pt>
                <c:pt idx="196">
                  <c:v>4.25</c:v>
                </c:pt>
                <c:pt idx="197">
                  <c:v>2.99</c:v>
                </c:pt>
                <c:pt idx="198">
                  <c:v>3.01</c:v>
                </c:pt>
                <c:pt idx="199">
                  <c:v>0.93</c:v>
                </c:pt>
                <c:pt idx="200">
                  <c:v>2.93</c:v>
                </c:pt>
                <c:pt idx="201">
                  <c:v>1.89</c:v>
                </c:pt>
                <c:pt idx="202">
                  <c:v>1.69</c:v>
                </c:pt>
                <c:pt idx="203">
                  <c:v>1.26</c:v>
                </c:pt>
                <c:pt idx="204">
                  <c:v>1.44</c:v>
                </c:pt>
                <c:pt idx="205">
                  <c:v>1.29</c:v>
                </c:pt>
                <c:pt idx="206">
                  <c:v>3.01</c:v>
                </c:pt>
                <c:pt idx="207">
                  <c:v>3.29</c:v>
                </c:pt>
                <c:pt idx="208">
                  <c:v>1.86</c:v>
                </c:pt>
                <c:pt idx="209">
                  <c:v>1.68</c:v>
                </c:pt>
                <c:pt idx="210">
                  <c:v>1.61</c:v>
                </c:pt>
                <c:pt idx="211">
                  <c:v>1.1100000000000001</c:v>
                </c:pt>
                <c:pt idx="212">
                  <c:v>2.15</c:v>
                </c:pt>
                <c:pt idx="213">
                  <c:v>2.75</c:v>
                </c:pt>
                <c:pt idx="214">
                  <c:v>2.78</c:v>
                </c:pt>
                <c:pt idx="215">
                  <c:v>2.7</c:v>
                </c:pt>
                <c:pt idx="216">
                  <c:v>1.46</c:v>
                </c:pt>
                <c:pt idx="217">
                  <c:v>2.7</c:v>
                </c:pt>
                <c:pt idx="218">
                  <c:v>2.02</c:v>
                </c:pt>
                <c:pt idx="219">
                  <c:v>1.87</c:v>
                </c:pt>
                <c:pt idx="220">
                  <c:v>1.61</c:v>
                </c:pt>
                <c:pt idx="221">
                  <c:v>0.6</c:v>
                </c:pt>
                <c:pt idx="222">
                  <c:v>1.34</c:v>
                </c:pt>
                <c:pt idx="223">
                  <c:v>1.76</c:v>
                </c:pt>
                <c:pt idx="224">
                  <c:v>1.65</c:v>
                </c:pt>
                <c:pt idx="225">
                  <c:v>1.1399999999999999</c:v>
                </c:pt>
                <c:pt idx="226">
                  <c:v>2.57</c:v>
                </c:pt>
                <c:pt idx="227">
                  <c:v>3.09</c:v>
                </c:pt>
                <c:pt idx="228">
                  <c:v>1.43</c:v>
                </c:pt>
                <c:pt idx="229">
                  <c:v>1.9</c:v>
                </c:pt>
                <c:pt idx="230">
                  <c:v>1.54</c:v>
                </c:pt>
                <c:pt idx="231">
                  <c:v>1.1399999999999999</c:v>
                </c:pt>
                <c:pt idx="232">
                  <c:v>3.9</c:v>
                </c:pt>
                <c:pt idx="233">
                  <c:v>0.99</c:v>
                </c:pt>
                <c:pt idx="234">
                  <c:v>2.1800000000000002</c:v>
                </c:pt>
                <c:pt idx="235">
                  <c:v>1.32</c:v>
                </c:pt>
                <c:pt idx="236">
                  <c:v>2.0699999999999998</c:v>
                </c:pt>
                <c:pt idx="237">
                  <c:v>1.1299999999999999</c:v>
                </c:pt>
                <c:pt idx="238">
                  <c:v>1.07</c:v>
                </c:pt>
                <c:pt idx="239">
                  <c:v>2.84</c:v>
                </c:pt>
                <c:pt idx="240">
                  <c:v>2.93</c:v>
                </c:pt>
                <c:pt idx="241">
                  <c:v>2.39</c:v>
                </c:pt>
                <c:pt idx="242">
                  <c:v>1.41</c:v>
                </c:pt>
                <c:pt idx="243">
                  <c:v>1.84</c:v>
                </c:pt>
                <c:pt idx="244">
                  <c:v>1.19</c:v>
                </c:pt>
                <c:pt idx="245">
                  <c:v>1.37</c:v>
                </c:pt>
                <c:pt idx="246">
                  <c:v>1.39</c:v>
                </c:pt>
                <c:pt idx="247">
                  <c:v>1.77</c:v>
                </c:pt>
                <c:pt idx="248">
                  <c:v>2.1</c:v>
                </c:pt>
                <c:pt idx="249">
                  <c:v>1.62</c:v>
                </c:pt>
                <c:pt idx="250">
                  <c:v>1.41</c:v>
                </c:pt>
                <c:pt idx="251">
                  <c:v>1.23</c:v>
                </c:pt>
                <c:pt idx="252">
                  <c:v>1.88</c:v>
                </c:pt>
                <c:pt idx="253">
                  <c:v>1.1200000000000001</c:v>
                </c:pt>
                <c:pt idx="254">
                  <c:v>2.68</c:v>
                </c:pt>
                <c:pt idx="255">
                  <c:v>3.77</c:v>
                </c:pt>
                <c:pt idx="256">
                  <c:v>1.07</c:v>
                </c:pt>
                <c:pt idx="257">
                  <c:v>2.4900000000000002</c:v>
                </c:pt>
                <c:pt idx="258">
                  <c:v>1.81</c:v>
                </c:pt>
                <c:pt idx="259">
                  <c:v>1.77</c:v>
                </c:pt>
                <c:pt idx="260">
                  <c:v>1.96</c:v>
                </c:pt>
                <c:pt idx="261">
                  <c:v>0.87</c:v>
                </c:pt>
                <c:pt idx="262">
                  <c:v>1.73</c:v>
                </c:pt>
                <c:pt idx="263">
                  <c:v>2.94</c:v>
                </c:pt>
                <c:pt idx="264">
                  <c:v>1.85</c:v>
                </c:pt>
                <c:pt idx="265">
                  <c:v>2.31</c:v>
                </c:pt>
                <c:pt idx="266">
                  <c:v>0.92</c:v>
                </c:pt>
                <c:pt idx="267">
                  <c:v>2.13</c:v>
                </c:pt>
                <c:pt idx="268">
                  <c:v>1.35</c:v>
                </c:pt>
                <c:pt idx="269">
                  <c:v>1.44</c:v>
                </c:pt>
                <c:pt idx="270">
                  <c:v>2.09</c:v>
                </c:pt>
                <c:pt idx="271">
                  <c:v>0.86</c:v>
                </c:pt>
                <c:pt idx="272">
                  <c:v>1.85</c:v>
                </c:pt>
                <c:pt idx="273">
                  <c:v>3.7</c:v>
                </c:pt>
                <c:pt idx="274">
                  <c:v>1.68</c:v>
                </c:pt>
                <c:pt idx="275">
                  <c:v>1.21</c:v>
                </c:pt>
                <c:pt idx="276">
                  <c:v>1.35</c:v>
                </c:pt>
                <c:pt idx="277">
                  <c:v>2.08</c:v>
                </c:pt>
                <c:pt idx="278">
                  <c:v>2.46</c:v>
                </c:pt>
                <c:pt idx="279">
                  <c:v>1.22</c:v>
                </c:pt>
                <c:pt idx="280">
                  <c:v>1.44</c:v>
                </c:pt>
                <c:pt idx="281">
                  <c:v>3.92</c:v>
                </c:pt>
                <c:pt idx="282">
                  <c:v>2.06</c:v>
                </c:pt>
                <c:pt idx="283">
                  <c:v>1.9</c:v>
                </c:pt>
                <c:pt idx="284">
                  <c:v>1.7</c:v>
                </c:pt>
                <c:pt idx="285">
                  <c:v>1.28</c:v>
                </c:pt>
                <c:pt idx="286">
                  <c:v>1.94</c:v>
                </c:pt>
                <c:pt idx="287">
                  <c:v>1.62</c:v>
                </c:pt>
                <c:pt idx="288">
                  <c:v>1.96</c:v>
                </c:pt>
                <c:pt idx="289">
                  <c:v>1.75</c:v>
                </c:pt>
                <c:pt idx="290">
                  <c:v>3.03</c:v>
                </c:pt>
                <c:pt idx="291">
                  <c:v>2.2400000000000002</c:v>
                </c:pt>
                <c:pt idx="292">
                  <c:v>2.15</c:v>
                </c:pt>
                <c:pt idx="293">
                  <c:v>1.7</c:v>
                </c:pt>
                <c:pt idx="294">
                  <c:v>2.96</c:v>
                </c:pt>
                <c:pt idx="295">
                  <c:v>0.44</c:v>
                </c:pt>
                <c:pt idx="296">
                  <c:v>3.86</c:v>
                </c:pt>
                <c:pt idx="297">
                  <c:v>1.46</c:v>
                </c:pt>
                <c:pt idx="298">
                  <c:v>2.27</c:v>
                </c:pt>
                <c:pt idx="299">
                  <c:v>5.49</c:v>
                </c:pt>
                <c:pt idx="300">
                  <c:v>1.83</c:v>
                </c:pt>
                <c:pt idx="301">
                  <c:v>0.93</c:v>
                </c:pt>
                <c:pt idx="302">
                  <c:v>1.07</c:v>
                </c:pt>
                <c:pt idx="303">
                  <c:v>3.45</c:v>
                </c:pt>
                <c:pt idx="304">
                  <c:v>1.51</c:v>
                </c:pt>
                <c:pt idx="305">
                  <c:v>2.5499999999999998</c:v>
                </c:pt>
                <c:pt idx="306">
                  <c:v>2.0699999999999998</c:v>
                </c:pt>
                <c:pt idx="307">
                  <c:v>2.4700000000000002</c:v>
                </c:pt>
                <c:pt idx="308">
                  <c:v>1.0900000000000001</c:v>
                </c:pt>
                <c:pt idx="309">
                  <c:v>1.1299999999999999</c:v>
                </c:pt>
                <c:pt idx="310">
                  <c:v>2.02</c:v>
                </c:pt>
                <c:pt idx="311">
                  <c:v>2.58</c:v>
                </c:pt>
                <c:pt idx="312">
                  <c:v>1.57</c:v>
                </c:pt>
                <c:pt idx="313">
                  <c:v>1.3</c:v>
                </c:pt>
                <c:pt idx="314">
                  <c:v>0.62</c:v>
                </c:pt>
                <c:pt idx="315">
                  <c:v>1.58</c:v>
                </c:pt>
                <c:pt idx="316">
                  <c:v>5.2</c:v>
                </c:pt>
                <c:pt idx="317">
                  <c:v>1.23</c:v>
                </c:pt>
                <c:pt idx="318">
                  <c:v>1.06</c:v>
                </c:pt>
                <c:pt idx="319">
                  <c:v>2</c:v>
                </c:pt>
                <c:pt idx="320">
                  <c:v>1.32</c:v>
                </c:pt>
                <c:pt idx="321">
                  <c:v>3.43</c:v>
                </c:pt>
                <c:pt idx="322">
                  <c:v>2</c:v>
                </c:pt>
                <c:pt idx="323">
                  <c:v>1.95</c:v>
                </c:pt>
                <c:pt idx="324">
                  <c:v>1.66</c:v>
                </c:pt>
                <c:pt idx="325">
                  <c:v>1.22</c:v>
                </c:pt>
                <c:pt idx="326">
                  <c:v>2.8</c:v>
                </c:pt>
                <c:pt idx="327">
                  <c:v>1.41</c:v>
                </c:pt>
                <c:pt idx="328">
                  <c:v>2.3199999999999998</c:v>
                </c:pt>
                <c:pt idx="329">
                  <c:v>1.82</c:v>
                </c:pt>
                <c:pt idx="330">
                  <c:v>2.79</c:v>
                </c:pt>
                <c:pt idx="331">
                  <c:v>2.6</c:v>
                </c:pt>
                <c:pt idx="332">
                  <c:v>2.71</c:v>
                </c:pt>
                <c:pt idx="333">
                  <c:v>2</c:v>
                </c:pt>
                <c:pt idx="334">
                  <c:v>1.1000000000000001</c:v>
                </c:pt>
                <c:pt idx="335">
                  <c:v>2.69</c:v>
                </c:pt>
                <c:pt idx="336">
                  <c:v>2.0699999999999998</c:v>
                </c:pt>
                <c:pt idx="337">
                  <c:v>1.1200000000000001</c:v>
                </c:pt>
                <c:pt idx="338">
                  <c:v>3.48</c:v>
                </c:pt>
                <c:pt idx="339">
                  <c:v>2.21</c:v>
                </c:pt>
                <c:pt idx="340">
                  <c:v>1.9</c:v>
                </c:pt>
                <c:pt idx="341">
                  <c:v>1.34</c:v>
                </c:pt>
                <c:pt idx="342">
                  <c:v>2.0299999999999998</c:v>
                </c:pt>
                <c:pt idx="343">
                  <c:v>2</c:v>
                </c:pt>
                <c:pt idx="344">
                  <c:v>1.43</c:v>
                </c:pt>
                <c:pt idx="345">
                  <c:v>1.22</c:v>
                </c:pt>
                <c:pt idx="346">
                  <c:v>1.85</c:v>
                </c:pt>
                <c:pt idx="347">
                  <c:v>2.17</c:v>
                </c:pt>
                <c:pt idx="348">
                  <c:v>2.92</c:v>
                </c:pt>
                <c:pt idx="349">
                  <c:v>2.11</c:v>
                </c:pt>
                <c:pt idx="350">
                  <c:v>0.94</c:v>
                </c:pt>
                <c:pt idx="351">
                  <c:v>1.33</c:v>
                </c:pt>
                <c:pt idx="352">
                  <c:v>1.86</c:v>
                </c:pt>
                <c:pt idx="353">
                  <c:v>2.38</c:v>
                </c:pt>
                <c:pt idx="354">
                  <c:v>2.86</c:v>
                </c:pt>
                <c:pt idx="355">
                  <c:v>1.76</c:v>
                </c:pt>
                <c:pt idx="356">
                  <c:v>4.46</c:v>
                </c:pt>
                <c:pt idx="357">
                  <c:v>1.39</c:v>
                </c:pt>
                <c:pt idx="358">
                  <c:v>1.8</c:v>
                </c:pt>
                <c:pt idx="359">
                  <c:v>1</c:v>
                </c:pt>
                <c:pt idx="360">
                  <c:v>4.59</c:v>
                </c:pt>
                <c:pt idx="361">
                  <c:v>1.63</c:v>
                </c:pt>
                <c:pt idx="362">
                  <c:v>1.87</c:v>
                </c:pt>
                <c:pt idx="363">
                  <c:v>2.14</c:v>
                </c:pt>
                <c:pt idx="364">
                  <c:v>1.69</c:v>
                </c:pt>
                <c:pt idx="365">
                  <c:v>1.56</c:v>
                </c:pt>
                <c:pt idx="366">
                  <c:v>1.64</c:v>
                </c:pt>
                <c:pt idx="367">
                  <c:v>1.67</c:v>
                </c:pt>
                <c:pt idx="368">
                  <c:v>4</c:v>
                </c:pt>
                <c:pt idx="369">
                  <c:v>2.5499999999999998</c:v>
                </c:pt>
                <c:pt idx="370">
                  <c:v>2.2200000000000002</c:v>
                </c:pt>
                <c:pt idx="371">
                  <c:v>1.69</c:v>
                </c:pt>
                <c:pt idx="372">
                  <c:v>2.63</c:v>
                </c:pt>
                <c:pt idx="373">
                  <c:v>2.4500000000000002</c:v>
                </c:pt>
                <c:pt idx="374">
                  <c:v>1.32</c:v>
                </c:pt>
                <c:pt idx="375">
                  <c:v>3.25</c:v>
                </c:pt>
                <c:pt idx="376">
                  <c:v>2.4</c:v>
                </c:pt>
                <c:pt idx="377">
                  <c:v>1</c:v>
                </c:pt>
                <c:pt idx="378">
                  <c:v>3.31</c:v>
                </c:pt>
                <c:pt idx="379">
                  <c:v>1.62</c:v>
                </c:pt>
                <c:pt idx="380">
                  <c:v>0.74</c:v>
                </c:pt>
                <c:pt idx="381">
                  <c:v>1.91</c:v>
                </c:pt>
                <c:pt idx="382">
                  <c:v>0.83</c:v>
                </c:pt>
                <c:pt idx="383">
                  <c:v>3.64</c:v>
                </c:pt>
                <c:pt idx="384">
                  <c:v>1.73</c:v>
                </c:pt>
                <c:pt idx="385">
                  <c:v>1.59</c:v>
                </c:pt>
                <c:pt idx="386">
                  <c:v>1.31</c:v>
                </c:pt>
                <c:pt idx="387">
                  <c:v>1.56</c:v>
                </c:pt>
                <c:pt idx="388">
                  <c:v>1.28</c:v>
                </c:pt>
                <c:pt idx="389">
                  <c:v>1.41</c:v>
                </c:pt>
                <c:pt idx="390">
                  <c:v>3.8</c:v>
                </c:pt>
                <c:pt idx="391">
                  <c:v>1.17</c:v>
                </c:pt>
                <c:pt idx="392">
                  <c:v>1.76</c:v>
                </c:pt>
                <c:pt idx="393">
                  <c:v>1.1499999999999999</c:v>
                </c:pt>
                <c:pt idx="394">
                  <c:v>1.72</c:v>
                </c:pt>
                <c:pt idx="395">
                  <c:v>1.08</c:v>
                </c:pt>
                <c:pt idx="396">
                  <c:v>2.13</c:v>
                </c:pt>
                <c:pt idx="397">
                  <c:v>0.9</c:v>
                </c:pt>
                <c:pt idx="398">
                  <c:v>4.57</c:v>
                </c:pt>
                <c:pt idx="399">
                  <c:v>2.2799999999999998</c:v>
                </c:pt>
                <c:pt idx="400">
                  <c:v>0.92</c:v>
                </c:pt>
                <c:pt idx="401">
                  <c:v>2.65</c:v>
                </c:pt>
                <c:pt idx="402">
                  <c:v>0.92</c:v>
                </c:pt>
                <c:pt idx="403">
                  <c:v>0.75</c:v>
                </c:pt>
                <c:pt idx="404">
                  <c:v>2.0699999999999998</c:v>
                </c:pt>
                <c:pt idx="405">
                  <c:v>1.43</c:v>
                </c:pt>
                <c:pt idx="406">
                  <c:v>1.6</c:v>
                </c:pt>
                <c:pt idx="407">
                  <c:v>3.5</c:v>
                </c:pt>
                <c:pt idx="408">
                  <c:v>1.22</c:v>
                </c:pt>
                <c:pt idx="409">
                  <c:v>1.57</c:v>
                </c:pt>
                <c:pt idx="410">
                  <c:v>2</c:v>
                </c:pt>
                <c:pt idx="411">
                  <c:v>1.56</c:v>
                </c:pt>
                <c:pt idx="412">
                  <c:v>1.64</c:v>
                </c:pt>
                <c:pt idx="413">
                  <c:v>1.78</c:v>
                </c:pt>
                <c:pt idx="414">
                  <c:v>3.06</c:v>
                </c:pt>
                <c:pt idx="415">
                  <c:v>1.24</c:v>
                </c:pt>
                <c:pt idx="416">
                  <c:v>1.36</c:v>
                </c:pt>
                <c:pt idx="417">
                  <c:v>0.8</c:v>
                </c:pt>
                <c:pt idx="418">
                  <c:v>2.15</c:v>
                </c:pt>
                <c:pt idx="419">
                  <c:v>2.75</c:v>
                </c:pt>
                <c:pt idx="420">
                  <c:v>1.81</c:v>
                </c:pt>
                <c:pt idx="421">
                  <c:v>2.63</c:v>
                </c:pt>
                <c:pt idx="422">
                  <c:v>1.53</c:v>
                </c:pt>
                <c:pt idx="423">
                  <c:v>1.33</c:v>
                </c:pt>
                <c:pt idx="424">
                  <c:v>2.13</c:v>
                </c:pt>
                <c:pt idx="425">
                  <c:v>2.06</c:v>
                </c:pt>
                <c:pt idx="426">
                  <c:v>2.06</c:v>
                </c:pt>
                <c:pt idx="427">
                  <c:v>0.84</c:v>
                </c:pt>
                <c:pt idx="428">
                  <c:v>1.83</c:v>
                </c:pt>
                <c:pt idx="429">
                  <c:v>0.9</c:v>
                </c:pt>
                <c:pt idx="430">
                  <c:v>5.67</c:v>
                </c:pt>
                <c:pt idx="431">
                  <c:v>1.58</c:v>
                </c:pt>
                <c:pt idx="432">
                  <c:v>1.87</c:v>
                </c:pt>
                <c:pt idx="433">
                  <c:v>2.67</c:v>
                </c:pt>
                <c:pt idx="434">
                  <c:v>3.19</c:v>
                </c:pt>
                <c:pt idx="435">
                  <c:v>1</c:v>
                </c:pt>
                <c:pt idx="436">
                  <c:v>0.67</c:v>
                </c:pt>
                <c:pt idx="437">
                  <c:v>3</c:v>
                </c:pt>
                <c:pt idx="438">
                  <c:v>1.33</c:v>
                </c:pt>
                <c:pt idx="439">
                  <c:v>1.35</c:v>
                </c:pt>
                <c:pt idx="440">
                  <c:v>1.3</c:v>
                </c:pt>
                <c:pt idx="441">
                  <c:v>1.71</c:v>
                </c:pt>
                <c:pt idx="442">
                  <c:v>2.81</c:v>
                </c:pt>
                <c:pt idx="443">
                  <c:v>1.1200000000000001</c:v>
                </c:pt>
                <c:pt idx="444">
                  <c:v>1.1000000000000001</c:v>
                </c:pt>
                <c:pt idx="445">
                  <c:v>3.89</c:v>
                </c:pt>
                <c:pt idx="446">
                  <c:v>1.57</c:v>
                </c:pt>
                <c:pt idx="447">
                  <c:v>0.73</c:v>
                </c:pt>
                <c:pt idx="448">
                  <c:v>1.42</c:v>
                </c:pt>
                <c:pt idx="449">
                  <c:v>0.67</c:v>
                </c:pt>
                <c:pt idx="450">
                  <c:v>2</c:v>
                </c:pt>
                <c:pt idx="451">
                  <c:v>0.8</c:v>
                </c:pt>
                <c:pt idx="452">
                  <c:v>0.18</c:v>
                </c:pt>
                <c:pt idx="453">
                  <c:v>1.9</c:v>
                </c:pt>
                <c:pt idx="454">
                  <c:v>0.67</c:v>
                </c:pt>
                <c:pt idx="455">
                  <c:v>1.71</c:v>
                </c:pt>
                <c:pt idx="456">
                  <c:v>2.25</c:v>
                </c:pt>
                <c:pt idx="457">
                  <c:v>3</c:v>
                </c:pt>
                <c:pt idx="458">
                  <c:v>1.43</c:v>
                </c:pt>
                <c:pt idx="459">
                  <c:v>0.5</c:v>
                </c:pt>
                <c:pt idx="460">
                  <c:v>0.64</c:v>
                </c:pt>
                <c:pt idx="461">
                  <c:v>1.69</c:v>
                </c:pt>
                <c:pt idx="462">
                  <c:v>1.7</c:v>
                </c:pt>
                <c:pt idx="463">
                  <c:v>1.2</c:v>
                </c:pt>
                <c:pt idx="464">
                  <c:v>1.8</c:v>
                </c:pt>
                <c:pt idx="465">
                  <c:v>0.75</c:v>
                </c:pt>
                <c:pt idx="466">
                  <c:v>1.29</c:v>
                </c:pt>
                <c:pt idx="467">
                  <c:v>1.53</c:v>
                </c:pt>
                <c:pt idx="468">
                  <c:v>4.2</c:v>
                </c:pt>
                <c:pt idx="469">
                  <c:v>1.63</c:v>
                </c:pt>
                <c:pt idx="470">
                  <c:v>1.5</c:v>
                </c:pt>
                <c:pt idx="471">
                  <c:v>3.44</c:v>
                </c:pt>
                <c:pt idx="472">
                  <c:v>3.1</c:v>
                </c:pt>
                <c:pt idx="473">
                  <c:v>2.13</c:v>
                </c:pt>
                <c:pt idx="474">
                  <c:v>5</c:v>
                </c:pt>
                <c:pt idx="475">
                  <c:v>0.6</c:v>
                </c:pt>
                <c:pt idx="476">
                  <c:v>0.5</c:v>
                </c:pt>
                <c:pt idx="477">
                  <c:v>0.52</c:v>
                </c:pt>
                <c:pt idx="478">
                  <c:v>1.5</c:v>
                </c:pt>
                <c:pt idx="479">
                  <c:v>1.25</c:v>
                </c:pt>
                <c:pt idx="480">
                  <c:v>1</c:v>
                </c:pt>
                <c:pt idx="481">
                  <c:v>0.5</c:v>
                </c:pt>
                <c:pt idx="482">
                  <c:v>1.5</c:v>
                </c:pt>
                <c:pt idx="483">
                  <c:v>2.5</c:v>
                </c:pt>
                <c:pt idx="484">
                  <c:v>4</c:v>
                </c:pt>
                <c:pt idx="485">
                  <c:v>9</c:v>
                </c:pt>
                <c:pt idx="486">
                  <c:v>1.25</c:v>
                </c:pt>
                <c:pt idx="487">
                  <c:v>1</c:v>
                </c:pt>
                <c:pt idx="488">
                  <c:v>3.8</c:v>
                </c:pt>
                <c:pt idx="489">
                  <c:v>5.33</c:v>
                </c:pt>
                <c:pt idx="490">
                  <c:v>1</c:v>
                </c:pt>
                <c:pt idx="491">
                  <c:v>1</c:v>
                </c:pt>
                <c:pt idx="492">
                  <c:v>1.25</c:v>
                </c:pt>
                <c:pt idx="493">
                  <c:v>1.36</c:v>
                </c:pt>
                <c:pt idx="494">
                  <c:v>0.5</c:v>
                </c:pt>
                <c:pt idx="495">
                  <c:v>1.5</c:v>
                </c:pt>
                <c:pt idx="496">
                  <c:v>2.67</c:v>
                </c:pt>
                <c:pt idx="497">
                  <c:v>2</c:v>
                </c:pt>
                <c:pt idx="498">
                  <c:v>2.2000000000000002</c:v>
                </c:pt>
                <c:pt idx="499">
                  <c:v>1.25</c:v>
                </c:pt>
                <c:pt idx="500">
                  <c:v>2.8</c:v>
                </c:pt>
                <c:pt idx="501">
                  <c:v>0.83</c:v>
                </c:pt>
                <c:pt idx="502">
                  <c:v>1</c:v>
                </c:pt>
                <c:pt idx="503">
                  <c:v>2.17</c:v>
                </c:pt>
                <c:pt idx="504">
                  <c:v>1.33</c:v>
                </c:pt>
                <c:pt idx="505">
                  <c:v>1</c:v>
                </c:pt>
                <c:pt idx="506">
                  <c:v>2</c:v>
                </c:pt>
                <c:pt idx="507">
                  <c:v>1.2</c:v>
                </c:pt>
                <c:pt idx="508">
                  <c:v>1</c:v>
                </c:pt>
                <c:pt idx="509">
                  <c:v>11</c:v>
                </c:pt>
                <c:pt idx="510">
                  <c:v>0.82</c:v>
                </c:pt>
                <c:pt idx="511">
                  <c:v>1.5</c:v>
                </c:pt>
                <c:pt idx="512">
                  <c:v>4</c:v>
                </c:pt>
                <c:pt idx="513">
                  <c:v>1.5</c:v>
                </c:pt>
                <c:pt idx="514">
                  <c:v>0</c:v>
                </c:pt>
                <c:pt idx="515">
                  <c:v>3</c:v>
                </c:pt>
                <c:pt idx="516">
                  <c:v>1.25</c:v>
                </c:pt>
                <c:pt idx="517">
                  <c:v>1.4</c:v>
                </c:pt>
                <c:pt idx="518">
                  <c:v>1.75</c:v>
                </c:pt>
                <c:pt idx="519">
                  <c:v>2</c:v>
                </c:pt>
                <c:pt idx="520">
                  <c:v>2.56</c:v>
                </c:pt>
                <c:pt idx="521">
                  <c:v>7</c:v>
                </c:pt>
                <c:pt idx="522">
                  <c:v>1.33</c:v>
                </c:pt>
                <c:pt idx="523">
                  <c:v>1</c:v>
                </c:pt>
                <c:pt idx="524">
                  <c:v>1</c:v>
                </c:pt>
                <c:pt idx="525">
                  <c:v>0.33</c:v>
                </c:pt>
                <c:pt idx="526">
                  <c:v>0.5</c:v>
                </c:pt>
                <c:pt idx="527">
                  <c:v>0</c:v>
                </c:pt>
                <c:pt idx="528">
                  <c:v>0.5</c:v>
                </c:pt>
                <c:pt idx="529">
                  <c:v>1</c:v>
                </c:pt>
                <c:pt idx="530">
                  <c:v>6</c:v>
                </c:pt>
                <c:pt idx="531">
                  <c:v>0</c:v>
                </c:pt>
                <c:pt idx="532">
                  <c:v>0</c:v>
                </c:pt>
                <c:pt idx="533">
                  <c:v>0.33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5</c:v>
                </c:pt>
                <c:pt idx="541">
                  <c:v>3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0.5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3</c:v>
                </c:pt>
                <c:pt idx="551">
                  <c:v>0</c:v>
                </c:pt>
                <c:pt idx="552">
                  <c:v>0.75</c:v>
                </c:pt>
                <c:pt idx="553">
                  <c:v>1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0.75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</c:numCache>
            </c:numRef>
          </c:xVal>
          <c:yVal>
            <c:numRef>
              <c:f>'Analyse complémentaire 2'!$D$4:$D$572</c:f>
              <c:numCache>
                <c:formatCode>General</c:formatCode>
                <c:ptCount val="569"/>
                <c:pt idx="0">
                  <c:v>19.899999999999999</c:v>
                </c:pt>
                <c:pt idx="1">
                  <c:v>14</c:v>
                </c:pt>
                <c:pt idx="2">
                  <c:v>20.6</c:v>
                </c:pt>
                <c:pt idx="3">
                  <c:v>21</c:v>
                </c:pt>
                <c:pt idx="4">
                  <c:v>15.8</c:v>
                </c:pt>
                <c:pt idx="5">
                  <c:v>12.2</c:v>
                </c:pt>
                <c:pt idx="6">
                  <c:v>13.9</c:v>
                </c:pt>
                <c:pt idx="7">
                  <c:v>12.9</c:v>
                </c:pt>
                <c:pt idx="8">
                  <c:v>15.2</c:v>
                </c:pt>
                <c:pt idx="9">
                  <c:v>14.5</c:v>
                </c:pt>
                <c:pt idx="10">
                  <c:v>16.100000000000001</c:v>
                </c:pt>
                <c:pt idx="11">
                  <c:v>11.5</c:v>
                </c:pt>
                <c:pt idx="12">
                  <c:v>11.1</c:v>
                </c:pt>
                <c:pt idx="13">
                  <c:v>14.5</c:v>
                </c:pt>
                <c:pt idx="14">
                  <c:v>11.2</c:v>
                </c:pt>
                <c:pt idx="15">
                  <c:v>16.899999999999999</c:v>
                </c:pt>
                <c:pt idx="16">
                  <c:v>13.7</c:v>
                </c:pt>
                <c:pt idx="17">
                  <c:v>13.8</c:v>
                </c:pt>
                <c:pt idx="18">
                  <c:v>14.2</c:v>
                </c:pt>
                <c:pt idx="19">
                  <c:v>12.4</c:v>
                </c:pt>
                <c:pt idx="20">
                  <c:v>13</c:v>
                </c:pt>
                <c:pt idx="21">
                  <c:v>12.6</c:v>
                </c:pt>
                <c:pt idx="22">
                  <c:v>10.3</c:v>
                </c:pt>
                <c:pt idx="23">
                  <c:v>13.8</c:v>
                </c:pt>
                <c:pt idx="24">
                  <c:v>11.8</c:v>
                </c:pt>
                <c:pt idx="25">
                  <c:v>11.9</c:v>
                </c:pt>
                <c:pt idx="26">
                  <c:v>15.3</c:v>
                </c:pt>
                <c:pt idx="27">
                  <c:v>15.3</c:v>
                </c:pt>
                <c:pt idx="28">
                  <c:v>14.4</c:v>
                </c:pt>
                <c:pt idx="29">
                  <c:v>9</c:v>
                </c:pt>
                <c:pt idx="30">
                  <c:v>11.1</c:v>
                </c:pt>
                <c:pt idx="31">
                  <c:v>13.7</c:v>
                </c:pt>
                <c:pt idx="32">
                  <c:v>17</c:v>
                </c:pt>
                <c:pt idx="33">
                  <c:v>10.1</c:v>
                </c:pt>
                <c:pt idx="34">
                  <c:v>11.4</c:v>
                </c:pt>
                <c:pt idx="35">
                  <c:v>10.7</c:v>
                </c:pt>
                <c:pt idx="36">
                  <c:v>12.7</c:v>
                </c:pt>
                <c:pt idx="37">
                  <c:v>14.3</c:v>
                </c:pt>
                <c:pt idx="38">
                  <c:v>10.6</c:v>
                </c:pt>
                <c:pt idx="39">
                  <c:v>13.6</c:v>
                </c:pt>
                <c:pt idx="40">
                  <c:v>15.7</c:v>
                </c:pt>
                <c:pt idx="41">
                  <c:v>16.399999999999999</c:v>
                </c:pt>
                <c:pt idx="42">
                  <c:v>9.1</c:v>
                </c:pt>
                <c:pt idx="43">
                  <c:v>10.199999999999999</c:v>
                </c:pt>
                <c:pt idx="44">
                  <c:v>9.3000000000000007</c:v>
                </c:pt>
                <c:pt idx="45">
                  <c:v>13.1</c:v>
                </c:pt>
                <c:pt idx="46">
                  <c:v>15.1</c:v>
                </c:pt>
                <c:pt idx="47">
                  <c:v>11</c:v>
                </c:pt>
                <c:pt idx="48">
                  <c:v>13.5</c:v>
                </c:pt>
                <c:pt idx="49">
                  <c:v>12.4</c:v>
                </c:pt>
                <c:pt idx="50">
                  <c:v>17.899999999999999</c:v>
                </c:pt>
                <c:pt idx="51">
                  <c:v>13.9</c:v>
                </c:pt>
                <c:pt idx="52">
                  <c:v>10.6</c:v>
                </c:pt>
                <c:pt idx="53">
                  <c:v>12.9</c:v>
                </c:pt>
                <c:pt idx="54">
                  <c:v>12.1</c:v>
                </c:pt>
                <c:pt idx="55">
                  <c:v>12.6</c:v>
                </c:pt>
                <c:pt idx="56">
                  <c:v>9.6</c:v>
                </c:pt>
                <c:pt idx="57">
                  <c:v>8.6999999999999993</c:v>
                </c:pt>
                <c:pt idx="58">
                  <c:v>15.7</c:v>
                </c:pt>
                <c:pt idx="59">
                  <c:v>12.7</c:v>
                </c:pt>
                <c:pt idx="60">
                  <c:v>9.6999999999999993</c:v>
                </c:pt>
                <c:pt idx="61">
                  <c:v>14.1</c:v>
                </c:pt>
                <c:pt idx="62">
                  <c:v>10.6</c:v>
                </c:pt>
                <c:pt idx="63">
                  <c:v>9.1999999999999993</c:v>
                </c:pt>
                <c:pt idx="64">
                  <c:v>11.6</c:v>
                </c:pt>
                <c:pt idx="65">
                  <c:v>11</c:v>
                </c:pt>
                <c:pt idx="66">
                  <c:v>9.3000000000000007</c:v>
                </c:pt>
                <c:pt idx="67">
                  <c:v>11</c:v>
                </c:pt>
                <c:pt idx="68">
                  <c:v>10.3</c:v>
                </c:pt>
                <c:pt idx="69">
                  <c:v>9.9</c:v>
                </c:pt>
                <c:pt idx="70">
                  <c:v>16.8</c:v>
                </c:pt>
                <c:pt idx="71">
                  <c:v>14.8</c:v>
                </c:pt>
                <c:pt idx="72">
                  <c:v>10.5</c:v>
                </c:pt>
                <c:pt idx="73">
                  <c:v>10.1</c:v>
                </c:pt>
                <c:pt idx="74">
                  <c:v>10.5</c:v>
                </c:pt>
                <c:pt idx="75">
                  <c:v>9.9</c:v>
                </c:pt>
                <c:pt idx="76">
                  <c:v>12.4</c:v>
                </c:pt>
                <c:pt idx="77">
                  <c:v>6.7</c:v>
                </c:pt>
                <c:pt idx="78">
                  <c:v>11.9</c:v>
                </c:pt>
                <c:pt idx="79">
                  <c:v>9.1999999999999993</c:v>
                </c:pt>
                <c:pt idx="80">
                  <c:v>8.6999999999999993</c:v>
                </c:pt>
                <c:pt idx="81">
                  <c:v>13</c:v>
                </c:pt>
                <c:pt idx="82">
                  <c:v>9.1999999999999993</c:v>
                </c:pt>
                <c:pt idx="83">
                  <c:v>8.3000000000000007</c:v>
                </c:pt>
                <c:pt idx="84">
                  <c:v>8.6</c:v>
                </c:pt>
                <c:pt idx="85">
                  <c:v>10</c:v>
                </c:pt>
                <c:pt idx="86">
                  <c:v>9.3000000000000007</c:v>
                </c:pt>
                <c:pt idx="87">
                  <c:v>12.2</c:v>
                </c:pt>
                <c:pt idx="88">
                  <c:v>9.1</c:v>
                </c:pt>
                <c:pt idx="89">
                  <c:v>10.3</c:v>
                </c:pt>
                <c:pt idx="90">
                  <c:v>12.9</c:v>
                </c:pt>
                <c:pt idx="91">
                  <c:v>14.5</c:v>
                </c:pt>
                <c:pt idx="92">
                  <c:v>8</c:v>
                </c:pt>
                <c:pt idx="93">
                  <c:v>7.1</c:v>
                </c:pt>
                <c:pt idx="94">
                  <c:v>7.5</c:v>
                </c:pt>
                <c:pt idx="95">
                  <c:v>14</c:v>
                </c:pt>
                <c:pt idx="96">
                  <c:v>10.5</c:v>
                </c:pt>
                <c:pt idx="97">
                  <c:v>10.5</c:v>
                </c:pt>
                <c:pt idx="98">
                  <c:v>8.5</c:v>
                </c:pt>
                <c:pt idx="99">
                  <c:v>8.4</c:v>
                </c:pt>
                <c:pt idx="100">
                  <c:v>9.3000000000000007</c:v>
                </c:pt>
                <c:pt idx="101">
                  <c:v>10.3</c:v>
                </c:pt>
                <c:pt idx="102">
                  <c:v>7.6</c:v>
                </c:pt>
                <c:pt idx="103">
                  <c:v>13.4</c:v>
                </c:pt>
                <c:pt idx="104">
                  <c:v>8.4</c:v>
                </c:pt>
                <c:pt idx="105">
                  <c:v>8.9</c:v>
                </c:pt>
                <c:pt idx="106">
                  <c:v>12.6</c:v>
                </c:pt>
                <c:pt idx="107">
                  <c:v>6.6</c:v>
                </c:pt>
                <c:pt idx="108">
                  <c:v>9.3000000000000007</c:v>
                </c:pt>
                <c:pt idx="109">
                  <c:v>14.7</c:v>
                </c:pt>
                <c:pt idx="110">
                  <c:v>8.4</c:v>
                </c:pt>
                <c:pt idx="111">
                  <c:v>9.6999999999999993</c:v>
                </c:pt>
                <c:pt idx="112">
                  <c:v>7</c:v>
                </c:pt>
                <c:pt idx="113">
                  <c:v>11.5</c:v>
                </c:pt>
                <c:pt idx="114">
                  <c:v>13.3</c:v>
                </c:pt>
                <c:pt idx="115">
                  <c:v>9.9</c:v>
                </c:pt>
                <c:pt idx="116">
                  <c:v>6.5</c:v>
                </c:pt>
                <c:pt idx="117">
                  <c:v>7</c:v>
                </c:pt>
                <c:pt idx="118">
                  <c:v>13.2</c:v>
                </c:pt>
                <c:pt idx="119">
                  <c:v>7.8</c:v>
                </c:pt>
                <c:pt idx="120">
                  <c:v>12.1</c:v>
                </c:pt>
                <c:pt idx="121">
                  <c:v>7.9</c:v>
                </c:pt>
                <c:pt idx="122">
                  <c:v>7.1</c:v>
                </c:pt>
                <c:pt idx="123">
                  <c:v>13.4</c:v>
                </c:pt>
                <c:pt idx="124">
                  <c:v>10.6</c:v>
                </c:pt>
                <c:pt idx="125">
                  <c:v>7.1</c:v>
                </c:pt>
                <c:pt idx="126">
                  <c:v>7.1</c:v>
                </c:pt>
                <c:pt idx="127">
                  <c:v>7.6</c:v>
                </c:pt>
                <c:pt idx="128">
                  <c:v>9.4</c:v>
                </c:pt>
                <c:pt idx="129">
                  <c:v>8.6999999999999993</c:v>
                </c:pt>
                <c:pt idx="130">
                  <c:v>11.9</c:v>
                </c:pt>
                <c:pt idx="131">
                  <c:v>8.6</c:v>
                </c:pt>
                <c:pt idx="132">
                  <c:v>8.1</c:v>
                </c:pt>
                <c:pt idx="133">
                  <c:v>9.1999999999999993</c:v>
                </c:pt>
                <c:pt idx="134">
                  <c:v>12.9</c:v>
                </c:pt>
                <c:pt idx="135">
                  <c:v>8.9</c:v>
                </c:pt>
                <c:pt idx="136">
                  <c:v>6.5</c:v>
                </c:pt>
                <c:pt idx="137">
                  <c:v>10.4</c:v>
                </c:pt>
                <c:pt idx="138">
                  <c:v>11.4</c:v>
                </c:pt>
                <c:pt idx="139">
                  <c:v>6.9</c:v>
                </c:pt>
                <c:pt idx="140">
                  <c:v>16.7</c:v>
                </c:pt>
                <c:pt idx="141">
                  <c:v>8.4</c:v>
                </c:pt>
                <c:pt idx="142">
                  <c:v>9.8000000000000007</c:v>
                </c:pt>
                <c:pt idx="143">
                  <c:v>7</c:v>
                </c:pt>
                <c:pt idx="144">
                  <c:v>10</c:v>
                </c:pt>
                <c:pt idx="145">
                  <c:v>7.6</c:v>
                </c:pt>
                <c:pt idx="146">
                  <c:v>10.199999999999999</c:v>
                </c:pt>
                <c:pt idx="147">
                  <c:v>11.5</c:v>
                </c:pt>
                <c:pt idx="148">
                  <c:v>12.9</c:v>
                </c:pt>
                <c:pt idx="149">
                  <c:v>11</c:v>
                </c:pt>
                <c:pt idx="150">
                  <c:v>6.3</c:v>
                </c:pt>
                <c:pt idx="151">
                  <c:v>8.6999999999999993</c:v>
                </c:pt>
                <c:pt idx="152">
                  <c:v>7.4</c:v>
                </c:pt>
                <c:pt idx="153">
                  <c:v>14.1</c:v>
                </c:pt>
                <c:pt idx="154">
                  <c:v>7.2</c:v>
                </c:pt>
                <c:pt idx="155">
                  <c:v>9.3000000000000007</c:v>
                </c:pt>
                <c:pt idx="156">
                  <c:v>10.3</c:v>
                </c:pt>
                <c:pt idx="157">
                  <c:v>8.8000000000000007</c:v>
                </c:pt>
                <c:pt idx="158">
                  <c:v>7.9</c:v>
                </c:pt>
                <c:pt idx="159">
                  <c:v>11.7</c:v>
                </c:pt>
                <c:pt idx="160">
                  <c:v>8.5</c:v>
                </c:pt>
                <c:pt idx="161">
                  <c:v>7.3</c:v>
                </c:pt>
                <c:pt idx="162">
                  <c:v>13.1</c:v>
                </c:pt>
                <c:pt idx="163">
                  <c:v>13.5</c:v>
                </c:pt>
                <c:pt idx="164">
                  <c:v>7.8</c:v>
                </c:pt>
                <c:pt idx="165">
                  <c:v>8.4</c:v>
                </c:pt>
                <c:pt idx="166">
                  <c:v>7</c:v>
                </c:pt>
                <c:pt idx="167">
                  <c:v>15.6</c:v>
                </c:pt>
                <c:pt idx="168">
                  <c:v>6.5</c:v>
                </c:pt>
                <c:pt idx="169">
                  <c:v>8.1</c:v>
                </c:pt>
                <c:pt idx="170">
                  <c:v>10.6</c:v>
                </c:pt>
                <c:pt idx="171">
                  <c:v>7.3</c:v>
                </c:pt>
                <c:pt idx="172">
                  <c:v>9</c:v>
                </c:pt>
                <c:pt idx="173">
                  <c:v>6.4</c:v>
                </c:pt>
                <c:pt idx="174">
                  <c:v>8.1</c:v>
                </c:pt>
                <c:pt idx="175">
                  <c:v>12.7</c:v>
                </c:pt>
                <c:pt idx="176">
                  <c:v>13.8</c:v>
                </c:pt>
                <c:pt idx="177">
                  <c:v>10.5</c:v>
                </c:pt>
                <c:pt idx="178">
                  <c:v>8.1</c:v>
                </c:pt>
                <c:pt idx="179">
                  <c:v>9.9</c:v>
                </c:pt>
                <c:pt idx="180">
                  <c:v>7.7</c:v>
                </c:pt>
                <c:pt idx="181">
                  <c:v>10.1</c:v>
                </c:pt>
                <c:pt idx="182">
                  <c:v>8.8000000000000007</c:v>
                </c:pt>
                <c:pt idx="183">
                  <c:v>7.7</c:v>
                </c:pt>
                <c:pt idx="184">
                  <c:v>11.1</c:v>
                </c:pt>
                <c:pt idx="185">
                  <c:v>6.6</c:v>
                </c:pt>
                <c:pt idx="186">
                  <c:v>8.3000000000000007</c:v>
                </c:pt>
                <c:pt idx="187">
                  <c:v>12.2</c:v>
                </c:pt>
                <c:pt idx="188">
                  <c:v>10.199999999999999</c:v>
                </c:pt>
                <c:pt idx="189">
                  <c:v>10.4</c:v>
                </c:pt>
                <c:pt idx="190">
                  <c:v>11.9</c:v>
                </c:pt>
                <c:pt idx="191">
                  <c:v>6.4</c:v>
                </c:pt>
                <c:pt idx="192">
                  <c:v>5.8</c:v>
                </c:pt>
                <c:pt idx="193">
                  <c:v>6.9</c:v>
                </c:pt>
                <c:pt idx="194">
                  <c:v>5.7</c:v>
                </c:pt>
                <c:pt idx="195">
                  <c:v>7.4</c:v>
                </c:pt>
                <c:pt idx="196">
                  <c:v>9.1999999999999993</c:v>
                </c:pt>
                <c:pt idx="197">
                  <c:v>9.3000000000000007</c:v>
                </c:pt>
                <c:pt idx="198">
                  <c:v>9</c:v>
                </c:pt>
                <c:pt idx="199">
                  <c:v>12.5</c:v>
                </c:pt>
                <c:pt idx="200">
                  <c:v>7.5</c:v>
                </c:pt>
                <c:pt idx="201">
                  <c:v>7.1</c:v>
                </c:pt>
                <c:pt idx="202">
                  <c:v>9.8000000000000007</c:v>
                </c:pt>
                <c:pt idx="203">
                  <c:v>10.7</c:v>
                </c:pt>
                <c:pt idx="204">
                  <c:v>6.2</c:v>
                </c:pt>
                <c:pt idx="205">
                  <c:v>10</c:v>
                </c:pt>
                <c:pt idx="206">
                  <c:v>8.4</c:v>
                </c:pt>
                <c:pt idx="207">
                  <c:v>12.8</c:v>
                </c:pt>
                <c:pt idx="208">
                  <c:v>8.9</c:v>
                </c:pt>
                <c:pt idx="209">
                  <c:v>6.6</c:v>
                </c:pt>
                <c:pt idx="210">
                  <c:v>6</c:v>
                </c:pt>
                <c:pt idx="211">
                  <c:v>10.1</c:v>
                </c:pt>
                <c:pt idx="212">
                  <c:v>11.8</c:v>
                </c:pt>
                <c:pt idx="213">
                  <c:v>10.199999999999999</c:v>
                </c:pt>
                <c:pt idx="214">
                  <c:v>9.1</c:v>
                </c:pt>
                <c:pt idx="215">
                  <c:v>5.8</c:v>
                </c:pt>
                <c:pt idx="216">
                  <c:v>8.6999999999999993</c:v>
                </c:pt>
                <c:pt idx="217">
                  <c:v>7</c:v>
                </c:pt>
                <c:pt idx="218">
                  <c:v>7.4</c:v>
                </c:pt>
                <c:pt idx="219">
                  <c:v>8</c:v>
                </c:pt>
                <c:pt idx="220">
                  <c:v>10.8</c:v>
                </c:pt>
                <c:pt idx="221">
                  <c:v>10.7</c:v>
                </c:pt>
                <c:pt idx="222">
                  <c:v>9.9</c:v>
                </c:pt>
                <c:pt idx="223">
                  <c:v>13.3</c:v>
                </c:pt>
                <c:pt idx="224">
                  <c:v>8.4</c:v>
                </c:pt>
                <c:pt idx="225">
                  <c:v>7.8</c:v>
                </c:pt>
                <c:pt idx="226">
                  <c:v>7.4</c:v>
                </c:pt>
                <c:pt idx="227">
                  <c:v>6.9</c:v>
                </c:pt>
                <c:pt idx="228">
                  <c:v>5.9</c:v>
                </c:pt>
                <c:pt idx="229">
                  <c:v>13.4</c:v>
                </c:pt>
                <c:pt idx="230">
                  <c:v>4.3</c:v>
                </c:pt>
                <c:pt idx="231">
                  <c:v>12.6</c:v>
                </c:pt>
                <c:pt idx="232">
                  <c:v>8.9</c:v>
                </c:pt>
                <c:pt idx="233">
                  <c:v>6.9</c:v>
                </c:pt>
                <c:pt idx="234">
                  <c:v>9.8000000000000007</c:v>
                </c:pt>
                <c:pt idx="235">
                  <c:v>11.7</c:v>
                </c:pt>
                <c:pt idx="236">
                  <c:v>5.7</c:v>
                </c:pt>
                <c:pt idx="237">
                  <c:v>12.2</c:v>
                </c:pt>
                <c:pt idx="238">
                  <c:v>10.8</c:v>
                </c:pt>
                <c:pt idx="239">
                  <c:v>7</c:v>
                </c:pt>
                <c:pt idx="240">
                  <c:v>8.3000000000000007</c:v>
                </c:pt>
                <c:pt idx="241">
                  <c:v>3.9</c:v>
                </c:pt>
                <c:pt idx="242">
                  <c:v>8.6999999999999993</c:v>
                </c:pt>
                <c:pt idx="243">
                  <c:v>8.1</c:v>
                </c:pt>
                <c:pt idx="244">
                  <c:v>11.6</c:v>
                </c:pt>
                <c:pt idx="245">
                  <c:v>16.899999999999999</c:v>
                </c:pt>
                <c:pt idx="246">
                  <c:v>10.1</c:v>
                </c:pt>
                <c:pt idx="247">
                  <c:v>8.5</c:v>
                </c:pt>
                <c:pt idx="248">
                  <c:v>8.6999999999999993</c:v>
                </c:pt>
                <c:pt idx="249">
                  <c:v>6.8</c:v>
                </c:pt>
                <c:pt idx="250">
                  <c:v>6.2</c:v>
                </c:pt>
                <c:pt idx="251">
                  <c:v>6.8</c:v>
                </c:pt>
                <c:pt idx="252">
                  <c:v>8.3000000000000007</c:v>
                </c:pt>
                <c:pt idx="253">
                  <c:v>10.8</c:v>
                </c:pt>
                <c:pt idx="254">
                  <c:v>11.4</c:v>
                </c:pt>
                <c:pt idx="255">
                  <c:v>11.4</c:v>
                </c:pt>
                <c:pt idx="256">
                  <c:v>10.5</c:v>
                </c:pt>
                <c:pt idx="257">
                  <c:v>9.3000000000000007</c:v>
                </c:pt>
                <c:pt idx="258">
                  <c:v>9.6</c:v>
                </c:pt>
                <c:pt idx="259">
                  <c:v>11</c:v>
                </c:pt>
                <c:pt idx="260">
                  <c:v>7.2</c:v>
                </c:pt>
                <c:pt idx="261">
                  <c:v>6.1</c:v>
                </c:pt>
                <c:pt idx="262">
                  <c:v>8.6999999999999993</c:v>
                </c:pt>
                <c:pt idx="263">
                  <c:v>8.6</c:v>
                </c:pt>
                <c:pt idx="264">
                  <c:v>10.6</c:v>
                </c:pt>
                <c:pt idx="265">
                  <c:v>12</c:v>
                </c:pt>
                <c:pt idx="266">
                  <c:v>11.5</c:v>
                </c:pt>
                <c:pt idx="267">
                  <c:v>10.4</c:v>
                </c:pt>
                <c:pt idx="268">
                  <c:v>12.2</c:v>
                </c:pt>
                <c:pt idx="269">
                  <c:v>13.4</c:v>
                </c:pt>
                <c:pt idx="270">
                  <c:v>8.3000000000000007</c:v>
                </c:pt>
                <c:pt idx="271">
                  <c:v>16.5</c:v>
                </c:pt>
                <c:pt idx="272">
                  <c:v>12.4</c:v>
                </c:pt>
                <c:pt idx="273">
                  <c:v>10.1</c:v>
                </c:pt>
                <c:pt idx="274">
                  <c:v>9.8000000000000007</c:v>
                </c:pt>
                <c:pt idx="275">
                  <c:v>10.8</c:v>
                </c:pt>
                <c:pt idx="276">
                  <c:v>9.6999999999999993</c:v>
                </c:pt>
                <c:pt idx="277">
                  <c:v>9</c:v>
                </c:pt>
                <c:pt idx="278">
                  <c:v>9.5</c:v>
                </c:pt>
                <c:pt idx="279">
                  <c:v>9.1999999999999993</c:v>
                </c:pt>
                <c:pt idx="280">
                  <c:v>5.5</c:v>
                </c:pt>
                <c:pt idx="281">
                  <c:v>10.8</c:v>
                </c:pt>
                <c:pt idx="282">
                  <c:v>8</c:v>
                </c:pt>
                <c:pt idx="283">
                  <c:v>8.8000000000000007</c:v>
                </c:pt>
                <c:pt idx="284">
                  <c:v>6.3</c:v>
                </c:pt>
                <c:pt idx="285">
                  <c:v>6.5</c:v>
                </c:pt>
                <c:pt idx="286">
                  <c:v>6.8</c:v>
                </c:pt>
                <c:pt idx="287">
                  <c:v>10.6</c:v>
                </c:pt>
                <c:pt idx="288">
                  <c:v>8.8000000000000007</c:v>
                </c:pt>
                <c:pt idx="289">
                  <c:v>6.4</c:v>
                </c:pt>
                <c:pt idx="290">
                  <c:v>11.4</c:v>
                </c:pt>
                <c:pt idx="291">
                  <c:v>8.1999999999999993</c:v>
                </c:pt>
                <c:pt idx="292">
                  <c:v>7.8</c:v>
                </c:pt>
                <c:pt idx="293">
                  <c:v>9.5</c:v>
                </c:pt>
                <c:pt idx="294">
                  <c:v>5.7</c:v>
                </c:pt>
                <c:pt idx="295">
                  <c:v>9.3000000000000007</c:v>
                </c:pt>
                <c:pt idx="296">
                  <c:v>5.5</c:v>
                </c:pt>
                <c:pt idx="297">
                  <c:v>6.7</c:v>
                </c:pt>
                <c:pt idx="298">
                  <c:v>9.8000000000000007</c:v>
                </c:pt>
                <c:pt idx="299">
                  <c:v>11</c:v>
                </c:pt>
                <c:pt idx="300">
                  <c:v>5.6</c:v>
                </c:pt>
                <c:pt idx="301">
                  <c:v>12.7</c:v>
                </c:pt>
                <c:pt idx="302">
                  <c:v>9.6</c:v>
                </c:pt>
                <c:pt idx="303">
                  <c:v>6.7</c:v>
                </c:pt>
                <c:pt idx="304">
                  <c:v>4.5999999999999996</c:v>
                </c:pt>
                <c:pt idx="305">
                  <c:v>8.1</c:v>
                </c:pt>
                <c:pt idx="306">
                  <c:v>12.4</c:v>
                </c:pt>
                <c:pt idx="307">
                  <c:v>6.9</c:v>
                </c:pt>
                <c:pt idx="308">
                  <c:v>10.7</c:v>
                </c:pt>
                <c:pt idx="309">
                  <c:v>10.199999999999999</c:v>
                </c:pt>
                <c:pt idx="310">
                  <c:v>8.6</c:v>
                </c:pt>
                <c:pt idx="311">
                  <c:v>11.3</c:v>
                </c:pt>
                <c:pt idx="312">
                  <c:v>8.8000000000000007</c:v>
                </c:pt>
                <c:pt idx="313">
                  <c:v>7.2</c:v>
                </c:pt>
                <c:pt idx="314">
                  <c:v>10.9</c:v>
                </c:pt>
                <c:pt idx="315">
                  <c:v>6.1</c:v>
                </c:pt>
                <c:pt idx="316">
                  <c:v>10.6</c:v>
                </c:pt>
                <c:pt idx="317">
                  <c:v>6.2</c:v>
                </c:pt>
                <c:pt idx="318">
                  <c:v>10</c:v>
                </c:pt>
                <c:pt idx="319">
                  <c:v>6</c:v>
                </c:pt>
                <c:pt idx="320">
                  <c:v>11.1</c:v>
                </c:pt>
                <c:pt idx="321">
                  <c:v>12.4</c:v>
                </c:pt>
                <c:pt idx="322">
                  <c:v>6.1</c:v>
                </c:pt>
                <c:pt idx="323">
                  <c:v>11.9</c:v>
                </c:pt>
                <c:pt idx="324">
                  <c:v>6.1</c:v>
                </c:pt>
                <c:pt idx="325">
                  <c:v>4.5</c:v>
                </c:pt>
                <c:pt idx="326">
                  <c:v>7.8</c:v>
                </c:pt>
                <c:pt idx="327">
                  <c:v>8.6999999999999993</c:v>
                </c:pt>
                <c:pt idx="328">
                  <c:v>6.7</c:v>
                </c:pt>
                <c:pt idx="329">
                  <c:v>7.3</c:v>
                </c:pt>
                <c:pt idx="330">
                  <c:v>10.3</c:v>
                </c:pt>
                <c:pt idx="331">
                  <c:v>6.1</c:v>
                </c:pt>
                <c:pt idx="332">
                  <c:v>5.5</c:v>
                </c:pt>
                <c:pt idx="333">
                  <c:v>9.1</c:v>
                </c:pt>
                <c:pt idx="334">
                  <c:v>11.4</c:v>
                </c:pt>
                <c:pt idx="335">
                  <c:v>6.1</c:v>
                </c:pt>
                <c:pt idx="336">
                  <c:v>8.1999999999999993</c:v>
                </c:pt>
                <c:pt idx="337">
                  <c:v>8.6999999999999993</c:v>
                </c:pt>
                <c:pt idx="338">
                  <c:v>9.6</c:v>
                </c:pt>
                <c:pt idx="339">
                  <c:v>8.1999999999999993</c:v>
                </c:pt>
                <c:pt idx="340">
                  <c:v>7.3</c:v>
                </c:pt>
                <c:pt idx="341">
                  <c:v>2.1</c:v>
                </c:pt>
                <c:pt idx="342">
                  <c:v>6</c:v>
                </c:pt>
                <c:pt idx="343">
                  <c:v>13.5</c:v>
                </c:pt>
                <c:pt idx="344">
                  <c:v>5.0999999999999996</c:v>
                </c:pt>
                <c:pt idx="345">
                  <c:v>10.9</c:v>
                </c:pt>
                <c:pt idx="346">
                  <c:v>7.8</c:v>
                </c:pt>
                <c:pt idx="347">
                  <c:v>5.3</c:v>
                </c:pt>
                <c:pt idx="348">
                  <c:v>8.8000000000000007</c:v>
                </c:pt>
                <c:pt idx="349">
                  <c:v>6.6</c:v>
                </c:pt>
                <c:pt idx="350">
                  <c:v>6.4</c:v>
                </c:pt>
                <c:pt idx="351">
                  <c:v>11.5</c:v>
                </c:pt>
                <c:pt idx="352">
                  <c:v>6.2</c:v>
                </c:pt>
                <c:pt idx="353">
                  <c:v>10.6</c:v>
                </c:pt>
                <c:pt idx="354">
                  <c:v>8.1999999999999993</c:v>
                </c:pt>
                <c:pt idx="355">
                  <c:v>9.6999999999999993</c:v>
                </c:pt>
                <c:pt idx="356">
                  <c:v>7.8</c:v>
                </c:pt>
                <c:pt idx="357">
                  <c:v>13.1</c:v>
                </c:pt>
                <c:pt idx="358">
                  <c:v>8.5</c:v>
                </c:pt>
                <c:pt idx="359">
                  <c:v>6.7</c:v>
                </c:pt>
                <c:pt idx="360">
                  <c:v>10.5</c:v>
                </c:pt>
                <c:pt idx="361">
                  <c:v>7.7</c:v>
                </c:pt>
                <c:pt idx="362">
                  <c:v>9.1</c:v>
                </c:pt>
                <c:pt idx="363">
                  <c:v>7.1</c:v>
                </c:pt>
                <c:pt idx="364">
                  <c:v>11.5</c:v>
                </c:pt>
                <c:pt idx="365">
                  <c:v>9.8000000000000007</c:v>
                </c:pt>
                <c:pt idx="366">
                  <c:v>6.3</c:v>
                </c:pt>
                <c:pt idx="367">
                  <c:v>6.5</c:v>
                </c:pt>
                <c:pt idx="368">
                  <c:v>7.5</c:v>
                </c:pt>
                <c:pt idx="369">
                  <c:v>8.3000000000000007</c:v>
                </c:pt>
                <c:pt idx="370">
                  <c:v>8.5</c:v>
                </c:pt>
                <c:pt idx="371">
                  <c:v>7.5</c:v>
                </c:pt>
                <c:pt idx="372">
                  <c:v>6.7</c:v>
                </c:pt>
                <c:pt idx="373">
                  <c:v>7.4</c:v>
                </c:pt>
                <c:pt idx="374">
                  <c:v>7.6</c:v>
                </c:pt>
                <c:pt idx="375">
                  <c:v>5.7</c:v>
                </c:pt>
                <c:pt idx="376">
                  <c:v>8.1</c:v>
                </c:pt>
                <c:pt idx="377">
                  <c:v>6.3</c:v>
                </c:pt>
                <c:pt idx="378">
                  <c:v>8.9</c:v>
                </c:pt>
                <c:pt idx="379">
                  <c:v>8</c:v>
                </c:pt>
                <c:pt idx="380">
                  <c:v>11.3</c:v>
                </c:pt>
                <c:pt idx="381">
                  <c:v>7.8</c:v>
                </c:pt>
                <c:pt idx="382">
                  <c:v>5.5</c:v>
                </c:pt>
                <c:pt idx="383">
                  <c:v>8.1999999999999993</c:v>
                </c:pt>
                <c:pt idx="384">
                  <c:v>7.1</c:v>
                </c:pt>
                <c:pt idx="385">
                  <c:v>8.9</c:v>
                </c:pt>
                <c:pt idx="386">
                  <c:v>7</c:v>
                </c:pt>
                <c:pt idx="387">
                  <c:v>8.3000000000000007</c:v>
                </c:pt>
                <c:pt idx="388">
                  <c:v>10.8</c:v>
                </c:pt>
                <c:pt idx="389">
                  <c:v>8.1999999999999993</c:v>
                </c:pt>
                <c:pt idx="390">
                  <c:v>8.1999999999999993</c:v>
                </c:pt>
                <c:pt idx="391">
                  <c:v>5.0999999999999996</c:v>
                </c:pt>
                <c:pt idx="392">
                  <c:v>4.3</c:v>
                </c:pt>
                <c:pt idx="393">
                  <c:v>8</c:v>
                </c:pt>
                <c:pt idx="394">
                  <c:v>8.8000000000000007</c:v>
                </c:pt>
                <c:pt idx="395">
                  <c:v>7.9</c:v>
                </c:pt>
                <c:pt idx="396">
                  <c:v>8.1999999999999993</c:v>
                </c:pt>
                <c:pt idx="397">
                  <c:v>10</c:v>
                </c:pt>
                <c:pt idx="398">
                  <c:v>6.7</c:v>
                </c:pt>
                <c:pt idx="399">
                  <c:v>7</c:v>
                </c:pt>
                <c:pt idx="400">
                  <c:v>10.1</c:v>
                </c:pt>
                <c:pt idx="401">
                  <c:v>6.7</c:v>
                </c:pt>
                <c:pt idx="402">
                  <c:v>12.3</c:v>
                </c:pt>
                <c:pt idx="403">
                  <c:v>8.6999999999999993</c:v>
                </c:pt>
                <c:pt idx="404">
                  <c:v>6.6</c:v>
                </c:pt>
                <c:pt idx="405">
                  <c:v>5.7</c:v>
                </c:pt>
                <c:pt idx="406">
                  <c:v>7.1</c:v>
                </c:pt>
                <c:pt idx="407">
                  <c:v>6.1</c:v>
                </c:pt>
                <c:pt idx="408">
                  <c:v>7.4</c:v>
                </c:pt>
                <c:pt idx="409">
                  <c:v>10.9</c:v>
                </c:pt>
                <c:pt idx="410">
                  <c:v>10.1</c:v>
                </c:pt>
                <c:pt idx="411">
                  <c:v>7.7</c:v>
                </c:pt>
                <c:pt idx="412">
                  <c:v>9.5</c:v>
                </c:pt>
                <c:pt idx="413">
                  <c:v>10.6</c:v>
                </c:pt>
                <c:pt idx="414">
                  <c:v>7.3</c:v>
                </c:pt>
                <c:pt idx="415">
                  <c:v>13.7</c:v>
                </c:pt>
                <c:pt idx="416">
                  <c:v>6.6</c:v>
                </c:pt>
                <c:pt idx="417">
                  <c:v>6.5</c:v>
                </c:pt>
                <c:pt idx="418">
                  <c:v>11.4</c:v>
                </c:pt>
                <c:pt idx="419">
                  <c:v>7.4</c:v>
                </c:pt>
                <c:pt idx="420">
                  <c:v>5.0999999999999996</c:v>
                </c:pt>
                <c:pt idx="421">
                  <c:v>9.4</c:v>
                </c:pt>
                <c:pt idx="422">
                  <c:v>5.5</c:v>
                </c:pt>
                <c:pt idx="423">
                  <c:v>8.6</c:v>
                </c:pt>
                <c:pt idx="424">
                  <c:v>8</c:v>
                </c:pt>
                <c:pt idx="425">
                  <c:v>6.3</c:v>
                </c:pt>
                <c:pt idx="426">
                  <c:v>4.9000000000000004</c:v>
                </c:pt>
                <c:pt idx="427">
                  <c:v>6.8</c:v>
                </c:pt>
                <c:pt idx="428">
                  <c:v>4</c:v>
                </c:pt>
                <c:pt idx="429">
                  <c:v>14</c:v>
                </c:pt>
                <c:pt idx="430">
                  <c:v>8.6999999999999993</c:v>
                </c:pt>
                <c:pt idx="431">
                  <c:v>5.9</c:v>
                </c:pt>
                <c:pt idx="432">
                  <c:v>3.5</c:v>
                </c:pt>
                <c:pt idx="433">
                  <c:v>9.3000000000000007</c:v>
                </c:pt>
                <c:pt idx="434">
                  <c:v>8.3000000000000007</c:v>
                </c:pt>
                <c:pt idx="435">
                  <c:v>7</c:v>
                </c:pt>
                <c:pt idx="436">
                  <c:v>4.4000000000000004</c:v>
                </c:pt>
                <c:pt idx="437">
                  <c:v>5.0999999999999996</c:v>
                </c:pt>
                <c:pt idx="438">
                  <c:v>8.1999999999999993</c:v>
                </c:pt>
                <c:pt idx="439">
                  <c:v>8.1999999999999993</c:v>
                </c:pt>
                <c:pt idx="440">
                  <c:v>12.2</c:v>
                </c:pt>
                <c:pt idx="441">
                  <c:v>6.5</c:v>
                </c:pt>
                <c:pt idx="442">
                  <c:v>7.9</c:v>
                </c:pt>
                <c:pt idx="443">
                  <c:v>4.5</c:v>
                </c:pt>
                <c:pt idx="444">
                  <c:v>8.9</c:v>
                </c:pt>
                <c:pt idx="445">
                  <c:v>7.2</c:v>
                </c:pt>
                <c:pt idx="446">
                  <c:v>6.7</c:v>
                </c:pt>
                <c:pt idx="447">
                  <c:v>12.3</c:v>
                </c:pt>
                <c:pt idx="448">
                  <c:v>7.4</c:v>
                </c:pt>
                <c:pt idx="449">
                  <c:v>7.9</c:v>
                </c:pt>
                <c:pt idx="450">
                  <c:v>8.3000000000000007</c:v>
                </c:pt>
                <c:pt idx="451">
                  <c:v>9</c:v>
                </c:pt>
                <c:pt idx="452">
                  <c:v>15.4</c:v>
                </c:pt>
                <c:pt idx="453">
                  <c:v>5.7</c:v>
                </c:pt>
                <c:pt idx="454">
                  <c:v>6.5</c:v>
                </c:pt>
                <c:pt idx="455">
                  <c:v>8.3000000000000007</c:v>
                </c:pt>
                <c:pt idx="456">
                  <c:v>6</c:v>
                </c:pt>
                <c:pt idx="457">
                  <c:v>2.5</c:v>
                </c:pt>
                <c:pt idx="458">
                  <c:v>7.7</c:v>
                </c:pt>
                <c:pt idx="459">
                  <c:v>12.3</c:v>
                </c:pt>
                <c:pt idx="460">
                  <c:v>3.8</c:v>
                </c:pt>
                <c:pt idx="461">
                  <c:v>5</c:v>
                </c:pt>
                <c:pt idx="462">
                  <c:v>9.1</c:v>
                </c:pt>
                <c:pt idx="463">
                  <c:v>16</c:v>
                </c:pt>
                <c:pt idx="464">
                  <c:v>6.5</c:v>
                </c:pt>
                <c:pt idx="465">
                  <c:v>4.5999999999999996</c:v>
                </c:pt>
                <c:pt idx="466">
                  <c:v>10</c:v>
                </c:pt>
                <c:pt idx="467">
                  <c:v>6.7</c:v>
                </c:pt>
                <c:pt idx="468">
                  <c:v>4.5</c:v>
                </c:pt>
                <c:pt idx="469">
                  <c:v>7.8</c:v>
                </c:pt>
                <c:pt idx="470">
                  <c:v>2.4</c:v>
                </c:pt>
                <c:pt idx="471">
                  <c:v>8.5</c:v>
                </c:pt>
                <c:pt idx="472">
                  <c:v>5.0999999999999996</c:v>
                </c:pt>
                <c:pt idx="473">
                  <c:v>8.6</c:v>
                </c:pt>
                <c:pt idx="474">
                  <c:v>8.9</c:v>
                </c:pt>
                <c:pt idx="475">
                  <c:v>12.2</c:v>
                </c:pt>
                <c:pt idx="476">
                  <c:v>5</c:v>
                </c:pt>
                <c:pt idx="477">
                  <c:v>4.8</c:v>
                </c:pt>
                <c:pt idx="478">
                  <c:v>4</c:v>
                </c:pt>
                <c:pt idx="479">
                  <c:v>10.4</c:v>
                </c:pt>
                <c:pt idx="480">
                  <c:v>11.4</c:v>
                </c:pt>
                <c:pt idx="481">
                  <c:v>12.2</c:v>
                </c:pt>
                <c:pt idx="482">
                  <c:v>5.7</c:v>
                </c:pt>
                <c:pt idx="483">
                  <c:v>5.4</c:v>
                </c:pt>
                <c:pt idx="484">
                  <c:v>8</c:v>
                </c:pt>
                <c:pt idx="485">
                  <c:v>12.7</c:v>
                </c:pt>
                <c:pt idx="486">
                  <c:v>6.5</c:v>
                </c:pt>
                <c:pt idx="487">
                  <c:v>9.6</c:v>
                </c:pt>
                <c:pt idx="488">
                  <c:v>8.6</c:v>
                </c:pt>
                <c:pt idx="489">
                  <c:v>4.9000000000000004</c:v>
                </c:pt>
                <c:pt idx="490">
                  <c:v>9.5</c:v>
                </c:pt>
                <c:pt idx="491">
                  <c:v>7.9</c:v>
                </c:pt>
                <c:pt idx="492">
                  <c:v>7.2</c:v>
                </c:pt>
                <c:pt idx="493">
                  <c:v>5.7</c:v>
                </c:pt>
                <c:pt idx="494">
                  <c:v>2.2000000000000002</c:v>
                </c:pt>
                <c:pt idx="495">
                  <c:v>1.5</c:v>
                </c:pt>
                <c:pt idx="496">
                  <c:v>3.7</c:v>
                </c:pt>
                <c:pt idx="497">
                  <c:v>16.8</c:v>
                </c:pt>
                <c:pt idx="498">
                  <c:v>2.9</c:v>
                </c:pt>
                <c:pt idx="499">
                  <c:v>4.7</c:v>
                </c:pt>
                <c:pt idx="500">
                  <c:v>11</c:v>
                </c:pt>
                <c:pt idx="501">
                  <c:v>9.9</c:v>
                </c:pt>
                <c:pt idx="502">
                  <c:v>6.2</c:v>
                </c:pt>
                <c:pt idx="503">
                  <c:v>5.7</c:v>
                </c:pt>
                <c:pt idx="504">
                  <c:v>6.3</c:v>
                </c:pt>
                <c:pt idx="505">
                  <c:v>1.3</c:v>
                </c:pt>
                <c:pt idx="506">
                  <c:v>9</c:v>
                </c:pt>
                <c:pt idx="507">
                  <c:v>3.1</c:v>
                </c:pt>
                <c:pt idx="508">
                  <c:v>12.5</c:v>
                </c:pt>
                <c:pt idx="509">
                  <c:v>15.9</c:v>
                </c:pt>
                <c:pt idx="510">
                  <c:v>6.2</c:v>
                </c:pt>
                <c:pt idx="511">
                  <c:v>4.8</c:v>
                </c:pt>
                <c:pt idx="512">
                  <c:v>10.1</c:v>
                </c:pt>
                <c:pt idx="513">
                  <c:v>4.7</c:v>
                </c:pt>
                <c:pt idx="514">
                  <c:v>20.2</c:v>
                </c:pt>
                <c:pt idx="515">
                  <c:v>7</c:v>
                </c:pt>
                <c:pt idx="516">
                  <c:v>6.7</c:v>
                </c:pt>
                <c:pt idx="517">
                  <c:v>2</c:v>
                </c:pt>
                <c:pt idx="518">
                  <c:v>8.4</c:v>
                </c:pt>
                <c:pt idx="519">
                  <c:v>8.6999999999999993</c:v>
                </c:pt>
                <c:pt idx="520">
                  <c:v>2.5</c:v>
                </c:pt>
                <c:pt idx="521">
                  <c:v>9.5</c:v>
                </c:pt>
                <c:pt idx="522">
                  <c:v>2.2000000000000002</c:v>
                </c:pt>
                <c:pt idx="523">
                  <c:v>3.6</c:v>
                </c:pt>
                <c:pt idx="524">
                  <c:v>7</c:v>
                </c:pt>
                <c:pt idx="525">
                  <c:v>2.7</c:v>
                </c:pt>
                <c:pt idx="526">
                  <c:v>2</c:v>
                </c:pt>
                <c:pt idx="527">
                  <c:v>14.9</c:v>
                </c:pt>
                <c:pt idx="528">
                  <c:v>0</c:v>
                </c:pt>
                <c:pt idx="529">
                  <c:v>2.2000000000000002</c:v>
                </c:pt>
                <c:pt idx="530">
                  <c:v>10</c:v>
                </c:pt>
                <c:pt idx="531">
                  <c:v>2.9</c:v>
                </c:pt>
                <c:pt idx="532">
                  <c:v>9.1999999999999993</c:v>
                </c:pt>
                <c:pt idx="533">
                  <c:v>-2.5</c:v>
                </c:pt>
                <c:pt idx="534">
                  <c:v>1.5</c:v>
                </c:pt>
                <c:pt idx="535">
                  <c:v>2.6</c:v>
                </c:pt>
                <c:pt idx="536">
                  <c:v>1.5</c:v>
                </c:pt>
                <c:pt idx="537">
                  <c:v>-0.5</c:v>
                </c:pt>
                <c:pt idx="538">
                  <c:v>3.3</c:v>
                </c:pt>
                <c:pt idx="539">
                  <c:v>7.8</c:v>
                </c:pt>
                <c:pt idx="540">
                  <c:v>5.4</c:v>
                </c:pt>
                <c:pt idx="541">
                  <c:v>0</c:v>
                </c:pt>
                <c:pt idx="542">
                  <c:v>8.8000000000000007</c:v>
                </c:pt>
                <c:pt idx="543">
                  <c:v>9.9</c:v>
                </c:pt>
                <c:pt idx="544">
                  <c:v>6.6</c:v>
                </c:pt>
                <c:pt idx="545">
                  <c:v>10.5</c:v>
                </c:pt>
                <c:pt idx="546">
                  <c:v>15.6</c:v>
                </c:pt>
                <c:pt idx="547">
                  <c:v>2</c:v>
                </c:pt>
                <c:pt idx="548">
                  <c:v>9.1999999999999993</c:v>
                </c:pt>
                <c:pt idx="549">
                  <c:v>40</c:v>
                </c:pt>
                <c:pt idx="550">
                  <c:v>8</c:v>
                </c:pt>
                <c:pt idx="551">
                  <c:v>7.1</c:v>
                </c:pt>
                <c:pt idx="552">
                  <c:v>0.7</c:v>
                </c:pt>
                <c:pt idx="553">
                  <c:v>-6.8</c:v>
                </c:pt>
                <c:pt idx="554">
                  <c:v>-2.2000000000000002</c:v>
                </c:pt>
                <c:pt idx="555">
                  <c:v>-5.6</c:v>
                </c:pt>
                <c:pt idx="556">
                  <c:v>-2.6</c:v>
                </c:pt>
                <c:pt idx="557">
                  <c:v>4.8</c:v>
                </c:pt>
                <c:pt idx="558">
                  <c:v>-6.9</c:v>
                </c:pt>
                <c:pt idx="559">
                  <c:v>2.4</c:v>
                </c:pt>
                <c:pt idx="560">
                  <c:v>0</c:v>
                </c:pt>
                <c:pt idx="561">
                  <c:v>4.3</c:v>
                </c:pt>
                <c:pt idx="562">
                  <c:v>13.3</c:v>
                </c:pt>
                <c:pt idx="563">
                  <c:v>0</c:v>
                </c:pt>
                <c:pt idx="564">
                  <c:v>-4.3</c:v>
                </c:pt>
                <c:pt idx="565">
                  <c:v>11.4</c:v>
                </c:pt>
                <c:pt idx="566">
                  <c:v>12.5</c:v>
                </c:pt>
                <c:pt idx="567">
                  <c:v>3.9</c:v>
                </c:pt>
                <c:pt idx="568">
                  <c:v>-8.6999999999999993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2-4944-818D-FFC76DB8E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621088"/>
        <c:axId val="680621568"/>
      </c:scatterChart>
      <c:valAx>
        <c:axId val="68062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Ratio passes / pertes de balle (AST/TO)</a:t>
                </a:r>
              </a:p>
            </c:rich>
          </c:tx>
          <c:layout>
            <c:manualLayout>
              <c:xMode val="edge"/>
              <c:yMode val="edge"/>
              <c:x val="0.33085633526578406"/>
              <c:y val="0.9475208107129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0621568"/>
        <c:crosses val="autoZero"/>
        <c:crossBetween val="midCat"/>
      </c:valAx>
      <c:valAx>
        <c:axId val="6806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Evaluation globale de l’impact (PIE)</a:t>
                </a:r>
              </a:p>
            </c:rich>
          </c:tx>
          <c:layout>
            <c:manualLayout>
              <c:xMode val="edge"/>
              <c:yMode val="edge"/>
              <c:x val="1.8315018315018315E-3"/>
              <c:y val="0.251230404017087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062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0</xdr:row>
      <xdr:rowOff>0</xdr:rowOff>
    </xdr:from>
    <xdr:to>
      <xdr:col>14</xdr:col>
      <xdr:colOff>487680</xdr:colOff>
      <xdr:row>20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C2CA6E-C2BC-CC4F-7314-358A135FE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441960</xdr:colOff>
      <xdr:row>21</xdr:row>
      <xdr:rowOff>7620</xdr:rowOff>
    </xdr:from>
    <xdr:to>
      <xdr:col>14</xdr:col>
      <xdr:colOff>472440</xdr:colOff>
      <xdr:row>36</xdr:row>
      <xdr:rowOff>83820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134E5C86-8258-6CE4-2C92-277C91B6538E}"/>
            </a:ext>
          </a:extLst>
        </xdr:cNvPr>
        <xdr:cNvSpPr txBox="1"/>
      </xdr:nvSpPr>
      <xdr:spPr>
        <a:xfrm>
          <a:off x="4815840" y="3916680"/>
          <a:ext cx="7955280" cy="259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taille d’une équipe n’est pas gage de performance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800" b="1" i="0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 générale: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graphique présente deux indicateurs : le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total de points marqués par équipe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(barres rouges) et le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 de joueurs par équipe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(courbe bleue).</a:t>
          </a:r>
        </a:p>
        <a:p>
          <a:endParaRPr lang="fr-F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comparaison des deux éléments révèle qu'il n'existe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 de corrélation évidente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entre le nombre de points et le nombre de joueurs. Par exemple, 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Philadelphia 76ers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ont un effectif très large (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joueurs), </a:t>
          </a:r>
          <a:r>
            <a:rPr lang="fr-FR"/>
            <a:t>mais un total de points de seulement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9 142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). Inversement, 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San Antonio Spurs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ont un nombre de joueurs relativement faible (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jouers), mais leur total de points (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10 198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est l'un des plus élevés du graphique. Ainsi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avoir plus de joueurs ne garantit pas un total de points plus élevé.</a:t>
          </a:r>
        </a:p>
        <a:p>
          <a:endParaRPr lang="fr-F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performance d'une équipe n'est pas uniquement liée à son nombre de joueurs, mais plutôt à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qualité et à l'efficacité de ses joueurs clés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Même une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équipe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taille moyenne peut générer une production offensive importante.</a:t>
          </a:r>
        </a:p>
        <a:p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5926</xdr:colOff>
      <xdr:row>22</xdr:row>
      <xdr:rowOff>156633</xdr:rowOff>
    </xdr:from>
    <xdr:to>
      <xdr:col>6</xdr:col>
      <xdr:colOff>922866</xdr:colOff>
      <xdr:row>45</xdr:row>
      <xdr:rowOff>93133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0D8AC8-F569-84D5-3292-D96D9CDC6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22</xdr:row>
      <xdr:rowOff>164253</xdr:rowOff>
    </xdr:from>
    <xdr:to>
      <xdr:col>16</xdr:col>
      <xdr:colOff>372533</xdr:colOff>
      <xdr:row>45</xdr:row>
      <xdr:rowOff>118533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83CF2B3-1CA8-795E-F4E1-24BAB5510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45</xdr:row>
      <xdr:rowOff>160020</xdr:rowOff>
    </xdr:from>
    <xdr:to>
      <xdr:col>6</xdr:col>
      <xdr:colOff>899160</xdr:colOff>
      <xdr:row>77</xdr:row>
      <xdr:rowOff>15240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CBE2709-7A06-65C7-FC7B-26A9172D3C17}"/>
            </a:ext>
          </a:extLst>
        </xdr:cNvPr>
        <xdr:cNvSpPr txBox="1"/>
      </xdr:nvSpPr>
      <xdr:spPr>
        <a:xfrm>
          <a:off x="160020" y="8069580"/>
          <a:ext cx="7528560" cy="521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rebonds : un facteur clé mais non exclusif de la performance</a:t>
          </a:r>
        </a:p>
        <a:p>
          <a:pPr algn="ctr"/>
          <a:endParaRPr lang="fr-FR" sz="11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 générale: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graphique présente trois données clés pour chaque joueur : Sum des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rebonds offensifs (OREB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représentés par les barres bleues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; Sum des rebonds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défensifs (DREB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rouges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; et Sum d’é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valuation globale de l’impact (PIE) :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courbe jaune.</a:t>
          </a:r>
        </a:p>
        <a:p>
          <a:pPr lvl="0"/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b="1"/>
            <a:t>- Impact dominant :</a:t>
          </a:r>
          <a:r>
            <a:rPr lang="fr-FR"/>
            <a:t> On commence </a:t>
          </a:r>
          <a:r>
            <a:rPr lang="fr-FR" b="1"/>
            <a:t>par le joueur le plus dominant, Jalen Duren</a:t>
          </a:r>
          <a:r>
            <a:rPr lang="fr-FR"/>
            <a:t>, qui a le plus grand nombre de </a:t>
          </a:r>
          <a:r>
            <a:rPr lang="fr-FR" b="1"/>
            <a:t>rebonds offensifs et défensifs (281 et 530) et un PIE élevé de 14</a:t>
          </a:r>
          <a:r>
            <a:rPr lang="fr-FR"/>
            <a:t>,Cela montre qu’il est très efficace pour récupérer le ballon et aider son équipe.</a:t>
          </a:r>
        </a:p>
        <a:p>
          <a:endParaRPr lang="fr-FR"/>
        </a:p>
        <a:p>
          <a:r>
            <a:rPr lang="fr-FR" b="1"/>
            <a:t>Diversité des profils :</a:t>
          </a:r>
          <a:r>
            <a:rPr lang="fr-FR"/>
            <a:t> D’autres joueurs se distinguent </a:t>
          </a:r>
          <a:r>
            <a:rPr lang="fr-FR" b="1"/>
            <a:t>par un type de rebond particulier</a:t>
          </a:r>
          <a:r>
            <a:rPr lang="fr-FR"/>
            <a:t>, ce qui </a:t>
          </a:r>
          <a:r>
            <a:rPr lang="fr-FR" b="1"/>
            <a:t>montre un rôle </a:t>
          </a:r>
          <a:r>
            <a:rPr lang="fr-FR" b="0"/>
            <a:t>plus</a:t>
          </a:r>
          <a:r>
            <a:rPr lang="fr-FR" b="1"/>
            <a:t> spécialisé</a:t>
          </a:r>
          <a:r>
            <a:rPr lang="fr-FR"/>
            <a:t>. Par exemple, </a:t>
          </a:r>
          <a:r>
            <a:rPr lang="fr-FR" b="1"/>
            <a:t>Tobias Harris </a:t>
          </a:r>
          <a:r>
            <a:rPr lang="fr-FR"/>
            <a:t>(</a:t>
          </a:r>
          <a:r>
            <a:rPr lang="fr-FR" b="1"/>
            <a:t>66 rebonds offensifs et 365 défensifs, PIE de 10</a:t>
          </a:r>
          <a:r>
            <a:rPr lang="fr-FR"/>
            <a:t>) est </a:t>
          </a:r>
          <a:r>
            <a:rPr lang="fr-FR" b="1"/>
            <a:t>particulièrement fort en défense.</a:t>
          </a:r>
        </a:p>
        <a:p>
          <a:pPr lvl="0"/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b="1"/>
            <a:t>- L’analyse montre</a:t>
          </a:r>
          <a:r>
            <a:rPr lang="fr-FR" b="1" baseline="0"/>
            <a:t> aussi </a:t>
          </a:r>
          <a:r>
            <a:rPr lang="fr-FR" b="1"/>
            <a:t>que </a:t>
          </a:r>
          <a:r>
            <a:rPr lang="fr-FR"/>
            <a:t>certains joueurs </a:t>
          </a:r>
          <a:r>
            <a:rPr lang="fr-FR" b="1"/>
            <a:t>peuvent avoir un PIE élevé même </a:t>
          </a:r>
          <a:r>
            <a:rPr lang="fr-FR"/>
            <a:t>avec </a:t>
          </a:r>
          <a:r>
            <a:rPr lang="fr-FR" b="1"/>
            <a:t>un faible nombre de rebonds.</a:t>
          </a:r>
          <a:r>
            <a:rPr lang="fr-FR"/>
            <a:t> Par exemple, </a:t>
          </a:r>
          <a:r>
            <a:rPr lang="fr-FR" b="1"/>
            <a:t>Tolu Smith </a:t>
          </a:r>
          <a:r>
            <a:rPr lang="fr-FR"/>
            <a:t>a </a:t>
          </a:r>
          <a:r>
            <a:rPr lang="fr-FR" b="1"/>
            <a:t>seulement 4 rebonds offensifs et défensifs</a:t>
          </a:r>
          <a:r>
            <a:rPr lang="fr-FR"/>
            <a:t>, mais </a:t>
          </a:r>
          <a:r>
            <a:rPr lang="fr-FR" b="1"/>
            <a:t>un PIE de 14,9</a:t>
          </a:r>
          <a:r>
            <a:rPr lang="fr-FR"/>
            <a:t>, ce qui montre </a:t>
          </a:r>
          <a:r>
            <a:rPr lang="fr-FR" b="1"/>
            <a:t>que les rebonds ne représentent qu’une partie du calcul du PIE.</a:t>
          </a:r>
        </a:p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/>
            <a:t>-Ces données montrent que </a:t>
          </a:r>
          <a:r>
            <a:rPr lang="fr-FR" b="1"/>
            <a:t>certains joueurs </a:t>
          </a:r>
          <a:r>
            <a:rPr lang="fr-FR"/>
            <a:t>ayant un </a:t>
          </a:r>
          <a:r>
            <a:rPr lang="fr-FR" b="1"/>
            <a:t>volume important de rebonds </a:t>
          </a:r>
          <a:r>
            <a:rPr lang="fr-FR"/>
            <a:t>(offensifs ou défensifs) présentent </a:t>
          </a:r>
          <a:r>
            <a:rPr lang="fr-FR" b="1"/>
            <a:t>un PIE élevé</a:t>
          </a:r>
          <a:r>
            <a:rPr lang="fr-FR"/>
            <a:t>. Cela indique clairement que </a:t>
          </a:r>
          <a:r>
            <a:rPr lang="fr-FR" b="1"/>
            <a:t>la domination au rebond</a:t>
          </a:r>
          <a:r>
            <a:rPr lang="fr-FR"/>
            <a:t> est </a:t>
          </a:r>
          <a:r>
            <a:rPr lang="fr-FR" b="1"/>
            <a:t>directement liée à l’impact global du joueur sur le terrain.</a:t>
          </a:r>
        </a:p>
        <a:p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 b="1"/>
            <a:t>Les rebonds permettent de mesurer la performance des joueurs </a:t>
          </a:r>
          <a:r>
            <a:rPr lang="fr-FR"/>
            <a:t>et </a:t>
          </a:r>
          <a:r>
            <a:rPr lang="fr-FR" b="1"/>
            <a:t>de comprendre leur rôle</a:t>
          </a:r>
          <a:r>
            <a:rPr lang="fr-FR"/>
            <a:t>. Ils ont un effet </a:t>
          </a:r>
          <a:r>
            <a:rPr lang="fr-FR" b="1"/>
            <a:t>direct sur le jeu en donnant des secondes chances en attaque et en renforçant la défense.</a:t>
          </a:r>
        </a:p>
        <a:p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fr-FR"/>
            <a:t>Cependant, un joueur </a:t>
          </a:r>
          <a:r>
            <a:rPr lang="fr-FR" b="1"/>
            <a:t>peut avoir un PIE élevé malgré un faible nombre de rebonds</a:t>
          </a:r>
          <a:r>
            <a:rPr lang="fr-FR"/>
            <a:t>, ce qui montre que l’impact global dépend de </a:t>
          </a:r>
          <a:r>
            <a:rPr lang="fr-FR" b="1"/>
            <a:t>plusieurs indicateurs de performance</a:t>
          </a:r>
          <a:r>
            <a:rPr lang="fr-FR" b="1" baseline="0"/>
            <a:t> </a:t>
          </a:r>
          <a:r>
            <a:rPr lang="fr-FR" baseline="0"/>
            <a:t>(</a:t>
          </a:r>
          <a:r>
            <a:rPr lang="fr-FR"/>
            <a:t>les passes décisives, les interceptions, les contres et les tirs réussis)</a:t>
          </a:r>
          <a:endParaRPr lang="fr-FR">
            <a:effectLst/>
          </a:endParaRPr>
        </a:p>
        <a:p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7620</xdr:colOff>
      <xdr:row>46</xdr:row>
      <xdr:rowOff>0</xdr:rowOff>
    </xdr:from>
    <xdr:to>
      <xdr:col>16</xdr:col>
      <xdr:colOff>358140</xdr:colOff>
      <xdr:row>77</xdr:row>
      <xdr:rowOff>45720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4A1CD738-EBFB-5661-1EA5-9FAF67FDEDFC}"/>
            </a:ext>
          </a:extLst>
        </xdr:cNvPr>
        <xdr:cNvSpPr txBox="1"/>
      </xdr:nvSpPr>
      <xdr:spPr>
        <a:xfrm>
          <a:off x="7734300" y="8580120"/>
          <a:ext cx="7482840" cy="5242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Detroit Pistons (DET) l’équipe la plus performance </a:t>
          </a:r>
          <a:endParaRPr lang="fr-FR" sz="12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 générale: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graphique suivant présente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pour chaque joueur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l’équipe des Pistons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quatre indicateurs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clés :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passes décisives (AST, barres rouges)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contres (BLK, barres vertes)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la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interceptions (STL, barres bleues)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ainsi qu'une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courbe jaune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représentant la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l’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évaluation globale de l’impact (PIE)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Profils Offensifs : L’analyse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ce graphique montre que Certains joueurs sont considérés comme les meilleurs passeurs de l'équipe.  Exemple,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Cade Cunningham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affiche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637 passes décisives (AST)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un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PIE de 15,2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 chiffre élevé montre l'importance de son rôle de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créateur de jeu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de son impact sur le match.</a:t>
          </a:r>
        </a:p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Profils Défensifs :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revanche, 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interceptions (STL)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contres (BLK)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sont des statistiques qui représentent des profils défensifs.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joueur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Isaiah Stewart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qui est le meilleur conteur du groupe, a enregistré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101 contres (BLK)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Cependant, son PIE (l'impact global) n'est que de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9,6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Ausar Thompson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quant à lui, a réalisé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interceptions (STL)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avec un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PIE de 10,4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Cela montre que la capacité à récupérer des ballons est également un facteur d'impact significatif en défense.</a:t>
          </a:r>
        </a:p>
        <a:p>
          <a:endParaRPr lang="fr-F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Cette analyse met en lumière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différents profils de joueurs: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algn="ctr" rt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* Les joueurs offensifs se distinguent par leurs passes décisives 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fr-F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eur impact est élevé, ce qui démontre qu’ils   sont de véritables créateurs de jeu et qu’ils possèdent une forte capacité de jeu collectif au sein de l’équipe.</a:t>
          </a:r>
        </a:p>
        <a:p>
          <a:pPr lvl="0" rtl="0"/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*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joueurs défensifs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capables de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modifier le rythme du match et de renforcer la solidité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l’équipe. Ils se distinguent soit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 leur capacité à récupérer le ballon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(interceptions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STL), soit par leur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efficacité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à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empêcher un tir (contres, BLK)</a:t>
          </a:r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 rtl="0"/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Le PIE est souvent lié aux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passes décisives (AST),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contres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(BLK)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interceptions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(STL)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mais il varie d’un joueur à l’autre en fonction de son profil statistique.</a:t>
          </a:r>
        </a:p>
        <a:p>
          <a:pPr lvl="0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Un PIE élevé ne dépend pas uniquement de ces statistiques, mais aussi d’autres indicateurs tels que les points marqués (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PTS)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les tirs tentés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(FGA)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 d’autres variables</a:t>
          </a:r>
        </a:p>
        <a:p>
          <a:endParaRPr lang="fr-F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20</xdr:row>
      <xdr:rowOff>0</xdr:rowOff>
    </xdr:from>
    <xdr:to>
      <xdr:col>14</xdr:col>
      <xdr:colOff>15240</xdr:colOff>
      <xdr:row>42</xdr:row>
      <xdr:rowOff>83820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EF50DD3-DD88-E6E4-40F7-C4D022EB3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190500</xdr:rowOff>
    </xdr:from>
    <xdr:to>
      <xdr:col>4</xdr:col>
      <xdr:colOff>1638300</xdr:colOff>
      <xdr:row>65</xdr:row>
      <xdr:rowOff>190500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BEC23C11-E02A-A670-1A73-068BF8D15BE6}"/>
            </a:ext>
          </a:extLst>
        </xdr:cNvPr>
        <xdr:cNvSpPr txBox="1"/>
      </xdr:nvSpPr>
      <xdr:spPr>
        <a:xfrm>
          <a:off x="0" y="8229600"/>
          <a:ext cx="7360920" cy="4556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      </a:t>
          </a:r>
          <a:r>
            <a:rPr lang="fr-FR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Précision et volume : l’équilibre gagnant des grands marqueurs</a:t>
          </a:r>
        </a:p>
        <a:p>
          <a:pPr algn="l"/>
          <a:endParaRPr lang="fr-FR" sz="800" b="1" u="sng">
            <a:solidFill>
              <a:schemeClr val="accent1">
                <a:lumMod val="75000"/>
              </a:schemeClr>
            </a:solidFill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 générale 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-Le graphique met en relation deux statistiques clés pour le top 15 des meilleurs marqueurs : le nombre total de points (PTS barres bleues), et le pourcentage de tirs réussis (FG% ligne rouge).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On constate que les joueurs comme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Shai Gilgeous-Alexander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Anthony Edwards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distinguent par un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de points le plus élevé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(plus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2 000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avec un pourcentage de réussite au tir bien qu'il ne soit pas le plus élevé (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51,9 % et 44,7 %).</a:t>
          </a:r>
          <a:r>
            <a:rPr lang="fr-F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À l'inverse,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Karl-Anthony Towns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Zach LaVine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ont le total de points le plus bas du groupe (autour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1 700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mais leurs pourcentages de tirs réussis sont respectables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(environ 52 %)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Cela souligne qu'un grand volume de points peut être atteint sans avoir le meilleur taux de réussite. 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pourcentage de tirs réussis varie fortement d'un joueur à l'autre.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Giannis Antetokounmpo et Nikola Jokić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affichent 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meilleurs pourcentages (60,1 % et 57,6 %)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tout en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ayant un total de points dépassant les 2 000.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Ces joueurs sont de parfaits exemples de la combinaison entre volume et efficacité</a:t>
          </a:r>
        </a:p>
        <a:p>
          <a:endParaRPr lang="fr-F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 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rt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Marquer beaucoup ne garantit pas un bon pourcentage de tirs réussis (FG%) 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FG% élevé signifie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qu'un joueur réussit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une grande partie de ses tirs,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 qui est souvent le cas pour les joueurs qui prennent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 tirs près du panier (tirs à 2 points).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Un FG% plus bas peut s’expliquer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 un plus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grand nombre de tentatives,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 joueur qui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prend des tirs plus difficiles (comme les tirs à 3 points) a plus de risques de les rater. Cependant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même si ces tirs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sont moins précis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mais ils peuvent fortement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améliorer le total de points de l’équipe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fr-FR" sz="8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Enfin, Des joueurs comme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Nikola Jokić ou Giannis Antetokounmpo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sont particulièrement dominants car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ils arrivent à combiner les deux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Ils marquent beaucoup de points tout en conservant un excellent pourcentage de réussite (c’est l’efficacité qui transforme le volume en véritable valeur offensive.)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/>
        </a:p>
      </xdr:txBody>
    </xdr:sp>
    <xdr:clientData/>
  </xdr:twoCellAnchor>
  <xdr:twoCellAnchor>
    <xdr:from>
      <xdr:col>5</xdr:col>
      <xdr:colOff>15240</xdr:colOff>
      <xdr:row>43</xdr:row>
      <xdr:rowOff>0</xdr:rowOff>
    </xdr:from>
    <xdr:to>
      <xdr:col>14</xdr:col>
      <xdr:colOff>15240</xdr:colOff>
      <xdr:row>66</xdr:row>
      <xdr:rowOff>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A2895085-8308-FB2F-4978-239ECDB030F3}"/>
            </a:ext>
          </a:extLst>
        </xdr:cNvPr>
        <xdr:cNvSpPr txBox="1"/>
      </xdr:nvSpPr>
      <xdr:spPr>
        <a:xfrm>
          <a:off x="7437120" y="8237220"/>
          <a:ext cx="6850380" cy="4556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Variabilité des performances de tir selon le profil des joueurs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 générale 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 graphique présente les statistiques de tir de plusieurs joueurs de basket ball en comparant trois courbes :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Pourcentage de réussite aux lancers francs (ligne jaune)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C’est la statistique la plus élevée et la plus stable pour la majorité des joueurs, généralement comprise entre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et 90 %.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Example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Stephen Curry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distingue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avec un pic remarquable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à 93,3 %,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tandis que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Giannis Antetokounmpo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affiche la valeur la plus basse à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61,7 %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Pourcentage de réussite aux tirs à trois points (ligne rouge)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Il s’agit de la statistique la plus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variable et la plus basse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avec des valeurs comprises entre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 et 45 %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Le joueur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Giannis Antetokounmpo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présente de nouveau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valeur la plus basse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22,2 %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alors que des tireurs comme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Zach LaVine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Karl-Anthony Towns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atteignent des pourcentages plus élevés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(44.6 et 42 %)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Pourcentage global de tirs réussis (FG% – ligne bleue)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le joueur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Giannis Antetokounmpo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démarque avec le pourcentage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plus élevé (60,1 %),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tandis que 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autres joueurs affichent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valeurs comprises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 40 et 50 %.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peut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visualiser les profils de performance des joueurs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identifier leurs spécialisations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</a:p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Joueurs extérieurs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excellents à longue distance, ils se distinguent par de bons pourcentages aux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lancers francs et aux tirs à trois points.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Joueurs intérieurs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plus dominants dans la raquette, ils réussissent principalement leurs tirs près du panier et affichent généralement un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FG% élevé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observe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 les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styles de jeu varient :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certains joueurs se spécialisent dans un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de tir précis,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tandis que d’autres sont plus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polyvalents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Cette analyse met ainsi en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évidence les forces et les faiblesses de chacun en matière de tir.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0</xdr:colOff>
      <xdr:row>20</xdr:row>
      <xdr:rowOff>0</xdr:rowOff>
    </xdr:from>
    <xdr:to>
      <xdr:col>4</xdr:col>
      <xdr:colOff>1630680</xdr:colOff>
      <xdr:row>42</xdr:row>
      <xdr:rowOff>60960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E9E86E7-0614-224E-0533-0B21DDFC7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76200</xdr:rowOff>
    </xdr:from>
    <xdr:to>
      <xdr:col>14</xdr:col>
      <xdr:colOff>784860</xdr:colOff>
      <xdr:row>22</xdr:row>
      <xdr:rowOff>60960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CFE0CD6-3B23-7FCC-BBB7-16704A34B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15240</xdr:rowOff>
    </xdr:from>
    <xdr:to>
      <xdr:col>15</xdr:col>
      <xdr:colOff>7620</xdr:colOff>
      <xdr:row>38</xdr:row>
      <xdr:rowOff>129540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D61BFD90-0B8A-9204-4AFE-594E485B1A5D}"/>
            </a:ext>
          </a:extLst>
        </xdr:cNvPr>
        <xdr:cNvSpPr txBox="1"/>
      </xdr:nvSpPr>
      <xdr:spPr>
        <a:xfrm>
          <a:off x="4701540" y="4236720"/>
          <a:ext cx="7932420" cy="262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Corrélation positive entre points marqués (PTS) et Fantasy Points (FP) </a:t>
          </a:r>
        </a:p>
        <a:p>
          <a:pPr algn="ctr"/>
          <a:endParaRPr lang="fr-FR" sz="800" b="1" u="sng">
            <a:solidFill>
              <a:schemeClr val="accent1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 générale 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 graphique en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nuage de points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illustre la relation entre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nombre total de points marqués (PTS)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 les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Fantasy Points (FP).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Chaque point bleu correspond à un joueur (une performance individuelle), tandis que la ligne rouge représente une régression linéaire (la tendance générale).</a:t>
          </a:r>
        </a:p>
        <a:p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 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ligne de tendance montre une corrélation positive entre les points marqués (PTS) et les points fantasy (FP). Autrement dit,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plus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 joueur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marque de points réels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plus son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score fantasy a tendance à augmenter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Toutefois,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certains joueurs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s’écartent de cette tendance, ce qui révèle différents profils :</a:t>
          </a:r>
        </a:p>
        <a:p>
          <a:pPr lv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Certains obtiennent un nombre élevé de FP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malgré un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faible total de points marqués,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grâce à d’autres actions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(passes, rebonds, interceptions, contres…), ce qui les rend très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efficaces en fantasy.</a:t>
          </a:r>
        </a:p>
        <a:p>
          <a:pPr lvl="0"/>
          <a:r>
            <a:rPr lang="fr-FR"/>
            <a:t>D’autres </a:t>
          </a:r>
          <a:r>
            <a:rPr lang="fr-FR" b="1"/>
            <a:t>marquent beaucoup </a:t>
          </a:r>
          <a:r>
            <a:rPr lang="fr-FR"/>
            <a:t>mais </a:t>
          </a:r>
          <a:r>
            <a:rPr lang="fr-FR" b="1"/>
            <a:t>contribuent peu aux autres actions </a:t>
          </a:r>
          <a:r>
            <a:rPr lang="fr-FR"/>
            <a:t>du jeu, ce qui explique pourquoi </a:t>
          </a:r>
          <a:r>
            <a:rPr lang="fr-FR" b="1"/>
            <a:t>leur score FP est moins élevé </a:t>
          </a:r>
          <a:r>
            <a:rPr lang="fr-FR"/>
            <a:t>que prévu.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fr-FR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11430</xdr:rowOff>
    </xdr:from>
    <xdr:to>
      <xdr:col>15</xdr:col>
      <xdr:colOff>190500</xdr:colOff>
      <xdr:row>19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281412-5949-51A2-C897-7B0739F7F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784860</xdr:colOff>
      <xdr:row>20</xdr:row>
      <xdr:rowOff>99060</xdr:rowOff>
    </xdr:from>
    <xdr:to>
      <xdr:col>15</xdr:col>
      <xdr:colOff>213360</xdr:colOff>
      <xdr:row>36</xdr:row>
      <xdr:rowOff>144780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C842B80-AA21-555F-9FB8-A5740206CE48}"/>
            </a:ext>
          </a:extLst>
        </xdr:cNvPr>
        <xdr:cNvSpPr txBox="1"/>
      </xdr:nvSpPr>
      <xdr:spPr>
        <a:xfrm>
          <a:off x="4968240" y="3985260"/>
          <a:ext cx="8145780" cy="2727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</a:t>
          </a:r>
          <a:r>
            <a:rPr lang="fr-F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Plus un joueur gère ses passes, plus son influence sur le match augmente</a:t>
          </a:r>
        </a:p>
        <a:p>
          <a:endParaRPr lang="fr-FR" sz="8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Observation générale 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graphique montre la relation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 l’évaluation globale de l’impact (PIE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et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ratio passes/pertes de balle (AST/TO).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Chaque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bleu correspond à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une observation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et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ligne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rouge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représente la tendance générale</a:t>
          </a:r>
          <a:r>
            <a:rPr lang="fr-F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observe que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majorité des joueurs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situent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dans la zone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0-4 pour le ratio AST/TO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tandis que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l’évaluation PIE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varie principalement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entre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-10 et +20.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 :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-De manière générale, ce graphique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illustre une relation positive entre l’évaluation globale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l’impact (PIE) et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ratio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AST/TO (passes réussies/pertes de balle) :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plus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 joueur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gère efficacement ses passes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décisives par rapport à ses pertes de balle,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plus son impact global tend à être élevé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ce qui traduit une influence plus forte sur le match.</a:t>
          </a: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-Toutefois, bien que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tendance générale mette en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évidence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une corrélation positive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 AST/TO et PIE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certains joueurs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s’écartent de cette logique (par exemple, des joueurs ayant un fort impact malgré un ratio AST/TO moyen, ou inversement).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Ces exceptions rappellent que l’impact d’un joueur ne peut pas être résumé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à une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seule statistique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car il dépend </a:t>
          </a:r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nombreux autres facteurs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(rebonds, défense, efficacité au tir, etc.).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fr-FR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0.43407</cdr:x>
      <cdr:y>0.36971</cdr:y>
    </cdr:from>
    <cdr:to>
      <cdr:x>0.56593</cdr:x>
      <cdr:y>0.63029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0FE3DAC9-1F2B-A204-1FDE-344003B30A04}"/>
            </a:ext>
          </a:extLst>
        </cdr:cNvPr>
        <cdr:cNvSpPr txBox="1"/>
      </cdr:nvSpPr>
      <cdr:spPr>
        <a:xfrm xmlns:a="http://schemas.openxmlformats.org/drawingml/2006/main">
          <a:off x="3009900" y="129730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EL HADJ" refreshedDate="45907.045929861109" createdVersion="8" refreshedVersion="8" minRefreshableVersion="3" recordCount="569" xr:uid="{632A2E56-456B-424C-AD81-D64B1EA5A13D}">
  <cacheSource type="worksheet">
    <worksheetSource ref="A8:AT577" sheet="Données NBA"/>
  </cacheSource>
  <cacheFields count="47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Nom complet de l'équipe" numFmtId="0">
      <sharedItems count="30">
        <s v="Oklahoma City Thunder"/>
        <s v="Minnesota Timberwolves"/>
        <s v="Denver Nuggets"/>
        <s v="Milwaukee Bucks"/>
        <s v="Boston Celtics"/>
        <s v="Phoenix Suns"/>
        <s v="Miami Heat"/>
        <s v="Atlanta Hawks"/>
        <s v="Detroit Pistons"/>
        <s v="Los Angeles Clippers"/>
        <s v="New York Knicks"/>
        <s v="Sacramento Kings"/>
        <s v="Houston Rockets"/>
        <s v="Golden State Warriors"/>
        <s v="Los Angeles Lakers"/>
        <s v="Cleveland Cavaliers"/>
        <s v="Memphis Grizzlies"/>
        <s v="Indiana Pacers"/>
        <s v="Chicago Bulls"/>
        <s v="San Antonio Spurs"/>
        <s v="Orlando Magic"/>
        <s v="Washington Wizards"/>
        <s v="Philadelphia 76ers"/>
        <s v="Portland Trail Blazers"/>
        <s v="Charlotte Hornets"/>
        <s v="Dallas Mavericks"/>
        <s v="Toronto Raptors"/>
        <s v="New Orleans Pelicans"/>
        <s v="Utah Jazz"/>
        <s v="Brooklyn Nets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 count="82">
        <n v="76"/>
        <n v="79"/>
        <n v="70"/>
        <n v="67"/>
        <n v="72"/>
        <n v="75"/>
        <n v="77"/>
        <n v="74"/>
        <n v="82"/>
        <n v="71"/>
        <n v="65"/>
        <n v="62"/>
        <n v="78"/>
        <n v="69"/>
        <n v="73"/>
        <n v="60"/>
        <n v="58"/>
        <n v="50"/>
        <n v="63"/>
        <n v="68"/>
        <n v="52"/>
        <n v="80"/>
        <n v="64"/>
        <n v="51"/>
        <n v="46"/>
        <n v="81"/>
        <n v="47"/>
        <n v="56"/>
        <n v="53"/>
        <n v="57"/>
        <n v="55"/>
        <n v="66"/>
        <n v="42"/>
        <n v="37"/>
        <n v="54"/>
        <n v="59"/>
        <n v="40"/>
        <n v="30"/>
        <n v="61"/>
        <n v="49"/>
        <n v="36"/>
        <n v="44"/>
        <n v="41"/>
        <n v="25"/>
        <n v="27"/>
        <n v="35"/>
        <n v="33"/>
        <n v="31"/>
        <n v="45"/>
        <n v="32"/>
        <n v="19"/>
        <n v="18"/>
        <n v="23"/>
        <n v="38"/>
        <n v="34"/>
        <n v="24"/>
        <n v="43"/>
        <n v="28"/>
        <n v="39"/>
        <n v="20"/>
        <n v="26"/>
        <n v="29"/>
        <n v="13"/>
        <n v="16"/>
        <n v="48"/>
        <n v="14"/>
        <n v="15"/>
        <n v="9"/>
        <n v="17"/>
        <n v="8"/>
        <n v="10"/>
        <n v="6"/>
        <n v="21"/>
        <n v="7"/>
        <n v="22"/>
        <n v="5"/>
        <n v="11"/>
        <n v="4"/>
        <n v="12"/>
        <n v="1"/>
        <n v="3"/>
        <n v="2"/>
      </sharedItems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  <cacheField name="Total de points" numFmtId="0">
      <sharedItems containsSemiMixedTypes="0" containsString="0" containsNumber="1" containsInteger="1" minValue="0" maxValue="188860"/>
    </cacheField>
  </cacheFields>
  <extLst>
    <ext xmlns:x14="http://schemas.microsoft.com/office/spreadsheetml/2009/9/main" uri="{725AE2AE-9491-48be-B2B4-4EB974FC3084}">
      <x14:pivotCacheDefinition pivotCacheId="174336478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x v="0"/>
    <n v="26"/>
    <x v="0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  <n v="188860"/>
  </r>
  <r>
    <x v="1"/>
    <x v="1"/>
    <x v="1"/>
    <n v="23"/>
    <x v="1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  <n v="172220"/>
  </r>
  <r>
    <x v="2"/>
    <x v="2"/>
    <x v="2"/>
    <n v="30"/>
    <x v="2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  <n v="145040"/>
  </r>
  <r>
    <x v="3"/>
    <x v="3"/>
    <x v="3"/>
    <n v="30"/>
    <x v="3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  <n v="136479"/>
  </r>
  <r>
    <x v="4"/>
    <x v="4"/>
    <x v="4"/>
    <n v="27"/>
    <x v="4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  <n v="138960"/>
  </r>
  <r>
    <x v="5"/>
    <x v="5"/>
    <x v="5"/>
    <n v="28"/>
    <x v="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  <n v="144000"/>
  </r>
  <r>
    <x v="6"/>
    <x v="6"/>
    <x v="6"/>
    <n v="25"/>
    <x v="6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  <n v="141680"/>
  </r>
  <r>
    <x v="7"/>
    <x v="7"/>
    <x v="7"/>
    <n v="26"/>
    <x v="0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  <n v="139764"/>
  </r>
  <r>
    <x v="8"/>
    <x v="8"/>
    <x v="8"/>
    <n v="23"/>
    <x v="2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  <n v="127890"/>
  </r>
  <r>
    <x v="9"/>
    <x v="9"/>
    <x v="9"/>
    <n v="35"/>
    <x v="1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  <n v="142279"/>
  </r>
  <r>
    <x v="10"/>
    <x v="10"/>
    <x v="10"/>
    <n v="29"/>
    <x v="4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  <n v="126504"/>
  </r>
  <r>
    <x v="11"/>
    <x v="11"/>
    <x v="11"/>
    <n v="30"/>
    <x v="7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  <n v="127576"/>
  </r>
  <r>
    <x v="12"/>
    <x v="12"/>
    <x v="12"/>
    <n v="23"/>
    <x v="8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  <n v="141204"/>
  </r>
  <r>
    <x v="13"/>
    <x v="13"/>
    <x v="13"/>
    <n v="37"/>
    <x v="2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  <n v="120050"/>
  </r>
  <r>
    <x v="14"/>
    <x v="11"/>
    <x v="11"/>
    <n v="35"/>
    <x v="6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  <n v="131593"/>
  </r>
  <r>
    <x v="15"/>
    <x v="14"/>
    <x v="14"/>
    <n v="40"/>
    <x v="2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  <n v="119560"/>
  </r>
  <r>
    <x v="16"/>
    <x v="15"/>
    <x v="15"/>
    <n v="28"/>
    <x v="9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  <n v="120984"/>
  </r>
  <r>
    <x v="17"/>
    <x v="10"/>
    <x v="10"/>
    <n v="28"/>
    <x v="10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  <n v="109850"/>
  </r>
  <r>
    <x v="18"/>
    <x v="5"/>
    <x v="5"/>
    <n v="36"/>
    <x v="11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  <n v="102238"/>
  </r>
  <r>
    <x v="19"/>
    <x v="16"/>
    <x v="16"/>
    <n v="25"/>
    <x v="7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  <n v="121582"/>
  </r>
  <r>
    <x v="20"/>
    <x v="17"/>
    <x v="17"/>
    <n v="31"/>
    <x v="12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  <n v="122928"/>
  </r>
  <r>
    <x v="21"/>
    <x v="15"/>
    <x v="15"/>
    <n v="25"/>
    <x v="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  <n v="115875"/>
  </r>
  <r>
    <x v="22"/>
    <x v="18"/>
    <x v="18"/>
    <n v="25"/>
    <x v="7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  <n v="111740"/>
  </r>
  <r>
    <x v="23"/>
    <x v="0"/>
    <x v="0"/>
    <n v="24"/>
    <x v="13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  <n v="102810"/>
  </r>
  <r>
    <x v="24"/>
    <x v="14"/>
    <x v="14"/>
    <n v="27"/>
    <x v="14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  <n v="107675"/>
  </r>
  <r>
    <x v="25"/>
    <x v="19"/>
    <x v="19"/>
    <n v="27"/>
    <x v="11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  <n v="90334"/>
  </r>
  <r>
    <x v="26"/>
    <x v="12"/>
    <x v="12"/>
    <n v="22"/>
    <x v="0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  <n v="110352"/>
  </r>
  <r>
    <x v="27"/>
    <x v="20"/>
    <x v="20"/>
    <n v="23"/>
    <x v="15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  <n v="87120"/>
  </r>
  <r>
    <x v="28"/>
    <x v="3"/>
    <x v="3"/>
    <n v="34"/>
    <x v="16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  <n v="83752"/>
  </r>
  <r>
    <x v="29"/>
    <x v="10"/>
    <x v="10"/>
    <n v="28"/>
    <x v="8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  <n v="118326"/>
  </r>
  <r>
    <x v="30"/>
    <x v="2"/>
    <x v="2"/>
    <n v="28"/>
    <x v="3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  <n v="96078"/>
  </r>
  <r>
    <x v="31"/>
    <x v="6"/>
    <x v="6"/>
    <n v="27"/>
    <x v="12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  <n v="110136"/>
  </r>
  <r>
    <x v="32"/>
    <x v="14"/>
    <x v="14"/>
    <n v="26"/>
    <x v="17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  <n v="70500"/>
  </r>
  <r>
    <x v="33"/>
    <x v="2"/>
    <x v="2"/>
    <n v="26"/>
    <x v="6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  <n v="107877"/>
  </r>
  <r>
    <x v="34"/>
    <x v="4"/>
    <x v="4"/>
    <n v="28"/>
    <x v="18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  <n v="88137"/>
  </r>
  <r>
    <x v="35"/>
    <x v="21"/>
    <x v="21"/>
    <n v="25"/>
    <x v="19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  <n v="94792"/>
  </r>
  <r>
    <x v="36"/>
    <x v="22"/>
    <x v="22"/>
    <n v="24"/>
    <x v="20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  <n v="71136"/>
  </r>
  <r>
    <x v="37"/>
    <x v="17"/>
    <x v="17"/>
    <n v="25"/>
    <x v="14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  <n v="99134"/>
  </r>
  <r>
    <x v="38"/>
    <x v="18"/>
    <x v="18"/>
    <n v="34"/>
    <x v="14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  <n v="98623"/>
  </r>
  <r>
    <x v="39"/>
    <x v="23"/>
    <x v="23"/>
    <n v="26"/>
    <x v="2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  <n v="94570"/>
  </r>
  <r>
    <x v="40"/>
    <x v="9"/>
    <x v="9"/>
    <n v="28"/>
    <x v="21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  <n v="107520"/>
  </r>
  <r>
    <x v="41"/>
    <x v="8"/>
    <x v="8"/>
    <n v="28"/>
    <x v="8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  <n v="109634"/>
  </r>
  <r>
    <x v="42"/>
    <x v="11"/>
    <x v="11"/>
    <n v="29"/>
    <x v="2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  <n v="93590"/>
  </r>
  <r>
    <x v="43"/>
    <x v="10"/>
    <x v="10"/>
    <n v="27"/>
    <x v="7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  <n v="98568"/>
  </r>
  <r>
    <x v="44"/>
    <x v="23"/>
    <x v="23"/>
    <n v="22"/>
    <x v="4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  <n v="95904"/>
  </r>
  <r>
    <x v="45"/>
    <x v="16"/>
    <x v="16"/>
    <n v="26"/>
    <x v="13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  <n v="91425"/>
  </r>
  <r>
    <x v="46"/>
    <x v="15"/>
    <x v="15"/>
    <n v="23"/>
    <x v="9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  <n v="93294"/>
  </r>
  <r>
    <x v="47"/>
    <x v="9"/>
    <x v="9"/>
    <n v="32"/>
    <x v="15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  <n v="78480"/>
  </r>
  <r>
    <x v="48"/>
    <x v="24"/>
    <x v="24"/>
    <n v="27"/>
    <x v="22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  <n v="83136"/>
  </r>
  <r>
    <x v="49"/>
    <x v="1"/>
    <x v="1"/>
    <n v="30"/>
    <x v="13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  <n v="89010"/>
  </r>
  <r>
    <x v="50"/>
    <x v="25"/>
    <x v="25"/>
    <n v="32"/>
    <x v="23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  <n v="64260"/>
  </r>
  <r>
    <x v="51"/>
    <x v="26"/>
    <x v="26"/>
    <n v="23"/>
    <x v="10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  <n v="81575"/>
  </r>
  <r>
    <x v="52"/>
    <x v="4"/>
    <x v="4"/>
    <n v="30"/>
    <x v="0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  <n v="94696"/>
  </r>
  <r>
    <x v="53"/>
    <x v="25"/>
    <x v="25"/>
    <n v="33"/>
    <x v="17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  <n v="61750"/>
  </r>
  <r>
    <x v="54"/>
    <x v="26"/>
    <x v="26"/>
    <n v="24"/>
    <x v="16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  <n v="70992"/>
  </r>
  <r>
    <x v="55"/>
    <x v="2"/>
    <x v="2"/>
    <n v="24"/>
    <x v="1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  <n v="96143"/>
  </r>
  <r>
    <x v="56"/>
    <x v="23"/>
    <x v="23"/>
    <n v="24"/>
    <x v="4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  <n v="87624"/>
  </r>
  <r>
    <x v="57"/>
    <x v="20"/>
    <x v="20"/>
    <n v="22"/>
    <x v="24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  <n v="54786"/>
  </r>
  <r>
    <x v="58"/>
    <x v="19"/>
    <x v="19"/>
    <n v="20"/>
    <x v="25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  <n v="96471"/>
  </r>
  <r>
    <x v="59"/>
    <x v="24"/>
    <x v="24"/>
    <n v="23"/>
    <x v="26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  <n v="55648"/>
  </r>
  <r>
    <x v="60"/>
    <x v="27"/>
    <x v="27"/>
    <n v="33"/>
    <x v="27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  <n v="66192"/>
  </r>
  <r>
    <x v="61"/>
    <x v="16"/>
    <x v="16"/>
    <n v="25"/>
    <x v="17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  <n v="58000"/>
  </r>
  <r>
    <x v="62"/>
    <x v="17"/>
    <x v="17"/>
    <n v="22"/>
    <x v="4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  <n v="83448"/>
  </r>
  <r>
    <x v="63"/>
    <x v="28"/>
    <x v="28"/>
    <n v="26"/>
    <x v="18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  <n v="73017"/>
  </r>
  <r>
    <x v="64"/>
    <x v="4"/>
    <x v="4"/>
    <n v="27"/>
    <x v="21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  <n v="91520"/>
  </r>
  <r>
    <x v="65"/>
    <x v="1"/>
    <x v="1"/>
    <n v="25"/>
    <x v="21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  <n v="90880"/>
  </r>
  <r>
    <x v="66"/>
    <x v="28"/>
    <x v="28"/>
    <n v="21"/>
    <x v="3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  <n v="75442"/>
  </r>
  <r>
    <x v="67"/>
    <x v="27"/>
    <x v="27"/>
    <n v="24"/>
    <x v="28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  <n v="59572"/>
  </r>
  <r>
    <x v="68"/>
    <x v="17"/>
    <x v="17"/>
    <n v="29"/>
    <x v="4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  <n v="80856"/>
  </r>
  <r>
    <x v="69"/>
    <x v="11"/>
    <x v="11"/>
    <n v="27"/>
    <x v="10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  <n v="72670"/>
  </r>
  <r>
    <x v="70"/>
    <x v="19"/>
    <x v="19"/>
    <n v="21"/>
    <x v="24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  <n v="51428"/>
  </r>
  <r>
    <x v="71"/>
    <x v="15"/>
    <x v="15"/>
    <n v="27"/>
    <x v="8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  <n v="90774"/>
  </r>
  <r>
    <x v="72"/>
    <x v="22"/>
    <x v="22"/>
    <n v="25"/>
    <x v="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  <n v="82125"/>
  </r>
  <r>
    <x v="73"/>
    <x v="15"/>
    <x v="15"/>
    <n v="27"/>
    <x v="22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  <n v="69632"/>
  </r>
  <r>
    <x v="74"/>
    <x v="6"/>
    <x v="6"/>
    <n v="30"/>
    <x v="15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  <n v="64800"/>
  </r>
  <r>
    <x v="75"/>
    <x v="7"/>
    <x v="7"/>
    <n v="22"/>
    <x v="0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  <n v="81472"/>
  </r>
  <r>
    <x v="76"/>
    <x v="29"/>
    <x v="29"/>
    <n v="29"/>
    <x v="29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  <n v="61104"/>
  </r>
  <r>
    <x v="77"/>
    <x v="12"/>
    <x v="12"/>
    <n v="29"/>
    <x v="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  <n v="78750"/>
  </r>
  <r>
    <x v="78"/>
    <x v="10"/>
    <x v="10"/>
    <n v="30"/>
    <x v="6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  <n v="80619"/>
  </r>
  <r>
    <x v="79"/>
    <x v="19"/>
    <x v="19"/>
    <n v="24"/>
    <x v="22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  <n v="66752"/>
  </r>
  <r>
    <x v="80"/>
    <x v="3"/>
    <x v="3"/>
    <n v="37"/>
    <x v="21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  <n v="83200"/>
  </r>
  <r>
    <x v="81"/>
    <x v="18"/>
    <x v="18"/>
    <n v="22"/>
    <x v="2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  <n v="71540"/>
  </r>
  <r>
    <x v="82"/>
    <x v="19"/>
    <x v="19"/>
    <n v="33"/>
    <x v="8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  <n v="82738"/>
  </r>
  <r>
    <x v="83"/>
    <x v="25"/>
    <x v="25"/>
    <n v="35"/>
    <x v="4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  <n v="72576"/>
  </r>
  <r>
    <x v="84"/>
    <x v="8"/>
    <x v="8"/>
    <n v="32"/>
    <x v="14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  <n v="73000"/>
  </r>
  <r>
    <x v="85"/>
    <x v="1"/>
    <x v="1"/>
    <n v="24"/>
    <x v="8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  <n v="82000"/>
  </r>
  <r>
    <x v="86"/>
    <x v="2"/>
    <x v="2"/>
    <n v="36"/>
    <x v="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  <n v="74850"/>
  </r>
  <r>
    <x v="87"/>
    <x v="7"/>
    <x v="7"/>
    <n v="24"/>
    <x v="7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  <n v="73408"/>
  </r>
  <r>
    <x v="88"/>
    <x v="8"/>
    <x v="8"/>
    <n v="31"/>
    <x v="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  <n v="73725"/>
  </r>
  <r>
    <x v="89"/>
    <x v="19"/>
    <x v="19"/>
    <n v="25"/>
    <x v="6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  <n v="75306"/>
  </r>
  <r>
    <x v="90"/>
    <x v="12"/>
    <x v="12"/>
    <n v="22"/>
    <x v="13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  <n v="67137"/>
  </r>
  <r>
    <x v="91"/>
    <x v="13"/>
    <x v="13"/>
    <n v="35"/>
    <x v="30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  <n v="52965"/>
  </r>
  <r>
    <x v="92"/>
    <x v="3"/>
    <x v="3"/>
    <n v="29"/>
    <x v="10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  <n v="62530"/>
  </r>
  <r>
    <x v="93"/>
    <x v="7"/>
    <x v="7"/>
    <n v="20"/>
    <x v="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  <n v="70875"/>
  </r>
  <r>
    <x v="94"/>
    <x v="11"/>
    <x v="11"/>
    <n v="24"/>
    <x v="0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  <n v="71592"/>
  </r>
  <r>
    <x v="95"/>
    <x v="8"/>
    <x v="8"/>
    <n v="21"/>
    <x v="12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  <n v="71760"/>
  </r>
  <r>
    <x v="96"/>
    <x v="0"/>
    <x v="0"/>
    <n v="26"/>
    <x v="0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  <n v="69312"/>
  </r>
  <r>
    <x v="97"/>
    <x v="25"/>
    <x v="25"/>
    <n v="27"/>
    <x v="13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  <n v="62859"/>
  </r>
  <r>
    <x v="98"/>
    <x v="13"/>
    <x v="13"/>
    <n v="32"/>
    <x v="8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  <n v="74620"/>
  </r>
  <r>
    <x v="99"/>
    <x v="22"/>
    <x v="22"/>
    <n v="29"/>
    <x v="15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  <n v="54360"/>
  </r>
  <r>
    <x v="100"/>
    <x v="5"/>
    <x v="5"/>
    <n v="31"/>
    <x v="28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  <n v="47753"/>
  </r>
  <r>
    <x v="101"/>
    <x v="28"/>
    <x v="28"/>
    <n v="28"/>
    <x v="26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  <n v="41971"/>
  </r>
  <r>
    <x v="102"/>
    <x v="23"/>
    <x v="23"/>
    <n v="25"/>
    <x v="12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  <n v="68718"/>
  </r>
  <r>
    <x v="103"/>
    <x v="15"/>
    <x v="15"/>
    <n v="27"/>
    <x v="2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  <n v="61250"/>
  </r>
  <r>
    <x v="104"/>
    <x v="21"/>
    <x v="21"/>
    <n v="20"/>
    <x v="3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  <n v="58357"/>
  </r>
  <r>
    <x v="105"/>
    <x v="25"/>
    <x v="25"/>
    <n v="32"/>
    <x v="1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  <n v="68651"/>
  </r>
  <r>
    <x v="106"/>
    <x v="1"/>
    <x v="1"/>
    <n v="32"/>
    <x v="4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  <n v="62208"/>
  </r>
  <r>
    <x v="107"/>
    <x v="8"/>
    <x v="8"/>
    <n v="33"/>
    <x v="6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  <n v="65219"/>
  </r>
  <r>
    <x v="108"/>
    <x v="12"/>
    <x v="12"/>
    <n v="31"/>
    <x v="15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  <n v="50760"/>
  </r>
  <r>
    <x v="109"/>
    <x v="11"/>
    <x v="11"/>
    <n v="33"/>
    <x v="25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  <n v="68202"/>
  </r>
  <r>
    <x v="110"/>
    <x v="25"/>
    <x v="25"/>
    <n v="26"/>
    <x v="29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  <n v="47766"/>
  </r>
  <r>
    <x v="111"/>
    <x v="23"/>
    <x v="23"/>
    <n v="21"/>
    <x v="31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  <n v="55308"/>
  </r>
  <r>
    <x v="112"/>
    <x v="29"/>
    <x v="29"/>
    <n v="23"/>
    <x v="1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  <n v="66123"/>
  </r>
  <r>
    <x v="113"/>
    <x v="17"/>
    <x v="17"/>
    <n v="27"/>
    <x v="1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  <n v="65570"/>
  </r>
  <r>
    <x v="114"/>
    <x v="26"/>
    <x v="26"/>
    <n v="29"/>
    <x v="29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  <n v="47139"/>
  </r>
  <r>
    <x v="115"/>
    <x v="5"/>
    <x v="5"/>
    <n v="29"/>
    <x v="25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  <n v="66906"/>
  </r>
  <r>
    <x v="116"/>
    <x v="16"/>
    <x v="16"/>
    <n v="21"/>
    <x v="1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  <n v="64938"/>
  </r>
  <r>
    <x v="117"/>
    <x v="3"/>
    <x v="3"/>
    <n v="26"/>
    <x v="7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  <n v="60754"/>
  </r>
  <r>
    <x v="118"/>
    <x v="4"/>
    <x v="4"/>
    <n v="29"/>
    <x v="3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  <n v="34398"/>
  </r>
  <r>
    <x v="119"/>
    <x v="6"/>
    <x v="6"/>
    <n v="31"/>
    <x v="7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  <n v="60236"/>
  </r>
  <r>
    <x v="120"/>
    <x v="16"/>
    <x v="16"/>
    <n v="24"/>
    <x v="10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  <n v="52845"/>
  </r>
  <r>
    <x v="121"/>
    <x v="19"/>
    <x v="19"/>
    <n v="23"/>
    <x v="8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  <n v="66584"/>
  </r>
  <r>
    <x v="122"/>
    <x v="21"/>
    <x v="21"/>
    <n v="19"/>
    <x v="8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  <n v="65928"/>
  </r>
  <r>
    <x v="123"/>
    <x v="9"/>
    <x v="9"/>
    <n v="33"/>
    <x v="33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  <n v="29452"/>
  </r>
  <r>
    <x v="124"/>
    <x v="7"/>
    <x v="7"/>
    <n v="31"/>
    <x v="1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  <n v="61778"/>
  </r>
  <r>
    <x v="125"/>
    <x v="16"/>
    <x v="16"/>
    <n v="24"/>
    <x v="1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  <n v="61778"/>
  </r>
  <r>
    <x v="126"/>
    <x v="9"/>
    <x v="9"/>
    <n v="28"/>
    <x v="6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  <n v="59906"/>
  </r>
  <r>
    <x v="127"/>
    <x v="26"/>
    <x v="26"/>
    <n v="21"/>
    <x v="3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  <n v="42012"/>
  </r>
  <r>
    <x v="128"/>
    <x v="7"/>
    <x v="7"/>
    <n v="30"/>
    <x v="22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  <n v="49536"/>
  </r>
  <r>
    <x v="129"/>
    <x v="28"/>
    <x v="28"/>
    <n v="21"/>
    <x v="9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  <n v="54954"/>
  </r>
  <r>
    <x v="130"/>
    <x v="14"/>
    <x v="14"/>
    <n v="27"/>
    <x v="35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  <n v="45607"/>
  </r>
  <r>
    <x v="131"/>
    <x v="3"/>
    <x v="3"/>
    <n v="25"/>
    <x v="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  <n v="57975"/>
  </r>
  <r>
    <x v="132"/>
    <x v="1"/>
    <x v="1"/>
    <n v="26"/>
    <x v="8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  <n v="63222"/>
  </r>
  <r>
    <x v="133"/>
    <x v="22"/>
    <x v="22"/>
    <n v="29"/>
    <x v="2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  <n v="53900"/>
  </r>
  <r>
    <x v="134"/>
    <x v="28"/>
    <x v="28"/>
    <n v="27"/>
    <x v="36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  <n v="30400"/>
  </r>
  <r>
    <x v="135"/>
    <x v="0"/>
    <x v="0"/>
    <n v="25"/>
    <x v="7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  <n v="55870"/>
  </r>
  <r>
    <x v="136"/>
    <x v="29"/>
    <x v="29"/>
    <n v="24"/>
    <x v="1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  <n v="59329"/>
  </r>
  <r>
    <x v="137"/>
    <x v="2"/>
    <x v="2"/>
    <n v="29"/>
    <x v="23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  <n v="38250"/>
  </r>
  <r>
    <x v="138"/>
    <x v="25"/>
    <x v="25"/>
    <n v="22"/>
    <x v="12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  <n v="58422"/>
  </r>
  <r>
    <x v="139"/>
    <x v="13"/>
    <x v="13"/>
    <n v="22"/>
    <x v="22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  <n v="47936"/>
  </r>
  <r>
    <x v="140"/>
    <x v="27"/>
    <x v="27"/>
    <n v="24"/>
    <x v="37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  <n v="22140"/>
  </r>
  <r>
    <x v="141"/>
    <x v="20"/>
    <x v="20"/>
    <n v="21"/>
    <x v="12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  <n v="57174"/>
  </r>
  <r>
    <x v="142"/>
    <x v="29"/>
    <x v="29"/>
    <n v="29"/>
    <x v="16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  <n v="42398"/>
  </r>
  <r>
    <x v="143"/>
    <x v="21"/>
    <x v="21"/>
    <n v="20"/>
    <x v="35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  <n v="42834"/>
  </r>
  <r>
    <x v="144"/>
    <x v="13"/>
    <x v="13"/>
    <n v="23"/>
    <x v="7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  <n v="53650"/>
  </r>
  <r>
    <x v="145"/>
    <x v="1"/>
    <x v="1"/>
    <n v="28"/>
    <x v="11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  <n v="44950"/>
  </r>
  <r>
    <x v="146"/>
    <x v="19"/>
    <x v="19"/>
    <n v="40"/>
    <x v="8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  <n v="59204"/>
  </r>
  <r>
    <x v="147"/>
    <x v="29"/>
    <x v="29"/>
    <n v="26"/>
    <x v="2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  <n v="50470"/>
  </r>
  <r>
    <x v="148"/>
    <x v="13"/>
    <x v="13"/>
    <n v="22"/>
    <x v="26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  <n v="33793"/>
  </r>
  <r>
    <x v="149"/>
    <x v="17"/>
    <x v="17"/>
    <n v="33"/>
    <x v="1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  <n v="56801"/>
  </r>
  <r>
    <x v="150"/>
    <x v="0"/>
    <x v="0"/>
    <n v="26"/>
    <x v="9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  <n v="50907"/>
  </r>
  <r>
    <x v="151"/>
    <x v="14"/>
    <x v="14"/>
    <n v="24"/>
    <x v="12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  <n v="55380"/>
  </r>
  <r>
    <x v="152"/>
    <x v="21"/>
    <x v="21"/>
    <n v="26"/>
    <x v="38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  <n v="43188"/>
  </r>
  <r>
    <x v="153"/>
    <x v="25"/>
    <x v="25"/>
    <n v="26"/>
    <x v="29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  <n v="39957"/>
  </r>
  <r>
    <x v="154"/>
    <x v="9"/>
    <x v="9"/>
    <n v="27"/>
    <x v="4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  <n v="50256"/>
  </r>
  <r>
    <x v="155"/>
    <x v="12"/>
    <x v="12"/>
    <n v="22"/>
    <x v="29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  <n v="39615"/>
  </r>
  <r>
    <x v="156"/>
    <x v="28"/>
    <x v="28"/>
    <n v="21"/>
    <x v="4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  <n v="49752"/>
  </r>
  <r>
    <x v="157"/>
    <x v="4"/>
    <x v="4"/>
    <n v="34"/>
    <x v="11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  <n v="42656"/>
  </r>
  <r>
    <x v="158"/>
    <x v="18"/>
    <x v="18"/>
    <n v="20"/>
    <x v="21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  <n v="55040"/>
  </r>
  <r>
    <x v="159"/>
    <x v="12"/>
    <x v="12"/>
    <n v="24"/>
    <x v="29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  <n v="38988"/>
  </r>
  <r>
    <x v="160"/>
    <x v="18"/>
    <x v="18"/>
    <n v="26"/>
    <x v="13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  <n v="47127"/>
  </r>
  <r>
    <x v="161"/>
    <x v="5"/>
    <x v="5"/>
    <n v="32"/>
    <x v="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  <n v="51225"/>
  </r>
  <r>
    <x v="162"/>
    <x v="3"/>
    <x v="3"/>
    <n v="30"/>
    <x v="3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  <n v="33369"/>
  </r>
  <r>
    <x v="163"/>
    <x v="7"/>
    <x v="7"/>
    <n v="23"/>
    <x v="40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  <n v="24480"/>
  </r>
  <r>
    <x v="164"/>
    <x v="6"/>
    <x v="6"/>
    <n v="31"/>
    <x v="22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  <n v="43392"/>
  </r>
  <r>
    <x v="165"/>
    <x v="5"/>
    <x v="5"/>
    <n v="29"/>
    <x v="22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  <n v="43392"/>
  </r>
  <r>
    <x v="166"/>
    <x v="23"/>
    <x v="23"/>
    <n v="31"/>
    <x v="26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  <n v="31819"/>
  </r>
  <r>
    <x v="167"/>
    <x v="24"/>
    <x v="24"/>
    <n v="23"/>
    <x v="41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  <n v="29612"/>
  </r>
  <r>
    <x v="168"/>
    <x v="20"/>
    <x v="20"/>
    <n v="32"/>
    <x v="6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  <n v="51590"/>
  </r>
  <r>
    <x v="169"/>
    <x v="26"/>
    <x v="26"/>
    <n v="25"/>
    <x v="22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  <n v="42624"/>
  </r>
  <r>
    <x v="170"/>
    <x v="27"/>
    <x v="27"/>
    <n v="21"/>
    <x v="14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  <n v="48472"/>
  </r>
  <r>
    <x v="171"/>
    <x v="22"/>
    <x v="22"/>
    <n v="35"/>
    <x v="42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  <n v="27224"/>
  </r>
  <r>
    <x v="172"/>
    <x v="11"/>
    <x v="11"/>
    <n v="25"/>
    <x v="21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  <n v="53120"/>
  </r>
  <r>
    <x v="173"/>
    <x v="3"/>
    <x v="3"/>
    <n v="31"/>
    <x v="21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  <n v="52480"/>
  </r>
  <r>
    <x v="174"/>
    <x v="17"/>
    <x v="17"/>
    <n v="25"/>
    <x v="10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  <n v="42250"/>
  </r>
  <r>
    <x v="175"/>
    <x v="28"/>
    <x v="28"/>
    <n v="23"/>
    <x v="16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  <n v="37352"/>
  </r>
  <r>
    <x v="176"/>
    <x v="0"/>
    <x v="0"/>
    <n v="27"/>
    <x v="29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  <n v="36366"/>
  </r>
  <r>
    <x v="177"/>
    <x v="29"/>
    <x v="29"/>
    <n v="23"/>
    <x v="18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  <n v="39690"/>
  </r>
  <r>
    <x v="178"/>
    <x v="20"/>
    <x v="20"/>
    <n v="25"/>
    <x v="3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  <n v="42210"/>
  </r>
  <r>
    <x v="179"/>
    <x v="20"/>
    <x v="20"/>
    <n v="26"/>
    <x v="19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  <n v="42092"/>
  </r>
  <r>
    <x v="180"/>
    <x v="28"/>
    <x v="28"/>
    <n v="20"/>
    <x v="9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  <n v="43878"/>
  </r>
  <r>
    <x v="181"/>
    <x v="19"/>
    <x v="19"/>
    <n v="22"/>
    <x v="3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  <n v="33264"/>
  </r>
  <r>
    <x v="182"/>
    <x v="13"/>
    <x v="13"/>
    <n v="35"/>
    <x v="19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  <n v="41616"/>
  </r>
  <r>
    <x v="183"/>
    <x v="10"/>
    <x v="10"/>
    <n v="24"/>
    <x v="22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  <n v="38912"/>
  </r>
  <r>
    <x v="184"/>
    <x v="16"/>
    <x v="16"/>
    <n v="23"/>
    <x v="31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  <n v="40062"/>
  </r>
  <r>
    <x v="185"/>
    <x v="27"/>
    <x v="27"/>
    <n v="23"/>
    <x v="27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  <n v="33880"/>
  </r>
  <r>
    <x v="186"/>
    <x v="4"/>
    <x v="4"/>
    <n v="27"/>
    <x v="9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  <n v="42884"/>
  </r>
  <r>
    <x v="187"/>
    <x v="29"/>
    <x v="29"/>
    <n v="23"/>
    <x v="43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  <n v="15000"/>
  </r>
  <r>
    <x v="188"/>
    <x v="28"/>
    <x v="28"/>
    <n v="33"/>
    <x v="33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  <n v="22163"/>
  </r>
  <r>
    <x v="189"/>
    <x v="8"/>
    <x v="8"/>
    <n v="22"/>
    <x v="35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  <n v="35164"/>
  </r>
  <r>
    <x v="190"/>
    <x v="6"/>
    <x v="6"/>
    <n v="21"/>
    <x v="22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  <n v="38080"/>
  </r>
  <r>
    <x v="191"/>
    <x v="24"/>
    <x v="24"/>
    <n v="21"/>
    <x v="15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  <n v="35640"/>
  </r>
  <r>
    <x v="192"/>
    <x v="21"/>
    <x v="21"/>
    <n v="21"/>
    <x v="19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  <n v="40256"/>
  </r>
  <r>
    <x v="193"/>
    <x v="2"/>
    <x v="2"/>
    <n v="23"/>
    <x v="10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  <n v="38025"/>
  </r>
  <r>
    <x v="194"/>
    <x v="6"/>
    <x v="6"/>
    <n v="26"/>
    <x v="7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  <n v="43290"/>
  </r>
  <r>
    <x v="195"/>
    <x v="9"/>
    <x v="9"/>
    <n v="32"/>
    <x v="3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  <n v="31482"/>
  </r>
  <r>
    <x v="196"/>
    <x v="1"/>
    <x v="1"/>
    <n v="37"/>
    <x v="9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  <n v="41322"/>
  </r>
  <r>
    <x v="197"/>
    <x v="16"/>
    <x v="16"/>
    <n v="28"/>
    <x v="10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  <n v="37635"/>
  </r>
  <r>
    <x v="198"/>
    <x v="27"/>
    <x v="27"/>
    <n v="27"/>
    <x v="27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  <n v="32312"/>
  </r>
  <r>
    <x v="199"/>
    <x v="23"/>
    <x v="23"/>
    <n v="26"/>
    <x v="36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  <n v="23040"/>
  </r>
  <r>
    <x v="200"/>
    <x v="0"/>
    <x v="0"/>
    <n v="21"/>
    <x v="19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  <n v="38828"/>
  </r>
  <r>
    <x v="201"/>
    <x v="28"/>
    <x v="28"/>
    <n v="24"/>
    <x v="22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  <n v="36480"/>
  </r>
  <r>
    <x v="202"/>
    <x v="6"/>
    <x v="6"/>
    <n v="24"/>
    <x v="31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  <n v="37488"/>
  </r>
  <r>
    <x v="203"/>
    <x v="24"/>
    <x v="24"/>
    <n v="22"/>
    <x v="44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  <n v="15309"/>
  </r>
  <r>
    <x v="204"/>
    <x v="18"/>
    <x v="18"/>
    <n v="23"/>
    <x v="18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  <n v="35721"/>
  </r>
  <r>
    <x v="205"/>
    <x v="20"/>
    <x v="20"/>
    <n v="24"/>
    <x v="4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  <n v="19845"/>
  </r>
  <r>
    <x v="206"/>
    <x v="18"/>
    <x v="18"/>
    <n v="25"/>
    <x v="24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  <n v="26036"/>
  </r>
  <r>
    <x v="207"/>
    <x v="26"/>
    <x v="26"/>
    <n v="25"/>
    <x v="46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  <n v="18612"/>
  </r>
  <r>
    <x v="208"/>
    <x v="23"/>
    <x v="23"/>
    <n v="25"/>
    <x v="3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  <n v="37252"/>
  </r>
  <r>
    <x v="209"/>
    <x v="2"/>
    <x v="2"/>
    <n v="22"/>
    <x v="19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  <n v="37468"/>
  </r>
  <r>
    <x v="210"/>
    <x v="14"/>
    <x v="14"/>
    <n v="32"/>
    <x v="18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  <n v="34524"/>
  </r>
  <r>
    <x v="211"/>
    <x v="21"/>
    <x v="21"/>
    <n v="23"/>
    <x v="11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  <n v="33852"/>
  </r>
  <r>
    <x v="212"/>
    <x v="27"/>
    <x v="27"/>
    <n v="28"/>
    <x v="47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  <n v="16833"/>
  </r>
  <r>
    <x v="213"/>
    <x v="4"/>
    <x v="4"/>
    <n v="39"/>
    <x v="15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  <n v="32400"/>
  </r>
  <r>
    <x v="214"/>
    <x v="17"/>
    <x v="17"/>
    <n v="25"/>
    <x v="48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  <n v="24300"/>
  </r>
  <r>
    <x v="215"/>
    <x v="3"/>
    <x v="3"/>
    <n v="25"/>
    <x v="14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  <n v="39420"/>
  </r>
  <r>
    <x v="216"/>
    <x v="22"/>
    <x v="22"/>
    <n v="24"/>
    <x v="15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  <n v="32400"/>
  </r>
  <r>
    <x v="217"/>
    <x v="20"/>
    <x v="20"/>
    <n v="24"/>
    <x v="7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  <n v="39442"/>
  </r>
  <r>
    <x v="218"/>
    <x v="22"/>
    <x v="22"/>
    <n v="23"/>
    <x v="14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  <n v="38909"/>
  </r>
  <r>
    <x v="219"/>
    <x v="26"/>
    <x v="26"/>
    <n v="22"/>
    <x v="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  <n v="39975"/>
  </r>
  <r>
    <x v="220"/>
    <x v="16"/>
    <x v="16"/>
    <n v="28"/>
    <x v="22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  <n v="33984"/>
  </r>
  <r>
    <x v="221"/>
    <x v="5"/>
    <x v="5"/>
    <n v="27"/>
    <x v="29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  <n v="30210"/>
  </r>
  <r>
    <x v="222"/>
    <x v="8"/>
    <x v="8"/>
    <n v="23"/>
    <x v="37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  <n v="15840"/>
  </r>
  <r>
    <x v="223"/>
    <x v="18"/>
    <x v="18"/>
    <n v="25"/>
    <x v="22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  <n v="33600"/>
  </r>
  <r>
    <x v="224"/>
    <x v="29"/>
    <x v="29"/>
    <n v="26"/>
    <x v="15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  <n v="31320"/>
  </r>
  <r>
    <x v="225"/>
    <x v="8"/>
    <x v="8"/>
    <n v="19"/>
    <x v="25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  <n v="41958"/>
  </r>
  <r>
    <x v="226"/>
    <x v="7"/>
    <x v="7"/>
    <n v="28"/>
    <x v="3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  <n v="34572"/>
  </r>
  <r>
    <x v="227"/>
    <x v="15"/>
    <x v="15"/>
    <n v="29"/>
    <x v="9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  <n v="36281"/>
  </r>
  <r>
    <x v="228"/>
    <x v="5"/>
    <x v="5"/>
    <n v="22"/>
    <x v="7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  <n v="37814"/>
  </r>
  <r>
    <x v="229"/>
    <x v="20"/>
    <x v="20"/>
    <n v="25"/>
    <x v="2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  <n v="35280"/>
  </r>
  <r>
    <x v="230"/>
    <x v="24"/>
    <x v="24"/>
    <n v="24"/>
    <x v="19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  <n v="34204"/>
  </r>
  <r>
    <x v="231"/>
    <x v="26"/>
    <x v="26"/>
    <n v="32"/>
    <x v="17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  <n v="25000"/>
  </r>
  <r>
    <x v="232"/>
    <x v="10"/>
    <x v="10"/>
    <n v="30"/>
    <x v="4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  <n v="35784"/>
  </r>
  <r>
    <x v="233"/>
    <x v="25"/>
    <x v="25"/>
    <n v="22"/>
    <x v="29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  <n v="28272"/>
  </r>
  <r>
    <x v="234"/>
    <x v="6"/>
    <x v="6"/>
    <n v="22"/>
    <x v="24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  <n v="22632"/>
  </r>
  <r>
    <x v="235"/>
    <x v="7"/>
    <x v="7"/>
    <n v="31"/>
    <x v="30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  <n v="26950"/>
  </r>
  <r>
    <x v="236"/>
    <x v="6"/>
    <x v="6"/>
    <n v="28"/>
    <x v="7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  <n v="35594"/>
  </r>
  <r>
    <x v="237"/>
    <x v="0"/>
    <x v="0"/>
    <n v="23"/>
    <x v="49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  <n v="15360"/>
  </r>
  <r>
    <x v="238"/>
    <x v="12"/>
    <x v="12"/>
    <n v="20"/>
    <x v="23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  <n v="24429"/>
  </r>
  <r>
    <x v="239"/>
    <x v="9"/>
    <x v="9"/>
    <n v="31"/>
    <x v="7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  <n v="35076"/>
  </r>
  <r>
    <x v="240"/>
    <x v="15"/>
    <x v="15"/>
    <n v="29"/>
    <x v="17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  <n v="23500"/>
  </r>
  <r>
    <x v="241"/>
    <x v="14"/>
    <x v="14"/>
    <n v="28"/>
    <x v="4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  <n v="33192"/>
  </r>
  <r>
    <x v="242"/>
    <x v="17"/>
    <x v="17"/>
    <n v="21"/>
    <x v="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  <n v="34350"/>
  </r>
  <r>
    <x v="243"/>
    <x v="11"/>
    <x v="11"/>
    <n v="23"/>
    <x v="31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  <n v="30030"/>
  </r>
  <r>
    <x v="244"/>
    <x v="24"/>
    <x v="24"/>
    <n v="30"/>
    <x v="23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  <n v="23154"/>
  </r>
  <r>
    <x v="245"/>
    <x v="22"/>
    <x v="22"/>
    <n v="31"/>
    <x v="50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  <n v="8588"/>
  </r>
  <r>
    <x v="246"/>
    <x v="29"/>
    <x v="29"/>
    <n v="24"/>
    <x v="41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  <n v="19756"/>
  </r>
  <r>
    <x v="247"/>
    <x v="27"/>
    <x v="27"/>
    <n v="23"/>
    <x v="3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  <n v="18858"/>
  </r>
  <r>
    <x v="248"/>
    <x v="11"/>
    <x v="11"/>
    <n v="29"/>
    <x v="13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  <n v="30981"/>
  </r>
  <r>
    <x v="249"/>
    <x v="26"/>
    <x v="26"/>
    <n v="20"/>
    <x v="20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  <n v="23244"/>
  </r>
  <r>
    <x v="250"/>
    <x v="22"/>
    <x v="22"/>
    <n v="21"/>
    <x v="41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  <n v="19536"/>
  </r>
  <r>
    <x v="251"/>
    <x v="8"/>
    <x v="8"/>
    <n v="29"/>
    <x v="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  <n v="33225"/>
  </r>
  <r>
    <x v="252"/>
    <x v="24"/>
    <x v="24"/>
    <n v="34"/>
    <x v="19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  <n v="30056"/>
  </r>
  <r>
    <x v="253"/>
    <x v="16"/>
    <x v="16"/>
    <n v="27"/>
    <x v="22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  <n v="28288"/>
  </r>
  <r>
    <x v="254"/>
    <x v="21"/>
    <x v="21"/>
    <n v="33"/>
    <x v="33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  <n v="16280"/>
  </r>
  <r>
    <x v="255"/>
    <x v="4"/>
    <x v="4"/>
    <n v="29"/>
    <x v="14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  <n v="31974"/>
  </r>
  <r>
    <x v="256"/>
    <x v="23"/>
    <x v="23"/>
    <n v="21"/>
    <x v="3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  <n v="29212"/>
  </r>
  <r>
    <x v="257"/>
    <x v="0"/>
    <x v="0"/>
    <n v="30"/>
    <x v="13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  <n v="30015"/>
  </r>
  <r>
    <x v="258"/>
    <x v="8"/>
    <x v="8"/>
    <n v="24"/>
    <x v="4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  <n v="31104"/>
  </r>
  <r>
    <x v="259"/>
    <x v="17"/>
    <x v="17"/>
    <n v="27"/>
    <x v="31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  <n v="28314"/>
  </r>
  <r>
    <x v="260"/>
    <x v="29"/>
    <x v="29"/>
    <n v="20"/>
    <x v="24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  <n v="19274"/>
  </r>
  <r>
    <x v="261"/>
    <x v="26"/>
    <x v="26"/>
    <n v="24"/>
    <x v="35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  <n v="24721"/>
  </r>
  <r>
    <x v="262"/>
    <x v="27"/>
    <x v="27"/>
    <n v="24"/>
    <x v="31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  <n v="27456"/>
  </r>
  <r>
    <x v="263"/>
    <x v="7"/>
    <x v="7"/>
    <n v="24"/>
    <x v="29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  <n v="23370"/>
  </r>
  <r>
    <x v="264"/>
    <x v="18"/>
    <x v="18"/>
    <n v="27"/>
    <x v="22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  <n v="26240"/>
  </r>
  <r>
    <x v="265"/>
    <x v="13"/>
    <x v="13"/>
    <n v="25"/>
    <x v="11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  <n v="25358"/>
  </r>
  <r>
    <x v="266"/>
    <x v="24"/>
    <x v="24"/>
    <n v="23"/>
    <x v="9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  <n v="28755"/>
  </r>
  <r>
    <x v="267"/>
    <x v="13"/>
    <x v="13"/>
    <n v="32"/>
    <x v="11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  <n v="24986"/>
  </r>
  <r>
    <x v="268"/>
    <x v="26"/>
    <x v="26"/>
    <n v="27"/>
    <x v="51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  <n v="7200"/>
  </r>
  <r>
    <x v="269"/>
    <x v="29"/>
    <x v="29"/>
    <n v="23"/>
    <x v="17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  <n v="19750"/>
  </r>
  <r>
    <x v="270"/>
    <x v="26"/>
    <x v="26"/>
    <n v="23"/>
    <x v="18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  <n v="24633"/>
  </r>
  <r>
    <x v="271"/>
    <x v="20"/>
    <x v="20"/>
    <n v="28"/>
    <x v="37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  <n v="11610"/>
  </r>
  <r>
    <x v="272"/>
    <x v="19"/>
    <x v="19"/>
    <n v="26"/>
    <x v="38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  <n v="23424"/>
  </r>
  <r>
    <x v="273"/>
    <x v="27"/>
    <x v="27"/>
    <n v="34"/>
    <x v="41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  <n v="16852"/>
  </r>
  <r>
    <x v="274"/>
    <x v="0"/>
    <x v="0"/>
    <n v="31"/>
    <x v="3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  <n v="20682"/>
  </r>
  <r>
    <x v="275"/>
    <x v="20"/>
    <x v="20"/>
    <n v="27"/>
    <x v="9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  <n v="27193"/>
  </r>
  <r>
    <x v="276"/>
    <x v="14"/>
    <x v="14"/>
    <n v="25"/>
    <x v="27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  <n v="21336"/>
  </r>
  <r>
    <x v="277"/>
    <x v="18"/>
    <x v="18"/>
    <n v="24"/>
    <x v="16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  <n v="21866"/>
  </r>
  <r>
    <x v="278"/>
    <x v="8"/>
    <x v="8"/>
    <n v="24"/>
    <x v="29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  <n v="21432"/>
  </r>
  <r>
    <x v="279"/>
    <x v="10"/>
    <x v="10"/>
    <n v="25"/>
    <x v="29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  <n v="21432"/>
  </r>
  <r>
    <x v="280"/>
    <x v="18"/>
    <x v="18"/>
    <n v="21"/>
    <x v="1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  <n v="28677"/>
  </r>
  <r>
    <x v="281"/>
    <x v="6"/>
    <x v="6"/>
    <n v="31"/>
    <x v="38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  <n v="21960"/>
  </r>
  <r>
    <x v="282"/>
    <x v="5"/>
    <x v="5"/>
    <n v="29"/>
    <x v="28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  <n v="19080"/>
  </r>
  <r>
    <x v="283"/>
    <x v="6"/>
    <x v="6"/>
    <n v="33"/>
    <x v="3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  <n v="17542"/>
  </r>
  <r>
    <x v="284"/>
    <x v="25"/>
    <x v="25"/>
    <n v="29"/>
    <x v="48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  <n v="16020"/>
  </r>
  <r>
    <x v="285"/>
    <x v="24"/>
    <x v="24"/>
    <n v="19"/>
    <x v="15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  <n v="21240"/>
  </r>
  <r>
    <x v="286"/>
    <x v="7"/>
    <x v="7"/>
    <n v="28"/>
    <x v="26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  <n v="16591"/>
  </r>
  <r>
    <x v="287"/>
    <x v="22"/>
    <x v="22"/>
    <n v="21"/>
    <x v="52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  <n v="8096"/>
  </r>
  <r>
    <x v="288"/>
    <x v="15"/>
    <x v="15"/>
    <n v="31"/>
    <x v="19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  <n v="23596"/>
  </r>
  <r>
    <x v="289"/>
    <x v="3"/>
    <x v="3"/>
    <n v="22"/>
    <x v="27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  <n v="19432"/>
  </r>
  <r>
    <x v="290"/>
    <x v="13"/>
    <x v="13"/>
    <n v="29"/>
    <x v="0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  <n v="25992"/>
  </r>
  <r>
    <x v="291"/>
    <x v="12"/>
    <x v="12"/>
    <n v="28"/>
    <x v="11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  <n v="21142"/>
  </r>
  <r>
    <x v="292"/>
    <x v="13"/>
    <x v="13"/>
    <n v="25"/>
    <x v="3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  <n v="14280"/>
  </r>
  <r>
    <x v="293"/>
    <x v="27"/>
    <x v="27"/>
    <n v="28"/>
    <x v="42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  <n v="13940"/>
  </r>
  <r>
    <x v="294"/>
    <x v="15"/>
    <x v="15"/>
    <n v="24"/>
    <x v="30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  <n v="18480"/>
  </r>
  <r>
    <x v="295"/>
    <x v="22"/>
    <x v="22"/>
    <n v="22"/>
    <x v="16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  <n v="19488"/>
  </r>
  <r>
    <x v="296"/>
    <x v="17"/>
    <x v="17"/>
    <n v="23"/>
    <x v="18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  <n v="21042"/>
  </r>
  <r>
    <x v="297"/>
    <x v="28"/>
    <x v="28"/>
    <n v="28"/>
    <x v="53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  <n v="12692"/>
  </r>
  <r>
    <x v="298"/>
    <x v="5"/>
    <x v="5"/>
    <n v="35"/>
    <x v="7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  <n v="24642"/>
  </r>
  <r>
    <x v="299"/>
    <x v="18"/>
    <x v="18"/>
    <n v="25"/>
    <x v="24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  <n v="15226"/>
  </r>
  <r>
    <x v="300"/>
    <x v="18"/>
    <x v="18"/>
    <n v="22"/>
    <x v="14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  <n v="24017"/>
  </r>
  <r>
    <x v="301"/>
    <x v="21"/>
    <x v="21"/>
    <n v="22"/>
    <x v="4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  <n v="11515"/>
  </r>
  <r>
    <x v="302"/>
    <x v="27"/>
    <x v="27"/>
    <n v="24"/>
    <x v="3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  <n v="13566"/>
  </r>
  <r>
    <x v="303"/>
    <x v="15"/>
    <x v="15"/>
    <n v="28"/>
    <x v="35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  <n v="18821"/>
  </r>
  <r>
    <x v="304"/>
    <x v="24"/>
    <x v="24"/>
    <n v="27"/>
    <x v="26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  <n v="14805"/>
  </r>
  <r>
    <x v="305"/>
    <x v="14"/>
    <x v="14"/>
    <n v="28"/>
    <x v="29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  <n v="17898"/>
  </r>
  <r>
    <x v="306"/>
    <x v="25"/>
    <x v="25"/>
    <n v="21"/>
    <x v="40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  <n v="11268"/>
  </r>
  <r>
    <x v="307"/>
    <x v="9"/>
    <x v="9"/>
    <n v="36"/>
    <x v="12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  <n v="24336"/>
  </r>
  <r>
    <x v="308"/>
    <x v="23"/>
    <x v="23"/>
    <n v="22"/>
    <x v="15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  <n v="18720"/>
  </r>
  <r>
    <x v="309"/>
    <x v="4"/>
    <x v="4"/>
    <n v="25"/>
    <x v="11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  <n v="19220"/>
  </r>
  <r>
    <x v="310"/>
    <x v="21"/>
    <x v="21"/>
    <n v="31"/>
    <x v="5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  <n v="10404"/>
  </r>
  <r>
    <x v="311"/>
    <x v="21"/>
    <x v="21"/>
    <n v="32"/>
    <x v="55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  <n v="7320"/>
  </r>
  <r>
    <x v="312"/>
    <x v="27"/>
    <x v="27"/>
    <n v="22"/>
    <x v="41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  <n v="13376"/>
  </r>
  <r>
    <x v="313"/>
    <x v="26"/>
    <x v="26"/>
    <n v="24"/>
    <x v="41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  <n v="13376"/>
  </r>
  <r>
    <x v="314"/>
    <x v="22"/>
    <x v="22"/>
    <n v="31"/>
    <x v="36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  <n v="11680"/>
  </r>
  <r>
    <x v="315"/>
    <x v="23"/>
    <x v="23"/>
    <n v="24"/>
    <x v="13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  <n v="20010"/>
  </r>
  <r>
    <x v="316"/>
    <x v="22"/>
    <x v="22"/>
    <n v="28"/>
    <x v="42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  <n v="11767"/>
  </r>
  <r>
    <x v="317"/>
    <x v="10"/>
    <x v="10"/>
    <n v="28"/>
    <x v="17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  <n v="14250"/>
  </r>
  <r>
    <x v="318"/>
    <x v="24"/>
    <x v="24"/>
    <n v="26"/>
    <x v="36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  <n v="11360"/>
  </r>
  <r>
    <x v="319"/>
    <x v="24"/>
    <x v="24"/>
    <n v="22"/>
    <x v="40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  <n v="10116"/>
  </r>
  <r>
    <x v="320"/>
    <x v="9"/>
    <x v="9"/>
    <n v="28"/>
    <x v="38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  <n v="17141"/>
  </r>
  <r>
    <x v="321"/>
    <x v="0"/>
    <x v="0"/>
    <n v="22"/>
    <x v="26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  <n v="13019"/>
  </r>
  <r>
    <x v="322"/>
    <x v="28"/>
    <x v="28"/>
    <n v="24"/>
    <x v="56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  <n v="11825"/>
  </r>
  <r>
    <x v="323"/>
    <x v="25"/>
    <x v="25"/>
    <n v="25"/>
    <x v="46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  <n v="9042"/>
  </r>
  <r>
    <x v="324"/>
    <x v="5"/>
    <x v="5"/>
    <n v="31"/>
    <x v="42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  <n v="11111"/>
  </r>
  <r>
    <x v="325"/>
    <x v="20"/>
    <x v="20"/>
    <n v="21"/>
    <x v="15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  <n v="16200"/>
  </r>
  <r>
    <x v="326"/>
    <x v="29"/>
    <x v="29"/>
    <n v="24"/>
    <x v="57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  <n v="7448"/>
  </r>
  <r>
    <x v="327"/>
    <x v="18"/>
    <x v="18"/>
    <n v="27"/>
    <x v="4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  <n v="9310"/>
  </r>
  <r>
    <x v="328"/>
    <x v="22"/>
    <x v="22"/>
    <n v="36"/>
    <x v="58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  <n v="10335"/>
  </r>
  <r>
    <x v="329"/>
    <x v="5"/>
    <x v="5"/>
    <n v="22"/>
    <x v="38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  <n v="15616"/>
  </r>
  <r>
    <x v="330"/>
    <x v="8"/>
    <x v="8"/>
    <n v="27"/>
    <x v="20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  <n v="13260"/>
  </r>
  <r>
    <x v="331"/>
    <x v="9"/>
    <x v="9"/>
    <n v="28"/>
    <x v="23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  <n v="13005"/>
  </r>
  <r>
    <x v="332"/>
    <x v="6"/>
    <x v="6"/>
    <n v="24"/>
    <x v="30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  <n v="13915"/>
  </r>
  <r>
    <x v="333"/>
    <x v="22"/>
    <x v="22"/>
    <n v="26"/>
    <x v="59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  <n v="4960"/>
  </r>
  <r>
    <x v="334"/>
    <x v="5"/>
    <x v="5"/>
    <n v="25"/>
    <x v="40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  <n v="8820"/>
  </r>
  <r>
    <x v="335"/>
    <x v="20"/>
    <x v="20"/>
    <n v="22"/>
    <x v="16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  <n v="13804"/>
  </r>
  <r>
    <x v="336"/>
    <x v="26"/>
    <x v="26"/>
    <n v="24"/>
    <x v="60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  <n v="6162"/>
  </r>
  <r>
    <x v="337"/>
    <x v="19"/>
    <x v="19"/>
    <n v="22"/>
    <x v="26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  <n v="11045"/>
  </r>
  <r>
    <x v="338"/>
    <x v="0"/>
    <x v="0"/>
    <n v="22"/>
    <x v="40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  <n v="8424"/>
  </r>
  <r>
    <x v="339"/>
    <x v="5"/>
    <x v="5"/>
    <n v="29"/>
    <x v="48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  <n v="10530"/>
  </r>
  <r>
    <x v="340"/>
    <x v="13"/>
    <x v="13"/>
    <n v="22"/>
    <x v="27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  <n v="12880"/>
  </r>
  <r>
    <x v="341"/>
    <x v="28"/>
    <x v="28"/>
    <n v="20"/>
    <x v="17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  <n v="11500"/>
  </r>
  <r>
    <x v="342"/>
    <x v="12"/>
    <x v="12"/>
    <n v="20"/>
    <x v="20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  <n v="11908"/>
  </r>
  <r>
    <x v="343"/>
    <x v="21"/>
    <x v="21"/>
    <n v="31"/>
    <x v="47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  <n v="7099"/>
  </r>
  <r>
    <x v="344"/>
    <x v="3"/>
    <x v="3"/>
    <n v="23"/>
    <x v="3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  <n v="15276"/>
  </r>
  <r>
    <x v="345"/>
    <x v="12"/>
    <x v="12"/>
    <n v="31"/>
    <x v="16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  <n v="13108"/>
  </r>
  <r>
    <x v="346"/>
    <x v="1"/>
    <x v="1"/>
    <n v="20"/>
    <x v="3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  <n v="10829"/>
  </r>
  <r>
    <x v="347"/>
    <x v="21"/>
    <x v="21"/>
    <n v="20"/>
    <x v="61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  <n v="6380"/>
  </r>
  <r>
    <x v="348"/>
    <x v="3"/>
    <x v="3"/>
    <n v="32"/>
    <x v="42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  <n v="8897"/>
  </r>
  <r>
    <x v="349"/>
    <x v="19"/>
    <x v="19"/>
    <n v="22"/>
    <x v="16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  <n v="12470"/>
  </r>
  <r>
    <x v="350"/>
    <x v="16"/>
    <x v="16"/>
    <n v="20"/>
    <x v="61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  <n v="6061"/>
  </r>
  <r>
    <x v="351"/>
    <x v="2"/>
    <x v="2"/>
    <n v="36"/>
    <x v="27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  <n v="11592"/>
  </r>
  <r>
    <x v="352"/>
    <x v="27"/>
    <x v="27"/>
    <n v="26"/>
    <x v="59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  <n v="4120"/>
  </r>
  <r>
    <x v="353"/>
    <x v="7"/>
    <x v="7"/>
    <n v="32"/>
    <x v="55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  <n v="4896"/>
  </r>
  <r>
    <x v="354"/>
    <x v="25"/>
    <x v="25"/>
    <n v="22"/>
    <x v="20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  <n v="10556"/>
  </r>
  <r>
    <x v="355"/>
    <x v="12"/>
    <x v="12"/>
    <n v="29"/>
    <x v="3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  <n v="8484"/>
  </r>
  <r>
    <x v="356"/>
    <x v="2"/>
    <x v="2"/>
    <n v="25"/>
    <x v="3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  <n v="9849"/>
  </r>
  <r>
    <x v="357"/>
    <x v="25"/>
    <x v="25"/>
    <n v="24"/>
    <x v="36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  <n v="8000"/>
  </r>
  <r>
    <x v="358"/>
    <x v="7"/>
    <x v="7"/>
    <n v="22"/>
    <x v="46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  <n v="6534"/>
  </r>
  <r>
    <x v="359"/>
    <x v="27"/>
    <x v="27"/>
    <n v="26"/>
    <x v="33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  <n v="7252"/>
  </r>
  <r>
    <x v="360"/>
    <x v="5"/>
    <x v="5"/>
    <n v="25"/>
    <x v="46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  <n v="6435"/>
  </r>
  <r>
    <x v="361"/>
    <x v="23"/>
    <x v="23"/>
    <n v="28"/>
    <x v="24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  <n v="8878"/>
  </r>
  <r>
    <x v="362"/>
    <x v="15"/>
    <x v="15"/>
    <n v="25"/>
    <x v="23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  <n v="9639"/>
  </r>
  <r>
    <x v="363"/>
    <x v="12"/>
    <x v="12"/>
    <n v="29"/>
    <x v="20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  <n v="9724"/>
  </r>
  <r>
    <x v="364"/>
    <x v="8"/>
    <x v="8"/>
    <n v="25"/>
    <x v="48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  <n v="8325"/>
  </r>
  <r>
    <x v="365"/>
    <x v="24"/>
    <x v="24"/>
    <n v="24"/>
    <x v="62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  <n v="2379"/>
  </r>
  <r>
    <x v="366"/>
    <x v="2"/>
    <x v="2"/>
    <n v="24"/>
    <x v="29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  <n v="10374"/>
  </r>
  <r>
    <x v="367"/>
    <x v="16"/>
    <x v="16"/>
    <n v="24"/>
    <x v="44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  <n v="4806"/>
  </r>
  <r>
    <x v="368"/>
    <x v="20"/>
    <x v="20"/>
    <n v="33"/>
    <x v="17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  <n v="8750"/>
  </r>
  <r>
    <x v="369"/>
    <x v="25"/>
    <x v="25"/>
    <n v="29"/>
    <x v="59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  <n v="3480"/>
  </r>
  <r>
    <x v="370"/>
    <x v="12"/>
    <x v="12"/>
    <n v="38"/>
    <x v="49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  <n v="5536"/>
  </r>
  <r>
    <x v="371"/>
    <x v="15"/>
    <x v="15"/>
    <n v="22"/>
    <x v="26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  <n v="7943"/>
  </r>
  <r>
    <x v="372"/>
    <x v="25"/>
    <x v="25"/>
    <n v="24"/>
    <x v="36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  <n v="6720"/>
  </r>
  <r>
    <x v="373"/>
    <x v="7"/>
    <x v="7"/>
    <n v="26"/>
    <x v="47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  <n v="5177"/>
  </r>
  <r>
    <x v="374"/>
    <x v="24"/>
    <x v="24"/>
    <n v="26"/>
    <x v="63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  <n v="2656"/>
  </r>
  <r>
    <x v="375"/>
    <x v="1"/>
    <x v="1"/>
    <n v="23"/>
    <x v="36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  <n v="6560"/>
  </r>
  <r>
    <x v="376"/>
    <x v="27"/>
    <x v="27"/>
    <n v="33"/>
    <x v="53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  <n v="6194"/>
  </r>
  <r>
    <x v="377"/>
    <x v="28"/>
    <x v="28"/>
    <n v="27"/>
    <x v="53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  <n v="6194"/>
  </r>
  <r>
    <x v="378"/>
    <x v="17"/>
    <x v="17"/>
    <n v="26"/>
    <x v="57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  <n v="4536"/>
  </r>
  <r>
    <x v="379"/>
    <x v="14"/>
    <x v="14"/>
    <n v="26"/>
    <x v="61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  <n v="4698"/>
  </r>
  <r>
    <x v="380"/>
    <x v="19"/>
    <x v="19"/>
    <n v="24"/>
    <x v="40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  <n v="5688"/>
  </r>
  <r>
    <x v="381"/>
    <x v="23"/>
    <x v="23"/>
    <n v="21"/>
    <x v="20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  <n v="8112"/>
  </r>
  <r>
    <x v="382"/>
    <x v="21"/>
    <x v="21"/>
    <n v="23"/>
    <x v="58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  <n v="6084"/>
  </r>
  <r>
    <x v="383"/>
    <x v="18"/>
    <x v="18"/>
    <n v="29"/>
    <x v="40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  <n v="5580"/>
  </r>
  <r>
    <x v="384"/>
    <x v="12"/>
    <x v="12"/>
    <n v="24"/>
    <x v="46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  <n v="5016"/>
  </r>
  <r>
    <x v="385"/>
    <x v="9"/>
    <x v="9"/>
    <n v="25"/>
    <x v="33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  <n v="5624"/>
  </r>
  <r>
    <x v="386"/>
    <x v="20"/>
    <x v="20"/>
    <n v="28"/>
    <x v="47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  <n v="4712"/>
  </r>
  <r>
    <x v="387"/>
    <x v="24"/>
    <x v="24"/>
    <n v="23"/>
    <x v="40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  <n v="5436"/>
  </r>
  <r>
    <x v="388"/>
    <x v="1"/>
    <x v="1"/>
    <n v="24"/>
    <x v="55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  <n v="3576"/>
  </r>
  <r>
    <x v="389"/>
    <x v="14"/>
    <x v="14"/>
    <n v="26"/>
    <x v="40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  <n v="5328"/>
  </r>
  <r>
    <x v="390"/>
    <x v="7"/>
    <x v="7"/>
    <n v="22"/>
    <x v="4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  <n v="5145"/>
  </r>
  <r>
    <x v="391"/>
    <x v="11"/>
    <x v="11"/>
    <n v="33"/>
    <x v="3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  <n v="6174"/>
  </r>
  <r>
    <x v="392"/>
    <x v="20"/>
    <x v="20"/>
    <n v="30"/>
    <x v="64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  <n v="6912"/>
  </r>
  <r>
    <x v="393"/>
    <x v="19"/>
    <x v="19"/>
    <n v="32"/>
    <x v="57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  <n v="4004"/>
  </r>
  <r>
    <x v="394"/>
    <x v="27"/>
    <x v="27"/>
    <n v="24"/>
    <x v="65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  <n v="1974"/>
  </r>
  <r>
    <x v="395"/>
    <x v="0"/>
    <x v="0"/>
    <n v="22"/>
    <x v="33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  <n v="5217"/>
  </r>
  <r>
    <x v="396"/>
    <x v="1"/>
    <x v="1"/>
    <n v="24"/>
    <x v="49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  <n v="4416"/>
  </r>
  <r>
    <x v="397"/>
    <x v="27"/>
    <x v="27"/>
    <n v="27"/>
    <x v="49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  <n v="4416"/>
  </r>
  <r>
    <x v="398"/>
    <x v="1"/>
    <x v="1"/>
    <n v="26"/>
    <x v="58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  <n v="5343"/>
  </r>
  <r>
    <x v="399"/>
    <x v="22"/>
    <x v="22"/>
    <n v="39"/>
    <x v="4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  <n v="4795"/>
  </r>
  <r>
    <x v="400"/>
    <x v="11"/>
    <x v="11"/>
    <n v="23"/>
    <x v="40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  <n v="4932"/>
  </r>
  <r>
    <x v="401"/>
    <x v="16"/>
    <x v="16"/>
    <n v="26"/>
    <x v="47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  <n v="4216"/>
  </r>
  <r>
    <x v="402"/>
    <x v="22"/>
    <x v="22"/>
    <n v="35"/>
    <x v="47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  <n v="4216"/>
  </r>
  <r>
    <x v="403"/>
    <x v="11"/>
    <x v="11"/>
    <n v="24"/>
    <x v="36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  <n v="5440"/>
  </r>
  <r>
    <x v="404"/>
    <x v="0"/>
    <x v="0"/>
    <n v="23"/>
    <x v="3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  <n v="7290"/>
  </r>
  <r>
    <x v="405"/>
    <x v="2"/>
    <x v="2"/>
    <n v="24"/>
    <x v="23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  <n v="6783"/>
  </r>
  <r>
    <x v="406"/>
    <x v="21"/>
    <x v="21"/>
    <n v="32"/>
    <x v="23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  <n v="6528"/>
  </r>
  <r>
    <x v="407"/>
    <x v="10"/>
    <x v="10"/>
    <n v="33"/>
    <x v="36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  <n v="4960"/>
  </r>
  <r>
    <x v="408"/>
    <x v="6"/>
    <x v="6"/>
    <n v="36"/>
    <x v="52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  <n v="2806"/>
  </r>
  <r>
    <x v="409"/>
    <x v="0"/>
    <x v="0"/>
    <n v="25"/>
    <x v="49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  <n v="3904"/>
  </r>
  <r>
    <x v="410"/>
    <x v="26"/>
    <x v="26"/>
    <n v="25"/>
    <x v="60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  <n v="3172"/>
  </r>
  <r>
    <x v="411"/>
    <x v="24"/>
    <x v="24"/>
    <n v="24"/>
    <x v="59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  <n v="2400"/>
  </r>
  <r>
    <x v="412"/>
    <x v="1"/>
    <x v="1"/>
    <n v="22"/>
    <x v="24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  <n v="5520"/>
  </r>
  <r>
    <x v="413"/>
    <x v="26"/>
    <x v="26"/>
    <n v="25"/>
    <x v="65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  <n v="1652"/>
  </r>
  <r>
    <x v="414"/>
    <x v="25"/>
    <x v="25"/>
    <n v="33"/>
    <x v="30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  <n v="6380"/>
  </r>
  <r>
    <x v="415"/>
    <x v="23"/>
    <x v="23"/>
    <n v="27"/>
    <x v="59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  <n v="2320"/>
  </r>
  <r>
    <x v="416"/>
    <x v="29"/>
    <x v="29"/>
    <n v="22"/>
    <x v="57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  <n v="3220"/>
  </r>
  <r>
    <x v="417"/>
    <x v="29"/>
    <x v="29"/>
    <n v="20"/>
    <x v="59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  <n v="2280"/>
  </r>
  <r>
    <x v="418"/>
    <x v="23"/>
    <x v="23"/>
    <n v="28"/>
    <x v="66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  <n v="1695"/>
  </r>
  <r>
    <x v="419"/>
    <x v="4"/>
    <x v="4"/>
    <n v="24"/>
    <x v="47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  <n v="3472"/>
  </r>
  <r>
    <x v="420"/>
    <x v="24"/>
    <x v="24"/>
    <n v="24"/>
    <x v="66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  <n v="1650"/>
  </r>
  <r>
    <x v="421"/>
    <x v="9"/>
    <x v="9"/>
    <n v="36"/>
    <x v="61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  <n v="3190"/>
  </r>
  <r>
    <x v="422"/>
    <x v="16"/>
    <x v="16"/>
    <n v="29"/>
    <x v="24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  <n v="5060"/>
  </r>
  <r>
    <x v="423"/>
    <x v="29"/>
    <x v="29"/>
    <n v="24"/>
    <x v="67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  <n v="981"/>
  </r>
  <r>
    <x v="424"/>
    <x v="4"/>
    <x v="4"/>
    <n v="34"/>
    <x v="60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  <n v="2834"/>
  </r>
  <r>
    <x v="425"/>
    <x v="28"/>
    <x v="28"/>
    <n v="22"/>
    <x v="56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  <n v="4644"/>
  </r>
  <r>
    <x v="426"/>
    <x v="24"/>
    <x v="24"/>
    <n v="39"/>
    <x v="33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  <n v="3959"/>
  </r>
  <r>
    <x v="427"/>
    <x v="22"/>
    <x v="22"/>
    <n v="21"/>
    <x v="66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  <n v="1605"/>
  </r>
  <r>
    <x v="428"/>
    <x v="14"/>
    <x v="14"/>
    <n v="25"/>
    <x v="46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  <n v="3498"/>
  </r>
  <r>
    <x v="429"/>
    <x v="28"/>
    <x v="28"/>
    <n v="25"/>
    <x v="65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  <n v="1484"/>
  </r>
  <r>
    <x v="430"/>
    <x v="17"/>
    <x v="17"/>
    <n v="20"/>
    <x v="17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  <n v="5250"/>
  </r>
  <r>
    <x v="431"/>
    <x v="16"/>
    <x v="16"/>
    <n v="25"/>
    <x v="43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  <n v="2625"/>
  </r>
  <r>
    <x v="432"/>
    <x v="14"/>
    <x v="14"/>
    <n v="33"/>
    <x v="5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  <n v="3468"/>
  </r>
  <r>
    <x v="433"/>
    <x v="13"/>
    <x v="13"/>
    <n v="28"/>
    <x v="58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  <n v="3822"/>
  </r>
  <r>
    <x v="434"/>
    <x v="19"/>
    <x v="19"/>
    <n v="29"/>
    <x v="24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  <n v="4462"/>
  </r>
  <r>
    <x v="435"/>
    <x v="14"/>
    <x v="14"/>
    <n v="25"/>
    <x v="53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  <n v="3610"/>
  </r>
  <r>
    <x v="436"/>
    <x v="3"/>
    <x v="3"/>
    <n v="26"/>
    <x v="28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  <n v="5035"/>
  </r>
  <r>
    <x v="437"/>
    <x v="29"/>
    <x v="29"/>
    <n v="23"/>
    <x v="40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  <n v="3384"/>
  </r>
  <r>
    <x v="438"/>
    <x v="14"/>
    <x v="14"/>
    <n v="24"/>
    <x v="33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  <n v="3293"/>
  </r>
  <r>
    <x v="439"/>
    <x v="6"/>
    <x v="6"/>
    <n v="27"/>
    <x v="65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  <n v="1218"/>
  </r>
  <r>
    <x v="440"/>
    <x v="10"/>
    <x v="10"/>
    <n v="27"/>
    <x v="68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  <n v="1479"/>
  </r>
  <r>
    <x v="441"/>
    <x v="27"/>
    <x v="27"/>
    <n v="24"/>
    <x v="62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  <n v="1118"/>
  </r>
  <r>
    <x v="442"/>
    <x v="27"/>
    <x v="27"/>
    <n v="31"/>
    <x v="55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  <n v="2016"/>
  </r>
  <r>
    <x v="443"/>
    <x v="4"/>
    <x v="4"/>
    <n v="21"/>
    <x v="20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  <n v="4316"/>
  </r>
  <r>
    <x v="444"/>
    <x v="5"/>
    <x v="5"/>
    <n v="32"/>
    <x v="43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  <n v="2075"/>
  </r>
  <r>
    <x v="445"/>
    <x v="10"/>
    <x v="10"/>
    <n v="24"/>
    <x v="42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  <n v="3362"/>
  </r>
  <r>
    <x v="446"/>
    <x v="21"/>
    <x v="21"/>
    <n v="23"/>
    <x v="5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  <n v="2788"/>
  </r>
  <r>
    <x v="447"/>
    <x v="10"/>
    <x v="10"/>
    <n v="24"/>
    <x v="4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  <n v="2835"/>
  </r>
  <r>
    <x v="448"/>
    <x v="21"/>
    <x v="21"/>
    <n v="21"/>
    <x v="63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  <n v="1248"/>
  </r>
  <r>
    <x v="449"/>
    <x v="22"/>
    <x v="22"/>
    <n v="26"/>
    <x v="66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  <n v="1155"/>
  </r>
  <r>
    <x v="450"/>
    <x v="9"/>
    <x v="9"/>
    <n v="25"/>
    <x v="36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  <n v="3040"/>
  </r>
  <r>
    <x v="451"/>
    <x v="25"/>
    <x v="25"/>
    <n v="25"/>
    <x v="62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  <n v="975"/>
  </r>
  <r>
    <x v="452"/>
    <x v="16"/>
    <x v="16"/>
    <n v="27"/>
    <x v="68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  <n v="1275"/>
  </r>
  <r>
    <x v="453"/>
    <x v="14"/>
    <x v="14"/>
    <n v="31"/>
    <x v="24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  <n v="3404"/>
  </r>
  <r>
    <x v="454"/>
    <x v="21"/>
    <x v="21"/>
    <n v="22"/>
    <x v="59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  <n v="1440"/>
  </r>
  <r>
    <x v="455"/>
    <x v="15"/>
    <x v="15"/>
    <n v="34"/>
    <x v="36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  <n v="2720"/>
  </r>
  <r>
    <x v="456"/>
    <x v="3"/>
    <x v="3"/>
    <n v="20"/>
    <x v="52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  <n v="1541"/>
  </r>
  <r>
    <x v="457"/>
    <x v="27"/>
    <x v="27"/>
    <n v="25"/>
    <x v="69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  <n v="536"/>
  </r>
  <r>
    <x v="458"/>
    <x v="0"/>
    <x v="0"/>
    <n v="25"/>
    <x v="33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  <n v="2479"/>
  </r>
  <r>
    <x v="459"/>
    <x v="22"/>
    <x v="22"/>
    <n v="23"/>
    <x v="7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  <n v="670"/>
  </r>
  <r>
    <x v="460"/>
    <x v="12"/>
    <x v="12"/>
    <n v="26"/>
    <x v="59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  <n v="1320"/>
  </r>
  <r>
    <x v="461"/>
    <x v="29"/>
    <x v="29"/>
    <n v="27"/>
    <x v="71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  <n v="372"/>
  </r>
  <r>
    <x v="462"/>
    <x v="17"/>
    <x v="17"/>
    <n v="27"/>
    <x v="65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  <n v="868"/>
  </r>
  <r>
    <x v="463"/>
    <x v="14"/>
    <x v="14"/>
    <n v="20"/>
    <x v="44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  <n v="1674"/>
  </r>
  <r>
    <x v="464"/>
    <x v="11"/>
    <x v="11"/>
    <n v="27"/>
    <x v="72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  <n v="1281"/>
  </r>
  <r>
    <x v="465"/>
    <x v="26"/>
    <x v="26"/>
    <n v="26"/>
    <x v="7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  <n v="590"/>
  </r>
  <r>
    <x v="466"/>
    <x v="26"/>
    <x v="26"/>
    <n v="26"/>
    <x v="68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  <n v="986"/>
  </r>
  <r>
    <x v="467"/>
    <x v="2"/>
    <x v="2"/>
    <n v="31"/>
    <x v="63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  <n v="896"/>
  </r>
  <r>
    <x v="468"/>
    <x v="14"/>
    <x v="14"/>
    <n v="35"/>
    <x v="66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  <n v="840"/>
  </r>
  <r>
    <x v="469"/>
    <x v="29"/>
    <x v="29"/>
    <n v="25"/>
    <x v="73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  <n v="385"/>
  </r>
  <r>
    <x v="470"/>
    <x v="4"/>
    <x v="4"/>
    <n v="25"/>
    <x v="43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  <n v="1375"/>
  </r>
  <r>
    <x v="471"/>
    <x v="29"/>
    <x v="29"/>
    <n v="23"/>
    <x v="71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  <n v="324"/>
  </r>
  <r>
    <x v="472"/>
    <x v="7"/>
    <x v="7"/>
    <n v="21"/>
    <x v="7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  <n v="530"/>
  </r>
  <r>
    <x v="473"/>
    <x v="15"/>
    <x v="15"/>
    <n v="26"/>
    <x v="67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  <n v="477"/>
  </r>
  <r>
    <x v="474"/>
    <x v="9"/>
    <x v="9"/>
    <n v="22"/>
    <x v="55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  <n v="1272"/>
  </r>
  <r>
    <x v="475"/>
    <x v="26"/>
    <x v="26"/>
    <n v="39"/>
    <x v="57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  <n v="1484"/>
  </r>
  <r>
    <x v="476"/>
    <x v="22"/>
    <x v="22"/>
    <n v="26"/>
    <x v="71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  <n v="312"/>
  </r>
  <r>
    <x v="477"/>
    <x v="10"/>
    <x v="10"/>
    <n v="23"/>
    <x v="43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  <n v="1200"/>
  </r>
  <r>
    <x v="478"/>
    <x v="13"/>
    <x v="13"/>
    <n v="25"/>
    <x v="65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  <n v="644"/>
  </r>
  <r>
    <x v="479"/>
    <x v="17"/>
    <x v="17"/>
    <n v="24"/>
    <x v="74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  <n v="1012"/>
  </r>
  <r>
    <x v="480"/>
    <x v="7"/>
    <x v="7"/>
    <n v="26"/>
    <x v="71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  <n v="258"/>
  </r>
  <r>
    <x v="481"/>
    <x v="6"/>
    <x v="6"/>
    <n v="23"/>
    <x v="63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  <n v="688"/>
  </r>
  <r>
    <x v="482"/>
    <x v="24"/>
    <x v="24"/>
    <n v="26"/>
    <x v="71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  <n v="252"/>
  </r>
  <r>
    <x v="483"/>
    <x v="3"/>
    <x v="3"/>
    <n v="25"/>
    <x v="62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  <n v="494"/>
  </r>
  <r>
    <x v="484"/>
    <x v="15"/>
    <x v="15"/>
    <n v="21"/>
    <x v="7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  <n v="370"/>
  </r>
  <r>
    <x v="485"/>
    <x v="18"/>
    <x v="18"/>
    <n v="27"/>
    <x v="68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  <n v="612"/>
  </r>
  <r>
    <x v="486"/>
    <x v="15"/>
    <x v="15"/>
    <n v="24"/>
    <x v="7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  <n v="180"/>
  </r>
  <r>
    <x v="487"/>
    <x v="0"/>
    <x v="0"/>
    <n v="24"/>
    <x v="72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  <n v="756"/>
  </r>
  <r>
    <x v="488"/>
    <x v="17"/>
    <x v="17"/>
    <n v="23"/>
    <x v="7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  <n v="175"/>
  </r>
  <r>
    <x v="489"/>
    <x v="16"/>
    <x v="16"/>
    <n v="24"/>
    <x v="74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  <n v="770"/>
  </r>
  <r>
    <x v="490"/>
    <x v="5"/>
    <x v="5"/>
    <n v="23"/>
    <x v="63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  <n v="560"/>
  </r>
  <r>
    <x v="491"/>
    <x v="4"/>
    <x v="4"/>
    <n v="22"/>
    <x v="63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  <n v="544"/>
  </r>
  <r>
    <x v="492"/>
    <x v="27"/>
    <x v="27"/>
    <n v="27"/>
    <x v="76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  <n v="374"/>
  </r>
  <r>
    <x v="493"/>
    <x v="4"/>
    <x v="4"/>
    <n v="26"/>
    <x v="46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  <n v="1089"/>
  </r>
  <r>
    <x v="494"/>
    <x v="23"/>
    <x v="23"/>
    <n v="21"/>
    <x v="74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  <n v="726"/>
  </r>
  <r>
    <x v="495"/>
    <x v="2"/>
    <x v="2"/>
    <n v="23"/>
    <x v="50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  <n v="608"/>
  </r>
  <r>
    <x v="496"/>
    <x v="6"/>
    <x v="6"/>
    <n v="31"/>
    <x v="69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  <n v="256"/>
  </r>
  <r>
    <x v="497"/>
    <x v="28"/>
    <x v="28"/>
    <n v="25"/>
    <x v="7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  <n v="320"/>
  </r>
  <r>
    <x v="498"/>
    <x v="2"/>
    <x v="2"/>
    <n v="22"/>
    <x v="55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  <n v="744"/>
  </r>
  <r>
    <x v="499"/>
    <x v="10"/>
    <x v="10"/>
    <n v="19"/>
    <x v="51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  <n v="558"/>
  </r>
  <r>
    <x v="500"/>
    <x v="17"/>
    <x v="17"/>
    <n v="24"/>
    <x v="76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  <n v="330"/>
  </r>
  <r>
    <x v="501"/>
    <x v="3"/>
    <x v="3"/>
    <n v="21"/>
    <x v="72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  <n v="609"/>
  </r>
  <r>
    <x v="502"/>
    <x v="10"/>
    <x v="10"/>
    <n v="28"/>
    <x v="50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  <n v="551"/>
  </r>
  <r>
    <x v="503"/>
    <x v="24"/>
    <x v="24"/>
    <n v="26"/>
    <x v="77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  <n v="112"/>
  </r>
  <r>
    <x v="504"/>
    <x v="6"/>
    <x v="6"/>
    <n v="23"/>
    <x v="65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  <n v="392"/>
  </r>
  <r>
    <x v="505"/>
    <x v="2"/>
    <x v="2"/>
    <n v="23"/>
    <x v="59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  <n v="520"/>
  </r>
  <r>
    <x v="506"/>
    <x v="7"/>
    <x v="7"/>
    <n v="25"/>
    <x v="68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  <n v="408"/>
  </r>
  <r>
    <x v="507"/>
    <x v="25"/>
    <x v="25"/>
    <n v="22"/>
    <x v="63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  <n v="384"/>
  </r>
  <r>
    <x v="508"/>
    <x v="12"/>
    <x v="12"/>
    <n v="23"/>
    <x v="77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  <n v="96"/>
  </r>
  <r>
    <x v="509"/>
    <x v="2"/>
    <x v="2"/>
    <n v="28"/>
    <x v="62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  <n v="299"/>
  </r>
  <r>
    <x v="510"/>
    <x v="11"/>
    <x v="11"/>
    <n v="34"/>
    <x v="67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  <n v="207"/>
  </r>
  <r>
    <x v="511"/>
    <x v="11"/>
    <x v="11"/>
    <n v="26"/>
    <x v="7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  <n v="230"/>
  </r>
  <r>
    <x v="512"/>
    <x v="18"/>
    <x v="18"/>
    <n v="24"/>
    <x v="78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  <n v="264"/>
  </r>
  <r>
    <x v="513"/>
    <x v="13"/>
    <x v="13"/>
    <n v="28"/>
    <x v="71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  <n v="132"/>
  </r>
  <r>
    <x v="514"/>
    <x v="1"/>
    <x v="1"/>
    <n v="21"/>
    <x v="62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  <n v="260"/>
  </r>
  <r>
    <x v="515"/>
    <x v="9"/>
    <x v="9"/>
    <n v="19"/>
    <x v="62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  <n v="234"/>
  </r>
  <r>
    <x v="516"/>
    <x v="3"/>
    <x v="3"/>
    <n v="25"/>
    <x v="7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  <n v="85"/>
  </r>
  <r>
    <x v="517"/>
    <x v="23"/>
    <x v="23"/>
    <n v="26"/>
    <x v="50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  <n v="323"/>
  </r>
  <r>
    <x v="518"/>
    <x v="24"/>
    <x v="24"/>
    <n v="27"/>
    <x v="77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  <n v="64"/>
  </r>
  <r>
    <x v="519"/>
    <x v="19"/>
    <x v="19"/>
    <n v="25"/>
    <x v="71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  <n v="96"/>
  </r>
  <r>
    <x v="520"/>
    <x v="8"/>
    <x v="8"/>
    <n v="22"/>
    <x v="69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  <n v="120"/>
  </r>
  <r>
    <x v="521"/>
    <x v="3"/>
    <x v="3"/>
    <n v="26"/>
    <x v="74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  <n v="330"/>
  </r>
  <r>
    <x v="522"/>
    <x v="1"/>
    <x v="1"/>
    <n v="37"/>
    <x v="50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  <n v="285"/>
  </r>
  <r>
    <x v="523"/>
    <x v="8"/>
    <x v="8"/>
    <n v="24"/>
    <x v="79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  <n v="14"/>
  </r>
  <r>
    <x v="524"/>
    <x v="12"/>
    <x v="12"/>
    <n v="28"/>
    <x v="67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  <n v="126"/>
  </r>
  <r>
    <x v="525"/>
    <x v="14"/>
    <x v="14"/>
    <n v="22"/>
    <x v="67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  <n v="126"/>
  </r>
  <r>
    <x v="526"/>
    <x v="11"/>
    <x v="11"/>
    <n v="23"/>
    <x v="66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  <n v="210"/>
  </r>
  <r>
    <x v="527"/>
    <x v="28"/>
    <x v="28"/>
    <n v="21"/>
    <x v="80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  <n v="42"/>
  </r>
  <r>
    <x v="528"/>
    <x v="23"/>
    <x v="23"/>
    <n v="22"/>
    <x v="62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  <n v="169"/>
  </r>
  <r>
    <x v="529"/>
    <x v="15"/>
    <x v="15"/>
    <n v="23"/>
    <x v="78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  <n v="144"/>
  </r>
  <r>
    <x v="530"/>
    <x v="18"/>
    <x v="18"/>
    <n v="24"/>
    <x v="71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  <n v="66"/>
  </r>
  <r>
    <x v="531"/>
    <x v="9"/>
    <x v="9"/>
    <n v="20"/>
    <x v="71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  <n v="66"/>
  </r>
  <r>
    <x v="532"/>
    <x v="18"/>
    <x v="18"/>
    <n v="24"/>
    <x v="71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  <n v="60"/>
  </r>
  <r>
    <x v="533"/>
    <x v="3"/>
    <x v="3"/>
    <n v="25"/>
    <x v="62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  <n v="117"/>
  </r>
  <r>
    <x v="534"/>
    <x v="10"/>
    <x v="10"/>
    <n v="40"/>
    <x v="80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  <n v="27"/>
  </r>
  <r>
    <x v="535"/>
    <x v="5"/>
    <x v="5"/>
    <n v="24"/>
    <x v="69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  <n v="72"/>
  </r>
  <r>
    <x v="536"/>
    <x v="18"/>
    <x v="18"/>
    <n v="23"/>
    <x v="77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  <n v="32"/>
  </r>
  <r>
    <x v="537"/>
    <x v="17"/>
    <x v="17"/>
    <n v="38"/>
    <x v="78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  <n v="96"/>
  </r>
  <r>
    <x v="538"/>
    <x v="10"/>
    <x v="10"/>
    <n v="24"/>
    <x v="67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  <n v="72"/>
  </r>
  <r>
    <x v="539"/>
    <x v="22"/>
    <x v="22"/>
    <n v="23"/>
    <x v="7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  <n v="40"/>
  </r>
  <r>
    <x v="540"/>
    <x v="4"/>
    <x v="4"/>
    <n v="25"/>
    <x v="80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  <n v="21"/>
  </r>
  <r>
    <x v="541"/>
    <x v="8"/>
    <x v="8"/>
    <n v="23"/>
    <x v="73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  <n v="49"/>
  </r>
  <r>
    <x v="542"/>
    <x v="1"/>
    <x v="1"/>
    <n v="28"/>
    <x v="67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  <n v="63"/>
  </r>
  <r>
    <x v="543"/>
    <x v="17"/>
    <x v="17"/>
    <n v="24"/>
    <x v="79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  <n v="6"/>
  </r>
  <r>
    <x v="544"/>
    <x v="10"/>
    <x v="10"/>
    <n v="24"/>
    <x v="77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  <n v="24"/>
  </r>
  <r>
    <x v="545"/>
    <x v="22"/>
    <x v="22"/>
    <n v="25"/>
    <x v="79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  <n v="6"/>
  </r>
  <r>
    <x v="546"/>
    <x v="23"/>
    <x v="23"/>
    <n v="26"/>
    <x v="81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  <n v="12"/>
  </r>
  <r>
    <x v="547"/>
    <x v="8"/>
    <x v="8"/>
    <n v="25"/>
    <x v="79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  <n v="5"/>
  </r>
  <r>
    <x v="548"/>
    <x v="11"/>
    <x v="11"/>
    <n v="29"/>
    <x v="77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  <n v="20"/>
  </r>
  <r>
    <x v="549"/>
    <x v="26"/>
    <x v="26"/>
    <n v="19"/>
    <x v="73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  <n v="35"/>
  </r>
  <r>
    <x v="550"/>
    <x v="8"/>
    <x v="8"/>
    <n v="25"/>
    <x v="79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  <n v="4"/>
  </r>
  <r>
    <x v="551"/>
    <x v="19"/>
    <x v="19"/>
    <n v="22"/>
    <x v="7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  <n v="20"/>
  </r>
  <r>
    <x v="552"/>
    <x v="29"/>
    <x v="29"/>
    <n v="22"/>
    <x v="7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  <n v="15"/>
  </r>
  <r>
    <x v="553"/>
    <x v="13"/>
    <x v="13"/>
    <n v="28"/>
    <x v="80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  <n v="9"/>
  </r>
  <r>
    <x v="554"/>
    <x v="14"/>
    <x v="14"/>
    <n v="24"/>
    <x v="81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  <n v="6"/>
  </r>
  <r>
    <x v="555"/>
    <x v="1"/>
    <x v="1"/>
    <n v="24"/>
    <x v="69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  <n v="24"/>
  </r>
  <r>
    <x v="556"/>
    <x v="26"/>
    <x v="26"/>
    <n v="24"/>
    <x v="77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  <n v="12"/>
  </r>
  <r>
    <x v="557"/>
    <x v="13"/>
    <x v="13"/>
    <n v="24"/>
    <x v="81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  <n v="4"/>
  </r>
  <r>
    <x v="558"/>
    <x v="0"/>
    <x v="0"/>
    <n v="25"/>
    <x v="71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  <n v="12"/>
  </r>
  <r>
    <x v="559"/>
    <x v="1"/>
    <x v="1"/>
    <n v="23"/>
    <x v="80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  <n v="3"/>
  </r>
  <r>
    <x v="560"/>
    <x v="17"/>
    <x v="17"/>
    <n v="29"/>
    <x v="79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  <n v="0"/>
  </r>
  <r>
    <x v="561"/>
    <x v="16"/>
    <x v="16"/>
    <n v="24"/>
    <x v="80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  <n v="0"/>
  </r>
  <r>
    <x v="562"/>
    <x v="6"/>
    <x v="6"/>
    <n v="24"/>
    <x v="80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  <n v="0"/>
  </r>
  <r>
    <x v="563"/>
    <x v="1"/>
    <x v="1"/>
    <n v="25"/>
    <x v="81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  <n v="0"/>
  </r>
  <r>
    <x v="564"/>
    <x v="20"/>
    <x v="20"/>
    <n v="26"/>
    <x v="81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  <n v="0"/>
  </r>
  <r>
    <x v="565"/>
    <x v="11"/>
    <x v="11"/>
    <n v="28"/>
    <x v="79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  <n v="0"/>
  </r>
  <r>
    <x v="566"/>
    <x v="11"/>
    <x v="11"/>
    <n v="25"/>
    <x v="80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  <n v="0"/>
  </r>
  <r>
    <x v="567"/>
    <x v="19"/>
    <x v="19"/>
    <n v="24"/>
    <x v="79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  <n v="0"/>
  </r>
  <r>
    <x v="568"/>
    <x v="21"/>
    <x v="21"/>
    <n v="27"/>
    <x v="77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810BA-7601-4822-9F49-BB585593323F}" name="Tableau croisé dynamique6" cacheId="1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8" indent="0" outline="1" outlineData="1" multipleFieldFilters="0" chartFormat="3">
  <location ref="A3:D34" firstHeaderRow="0" firstDataRow="1" firstDataCol="2"/>
  <pivotFields count="47">
    <pivotField dataField="1" showAll="0"/>
    <pivotField axis="axisRow" outline="0" showAll="0" defaultSubtotal="0">
      <items count="30">
        <item x="7"/>
        <item x="29"/>
        <item x="4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</items>
    </pivotField>
    <pivotField axis="axisRow" outline="0" showAll="0">
      <items count="31">
        <item x="7"/>
        <item x="4"/>
        <item x="29"/>
        <item x="24"/>
        <item x="18"/>
        <item x="15"/>
        <item x="25"/>
        <item x="2"/>
        <item x="8"/>
        <item x="13"/>
        <item x="12"/>
        <item x="17"/>
        <item x="9"/>
        <item x="14"/>
        <item x="16"/>
        <item x="6"/>
        <item x="3"/>
        <item x="1"/>
        <item x="27"/>
        <item x="10"/>
        <item x="0"/>
        <item x="20"/>
        <item x="22"/>
        <item x="5"/>
        <item x="23"/>
        <item x="11"/>
        <item x="19"/>
        <item x="26"/>
        <item x="28"/>
        <item x="21"/>
        <item t="default"/>
      </items>
    </pivotField>
    <pivotField showAll="0"/>
    <pivotField showAll="0">
      <items count="83">
        <item x="79"/>
        <item x="81"/>
        <item x="80"/>
        <item x="77"/>
        <item x="75"/>
        <item x="71"/>
        <item x="73"/>
        <item x="69"/>
        <item x="67"/>
        <item x="70"/>
        <item x="76"/>
        <item x="78"/>
        <item x="62"/>
        <item x="65"/>
        <item x="66"/>
        <item x="63"/>
        <item x="68"/>
        <item x="51"/>
        <item x="50"/>
        <item x="59"/>
        <item x="72"/>
        <item x="74"/>
        <item x="52"/>
        <item x="55"/>
        <item x="43"/>
        <item x="60"/>
        <item x="44"/>
        <item x="57"/>
        <item x="61"/>
        <item x="37"/>
        <item x="47"/>
        <item x="49"/>
        <item x="46"/>
        <item x="54"/>
        <item x="45"/>
        <item x="40"/>
        <item x="33"/>
        <item x="53"/>
        <item x="58"/>
        <item x="36"/>
        <item x="42"/>
        <item x="32"/>
        <item x="56"/>
        <item x="41"/>
        <item x="48"/>
        <item x="24"/>
        <item x="26"/>
        <item x="64"/>
        <item x="39"/>
        <item x="17"/>
        <item x="23"/>
        <item x="20"/>
        <item x="28"/>
        <item x="34"/>
        <item x="30"/>
        <item x="27"/>
        <item x="29"/>
        <item x="16"/>
        <item x="35"/>
        <item x="15"/>
        <item x="38"/>
        <item x="11"/>
        <item x="18"/>
        <item x="22"/>
        <item x="10"/>
        <item x="31"/>
        <item x="3"/>
        <item x="19"/>
        <item x="13"/>
        <item x="2"/>
        <item x="9"/>
        <item x="4"/>
        <item x="14"/>
        <item x="7"/>
        <item x="5"/>
        <item x="0"/>
        <item x="6"/>
        <item x="12"/>
        <item x="1"/>
        <item x="21"/>
        <item x="25"/>
        <item x="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31">
    <i>
      <x/>
      <x/>
    </i>
    <i>
      <x v="1"/>
      <x v="2"/>
    </i>
    <i>
      <x v="2"/>
      <x v="1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layer" fld="0" subtotal="count" baseField="0" baseItem="0"/>
    <dataField name="Somme de PT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5AEC7-E0AB-4B51-A37F-97543BC09D2B}" name="Tableau croisé dynamique8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4:G24" firstHeaderRow="0" firstDataRow="1" firstDataCol="1" rowPageCount="1" colPageCount="1"/>
  <pivotFields count="47">
    <pivotField axis="axisRow" showAll="0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axis="axisPage" multipleItemSelectionAllowed="1" showAll="0">
      <items count="31">
        <item h="1" x="7"/>
        <item h="1" x="29"/>
        <item h="1" x="4"/>
        <item h="1" x="24"/>
        <item h="1" x="18"/>
        <item h="1" x="15"/>
        <item h="1" x="25"/>
        <item h="1" x="2"/>
        <item x="8"/>
        <item h="1" x="13"/>
        <item h="1" x="12"/>
        <item h="1" x="17"/>
        <item h="1" x="9"/>
        <item h="1" x="14"/>
        <item h="1" x="16"/>
        <item h="1" x="6"/>
        <item h="1" x="3"/>
        <item h="1" x="1"/>
        <item h="1" x="27"/>
        <item h="1" x="10"/>
        <item h="1" x="0"/>
        <item h="1" x="20"/>
        <item h="1" x="22"/>
        <item h="1" x="5"/>
        <item h="1" x="23"/>
        <item h="1" x="11"/>
        <item h="1" x="19"/>
        <item h="1" x="26"/>
        <item h="1" x="28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0">
    <i>
      <x v="18"/>
    </i>
    <i>
      <x v="35"/>
    </i>
    <i>
      <x v="47"/>
    </i>
    <i>
      <x v="68"/>
    </i>
    <i>
      <x v="116"/>
    </i>
    <i>
      <x v="136"/>
    </i>
    <i>
      <x v="202"/>
    </i>
    <i>
      <x v="212"/>
    </i>
    <i>
      <x v="225"/>
    </i>
    <i>
      <x v="362"/>
    </i>
    <i>
      <x v="376"/>
    </i>
    <i>
      <x v="380"/>
    </i>
    <i>
      <x v="449"/>
    </i>
    <i>
      <x v="473"/>
    </i>
    <i>
      <x v="474"/>
    </i>
    <i>
      <x v="493"/>
    </i>
    <i>
      <x v="516"/>
    </i>
    <i>
      <x v="517"/>
    </i>
    <i>
      <x v="5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-1"/>
  </pageFields>
  <dataFields count="6">
    <dataField name="Somme de OREB" fld="18" baseField="0" baseItem="0"/>
    <dataField name="Somme de DREB" fld="19" baseField="0" baseItem="0"/>
    <dataField name="Somme de PIE" fld="44" baseField="0" baseItem="0"/>
    <dataField name="Somme de AST" fld="21" baseField="0" baseItem="0"/>
    <dataField name="Somme de STL" fld="23" baseField="0" baseItem="0"/>
    <dataField name="Somme de BLK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1CDBF9-9F50-435D-8D66-FDF9FF123FF5}" name="Tableau5" displayName="Tableau5" ref="A4:D34" totalsRowShown="0" headerRowDxfId="5">
  <tableColumns count="4">
    <tableColumn id="1" xr3:uid="{DA146415-FCF1-46A4-B7EF-77BD927C2ED3}" name="Code "/>
    <tableColumn id="2" xr3:uid="{FCA62492-8991-4D59-A7C6-0B59497D7772}" name="Nom complet de l'équipe"/>
    <tableColumn id="3" xr3:uid="{8E6D310F-D006-4420-BB36-AF1526FE7FA1}" name="Nombre de joueurs par équipe"/>
    <tableColumn id="4" xr3:uid="{0633BC3A-F267-4153-9D16-771FD8CFC385}" name="  Nombre de points total par équi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1139" Type="http://schemas.openxmlformats.org/officeDocument/2006/relationships/printerSettings" Target="../printerSettings/printerSettings2.bin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player/1629639/" TargetMode="External"/><Relationship Id="rId13" Type="http://schemas.openxmlformats.org/officeDocument/2006/relationships/hyperlink" Target="https://www.nba.com/stats/player/1630162/" TargetMode="External"/><Relationship Id="rId3" Type="http://schemas.openxmlformats.org/officeDocument/2006/relationships/hyperlink" Target="https://www.nba.com/stats/player/203897/" TargetMode="External"/><Relationship Id="rId7" Type="http://schemas.openxmlformats.org/officeDocument/2006/relationships/hyperlink" Target="https://www.nba.com/stats/player/1629027/" TargetMode="External"/><Relationship Id="rId12" Type="http://schemas.openxmlformats.org/officeDocument/2006/relationships/hyperlink" Target="https://www.nba.com/stats/player/203999/" TargetMode="External"/><Relationship Id="rId2" Type="http://schemas.openxmlformats.org/officeDocument/2006/relationships/hyperlink" Target="https://www.nba.com/stats/player/1630224/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https://www.nba.com/stats/player/201939/" TargetMode="External"/><Relationship Id="rId6" Type="http://schemas.openxmlformats.org/officeDocument/2006/relationships/hyperlink" Target="https://www.nba.com/stats/player/1630595/" TargetMode="External"/><Relationship Id="rId11" Type="http://schemas.openxmlformats.org/officeDocument/2006/relationships/hyperlink" Target="https://www.nba.com/stats/player/203507/" TargetMode="External"/><Relationship Id="rId5" Type="http://schemas.openxmlformats.org/officeDocument/2006/relationships/hyperlink" Target="https://www.nba.com/stats/player/201935/" TargetMode="External"/><Relationship Id="rId15" Type="http://schemas.openxmlformats.org/officeDocument/2006/relationships/hyperlink" Target="https://www.nba.com/stats/player/201942/" TargetMode="External"/><Relationship Id="rId10" Type="http://schemas.openxmlformats.org/officeDocument/2006/relationships/hyperlink" Target="https://www.nba.com/stats/player/1628369/" TargetMode="External"/><Relationship Id="rId4" Type="http://schemas.openxmlformats.org/officeDocument/2006/relationships/hyperlink" Target="https://www.nba.com/stats/player/1626157/" TargetMode="External"/><Relationship Id="rId9" Type="http://schemas.openxmlformats.org/officeDocument/2006/relationships/hyperlink" Target="https://www.nba.com/stats/player/1626164/" TargetMode="External"/><Relationship Id="rId14" Type="http://schemas.openxmlformats.org/officeDocument/2006/relationships/hyperlink" Target="https://www.nba.com/stats/player/1628983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1"/>
  <sheetViews>
    <sheetView workbookViewId="0">
      <selection activeCell="D30" sqref="D30"/>
    </sheetView>
  </sheetViews>
  <sheetFormatPr baseColWidth="10" defaultColWidth="12.6640625" defaultRowHeight="15.75" customHeight="1"/>
  <cols>
    <col min="1" max="1" width="8" customWidth="1"/>
    <col min="2" max="2" width="25.77734375" customWidth="1"/>
    <col min="4" max="4" width="17.109375" customWidth="1"/>
  </cols>
  <sheetData>
    <row r="1" spans="1:2">
      <c r="A1" s="27" t="s">
        <v>1179</v>
      </c>
      <c r="B1" s="27" t="s">
        <v>1180</v>
      </c>
    </row>
    <row r="2" spans="1:2">
      <c r="A2" s="26" t="s">
        <v>1181</v>
      </c>
      <c r="B2" s="26" t="s">
        <v>1182</v>
      </c>
    </row>
    <row r="3" spans="1:2">
      <c r="A3" s="12" t="s">
        <v>1183</v>
      </c>
      <c r="B3" s="12" t="s">
        <v>1184</v>
      </c>
    </row>
    <row r="4" spans="1:2">
      <c r="A4" s="12" t="s">
        <v>1185</v>
      </c>
      <c r="B4" s="12" t="s">
        <v>1186</v>
      </c>
    </row>
    <row r="5" spans="1:2">
      <c r="A5" s="12" t="s">
        <v>1187</v>
      </c>
      <c r="B5" s="12" t="s">
        <v>1188</v>
      </c>
    </row>
    <row r="6" spans="1:2">
      <c r="A6" s="12" t="s">
        <v>1189</v>
      </c>
      <c r="B6" s="12" t="s">
        <v>1190</v>
      </c>
    </row>
    <row r="7" spans="1:2">
      <c r="A7" s="12" t="s">
        <v>1191</v>
      </c>
      <c r="B7" s="12" t="s">
        <v>1192</v>
      </c>
    </row>
    <row r="8" spans="1:2">
      <c r="A8" s="12" t="s">
        <v>1193</v>
      </c>
      <c r="B8" s="12" t="s">
        <v>1194</v>
      </c>
    </row>
    <row r="9" spans="1:2">
      <c r="A9" s="12" t="s">
        <v>1195</v>
      </c>
      <c r="B9" s="12" t="s">
        <v>1196</v>
      </c>
    </row>
    <row r="10" spans="1:2">
      <c r="A10" s="12" t="s">
        <v>1197</v>
      </c>
      <c r="B10" s="12" t="s">
        <v>1198</v>
      </c>
    </row>
    <row r="11" spans="1:2">
      <c r="A11" s="12" t="s">
        <v>1199</v>
      </c>
      <c r="B11" s="12" t="s">
        <v>1200</v>
      </c>
    </row>
    <row r="12" spans="1:2">
      <c r="A12" s="12" t="s">
        <v>1201</v>
      </c>
      <c r="B12" s="12" t="s">
        <v>1202</v>
      </c>
    </row>
    <row r="13" spans="1:2">
      <c r="A13" s="12" t="s">
        <v>1203</v>
      </c>
      <c r="B13" s="12" t="s">
        <v>1204</v>
      </c>
    </row>
    <row r="14" spans="1:2">
      <c r="A14" s="12" t="s">
        <v>1205</v>
      </c>
      <c r="B14" s="12" t="s">
        <v>1206</v>
      </c>
    </row>
    <row r="15" spans="1:2">
      <c r="A15" s="12" t="s">
        <v>1207</v>
      </c>
      <c r="B15" s="12" t="s">
        <v>1208</v>
      </c>
    </row>
    <row r="16" spans="1:2">
      <c r="A16" s="12" t="s">
        <v>1209</v>
      </c>
      <c r="B16" s="12" t="s">
        <v>1210</v>
      </c>
    </row>
    <row r="17" spans="1:2">
      <c r="A17" s="12" t="s">
        <v>1211</v>
      </c>
      <c r="B17" s="12" t="s">
        <v>1212</v>
      </c>
    </row>
    <row r="18" spans="1:2">
      <c r="A18" s="12" t="s">
        <v>1213</v>
      </c>
      <c r="B18" s="12" t="s">
        <v>1214</v>
      </c>
    </row>
    <row r="19" spans="1:2">
      <c r="A19" s="12" t="s">
        <v>1215</v>
      </c>
      <c r="B19" s="12" t="s">
        <v>1216</v>
      </c>
    </row>
    <row r="20" spans="1:2">
      <c r="A20" s="12" t="s">
        <v>1217</v>
      </c>
      <c r="B20" s="12" t="s">
        <v>1218</v>
      </c>
    </row>
    <row r="21" spans="1:2">
      <c r="A21" s="12" t="s">
        <v>1219</v>
      </c>
      <c r="B21" s="12" t="s">
        <v>1220</v>
      </c>
    </row>
    <row r="22" spans="1:2">
      <c r="A22" s="12" t="s">
        <v>1221</v>
      </c>
      <c r="B22" s="12" t="s">
        <v>1222</v>
      </c>
    </row>
    <row r="23" spans="1:2">
      <c r="A23" s="12" t="s">
        <v>1223</v>
      </c>
      <c r="B23" s="12" t="s">
        <v>1224</v>
      </c>
    </row>
    <row r="24" spans="1:2">
      <c r="A24" s="12" t="s">
        <v>1225</v>
      </c>
      <c r="B24" s="12" t="s">
        <v>1226</v>
      </c>
    </row>
    <row r="25" spans="1:2">
      <c r="A25" s="12" t="s">
        <v>1227</v>
      </c>
      <c r="B25" s="12" t="s">
        <v>1228</v>
      </c>
    </row>
    <row r="26" spans="1:2">
      <c r="A26" s="12" t="s">
        <v>1229</v>
      </c>
      <c r="B26" s="12" t="s">
        <v>1230</v>
      </c>
    </row>
    <row r="27" spans="1:2">
      <c r="A27" s="12" t="s">
        <v>1231</v>
      </c>
      <c r="B27" s="12" t="s">
        <v>1232</v>
      </c>
    </row>
    <row r="28" spans="1:2">
      <c r="A28" s="12" t="s">
        <v>1233</v>
      </c>
      <c r="B28" s="12" t="s">
        <v>1234</v>
      </c>
    </row>
    <row r="29" spans="1:2">
      <c r="A29" s="12" t="s">
        <v>1235</v>
      </c>
      <c r="B29" s="12" t="s">
        <v>1236</v>
      </c>
    </row>
    <row r="30" spans="1:2">
      <c r="A30" s="12" t="s">
        <v>1237</v>
      </c>
      <c r="B30" s="12" t="s">
        <v>1238</v>
      </c>
    </row>
    <row r="31" spans="1:2">
      <c r="A31" s="12" t="s">
        <v>1239</v>
      </c>
      <c r="B31" s="12" t="s">
        <v>1240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6"/>
  <sheetViews>
    <sheetView zoomScaleNormal="100" workbookViewId="0">
      <selection activeCell="B25" sqref="B25"/>
    </sheetView>
  </sheetViews>
  <sheetFormatPr baseColWidth="10" defaultColWidth="12.6640625" defaultRowHeight="15.75" customHeight="1"/>
  <cols>
    <col min="1" max="1" width="12.6640625" customWidth="1"/>
    <col min="2" max="2" width="53.21875" customWidth="1"/>
  </cols>
  <sheetData>
    <row r="1" spans="1:2">
      <c r="A1" s="77" t="s">
        <v>1241</v>
      </c>
      <c r="B1" s="78"/>
    </row>
    <row r="2" spans="1:2">
      <c r="A2" s="75" t="s">
        <v>0</v>
      </c>
      <c r="B2" s="76" t="s">
        <v>1242</v>
      </c>
    </row>
    <row r="3" spans="1:2">
      <c r="A3" s="75" t="s">
        <v>1</v>
      </c>
      <c r="B3" s="75" t="s">
        <v>1243</v>
      </c>
    </row>
    <row r="4" spans="1:2">
      <c r="A4" s="12" t="s">
        <v>2</v>
      </c>
      <c r="B4" s="12" t="s">
        <v>1244</v>
      </c>
    </row>
    <row r="5" spans="1:2">
      <c r="A5" s="41" t="s">
        <v>3</v>
      </c>
      <c r="B5" s="28" t="s">
        <v>1245</v>
      </c>
    </row>
    <row r="6" spans="1:2">
      <c r="A6" s="12" t="s">
        <v>4</v>
      </c>
      <c r="B6" s="21" t="s">
        <v>1246</v>
      </c>
    </row>
    <row r="7" spans="1:2">
      <c r="A7" s="12" t="s">
        <v>5</v>
      </c>
      <c r="B7" s="21" t="s">
        <v>1247</v>
      </c>
    </row>
    <row r="8" spans="1:2">
      <c r="A8" s="21" t="s">
        <v>6</v>
      </c>
      <c r="B8" s="21" t="s">
        <v>1248</v>
      </c>
    </row>
    <row r="9" spans="1:2">
      <c r="A9" s="30" t="s">
        <v>7</v>
      </c>
      <c r="B9" s="30" t="s">
        <v>1249</v>
      </c>
    </row>
    <row r="10" spans="1:2">
      <c r="A10" s="12" t="s">
        <v>8</v>
      </c>
      <c r="B10" s="21" t="s">
        <v>1250</v>
      </c>
    </row>
    <row r="11" spans="1:2">
      <c r="A11" s="12" t="s">
        <v>9</v>
      </c>
      <c r="B11" s="12" t="s">
        <v>1251</v>
      </c>
    </row>
    <row r="12" spans="1:2">
      <c r="A12" s="29" t="s">
        <v>10</v>
      </c>
      <c r="B12" s="30" t="s">
        <v>1252</v>
      </c>
    </row>
    <row r="13" spans="1:2">
      <c r="A13" s="13">
        <v>0.625</v>
      </c>
      <c r="B13" s="12" t="s">
        <v>1253</v>
      </c>
    </row>
    <row r="14" spans="1:2">
      <c r="A14" s="28" t="s">
        <v>11</v>
      </c>
      <c r="B14" s="41" t="s">
        <v>1254</v>
      </c>
    </row>
    <row r="15" spans="1:2">
      <c r="A15" s="29" t="s">
        <v>12</v>
      </c>
      <c r="B15" s="29" t="s">
        <v>1255</v>
      </c>
    </row>
    <row r="16" spans="1:2">
      <c r="A16" s="28" t="s">
        <v>13</v>
      </c>
      <c r="B16" s="28" t="s">
        <v>1256</v>
      </c>
    </row>
    <row r="17" spans="1:2">
      <c r="A17" s="28" t="s">
        <v>14</v>
      </c>
      <c r="B17" s="28" t="s">
        <v>1257</v>
      </c>
    </row>
    <row r="18" spans="1:2">
      <c r="A18" s="29" t="s">
        <v>15</v>
      </c>
      <c r="B18" s="29" t="s">
        <v>1258</v>
      </c>
    </row>
    <row r="19" spans="1:2">
      <c r="A19" s="31" t="s">
        <v>16</v>
      </c>
      <c r="B19" s="31" t="s">
        <v>1259</v>
      </c>
    </row>
    <row r="20" spans="1:2">
      <c r="A20" s="29" t="s">
        <v>17</v>
      </c>
      <c r="B20" s="30" t="s">
        <v>1260</v>
      </c>
    </row>
    <row r="21" spans="1:2">
      <c r="A21" s="41" t="s">
        <v>18</v>
      </c>
      <c r="B21" s="21" t="s">
        <v>1261</v>
      </c>
    </row>
    <row r="22" spans="1:2">
      <c r="A22" s="30" t="s">
        <v>19</v>
      </c>
      <c r="B22" s="30" t="s">
        <v>1262</v>
      </c>
    </row>
    <row r="23" spans="1:2">
      <c r="A23" s="12" t="s">
        <v>20</v>
      </c>
      <c r="B23" s="21" t="s">
        <v>1263</v>
      </c>
    </row>
    <row r="24" spans="1:2">
      <c r="A24" s="29" t="s">
        <v>21</v>
      </c>
      <c r="B24" s="30" t="s">
        <v>1264</v>
      </c>
    </row>
    <row r="25" spans="1:2">
      <c r="A25" s="29" t="s">
        <v>22</v>
      </c>
      <c r="B25" s="30" t="s">
        <v>1265</v>
      </c>
    </row>
    <row r="26" spans="1:2">
      <c r="A26" s="12" t="s">
        <v>23</v>
      </c>
      <c r="B26" s="21" t="s">
        <v>1266</v>
      </c>
    </row>
    <row r="27" spans="1:2">
      <c r="A27" s="29" t="s">
        <v>24</v>
      </c>
      <c r="B27" s="30" t="s">
        <v>1267</v>
      </c>
    </row>
    <row r="28" spans="1:2">
      <c r="A28" s="12" t="s">
        <v>25</v>
      </c>
      <c r="B28" s="12" t="s">
        <v>1268</v>
      </c>
    </row>
    <row r="29" spans="1:2">
      <c r="A29" s="12" t="s">
        <v>26</v>
      </c>
      <c r="B29" s="12" t="s">
        <v>1269</v>
      </c>
    </row>
    <row r="30" spans="1:2">
      <c r="A30" s="12" t="str">
        <f>"+ / -"</f>
        <v>+ / -</v>
      </c>
      <c r="B30" s="12" t="s">
        <v>1270</v>
      </c>
    </row>
    <row r="31" spans="1:2">
      <c r="A31" s="12" t="s">
        <v>27</v>
      </c>
      <c r="B31" s="12" t="s">
        <v>1271</v>
      </c>
    </row>
    <row r="32" spans="1:2">
      <c r="A32" s="12" t="s">
        <v>28</v>
      </c>
      <c r="B32" s="12" t="s">
        <v>1272</v>
      </c>
    </row>
    <row r="33" spans="1:2">
      <c r="A33" s="12" t="s">
        <v>29</v>
      </c>
      <c r="B33" s="12" t="s">
        <v>1273</v>
      </c>
    </row>
    <row r="34" spans="1:2">
      <c r="A34" s="12" t="s">
        <v>30</v>
      </c>
      <c r="B34" s="12" t="s">
        <v>1274</v>
      </c>
    </row>
    <row r="35" spans="1:2">
      <c r="A35" s="29" t="s">
        <v>31</v>
      </c>
      <c r="B35" s="30" t="s">
        <v>1275</v>
      </c>
    </row>
    <row r="36" spans="1:2">
      <c r="A36" s="12" t="s">
        <v>32</v>
      </c>
      <c r="B36" s="12" t="s">
        <v>1276</v>
      </c>
    </row>
    <row r="37" spans="1:2">
      <c r="A37" s="12" t="s">
        <v>33</v>
      </c>
      <c r="B37" s="12" t="s">
        <v>1277</v>
      </c>
    </row>
    <row r="38" spans="1:2">
      <c r="A38" s="12" t="s">
        <v>34</v>
      </c>
      <c r="B38" s="12" t="s">
        <v>1278</v>
      </c>
    </row>
    <row r="39" spans="1:2">
      <c r="A39" s="12" t="s">
        <v>35</v>
      </c>
      <c r="B39" s="12" t="s">
        <v>1279</v>
      </c>
    </row>
    <row r="40" spans="1:2">
      <c r="A40" s="12" t="s">
        <v>36</v>
      </c>
      <c r="B40" s="12" t="s">
        <v>1280</v>
      </c>
    </row>
    <row r="41" spans="1:2">
      <c r="A41" s="29" t="s">
        <v>37</v>
      </c>
      <c r="B41" s="30" t="s">
        <v>1281</v>
      </c>
    </row>
    <row r="42" spans="1:2">
      <c r="A42" s="28" t="s">
        <v>38</v>
      </c>
      <c r="B42" s="28" t="s">
        <v>1282</v>
      </c>
    </row>
    <row r="43" spans="1:2">
      <c r="A43" s="12" t="s">
        <v>39</v>
      </c>
      <c r="B43" s="12" t="s">
        <v>1283</v>
      </c>
    </row>
    <row r="44" spans="1:2">
      <c r="A44" s="12" t="s">
        <v>40</v>
      </c>
      <c r="B44" s="12" t="s">
        <v>1284</v>
      </c>
    </row>
    <row r="45" spans="1:2">
      <c r="A45" s="29" t="s">
        <v>41</v>
      </c>
      <c r="B45" s="30" t="s">
        <v>1285</v>
      </c>
    </row>
    <row r="46" spans="1:2">
      <c r="A46" s="12" t="s">
        <v>42</v>
      </c>
      <c r="B46" s="12" t="s">
        <v>1286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Q584"/>
  <sheetViews>
    <sheetView workbookViewId="0">
      <selection activeCell="B2" sqref="B2"/>
    </sheetView>
  </sheetViews>
  <sheetFormatPr baseColWidth="10" defaultColWidth="12.6640625" defaultRowHeight="15.75" customHeight="1"/>
  <cols>
    <col min="1" max="1" width="29.33203125" customWidth="1"/>
    <col min="2" max="2" width="9.21875" customWidth="1"/>
    <col min="3" max="3" width="20.21875" style="23" customWidth="1"/>
    <col min="4" max="9" width="6.44140625" customWidth="1"/>
    <col min="10" max="10" width="6.88671875" customWidth="1"/>
    <col min="11" max="11" width="7" customWidth="1"/>
    <col min="12" max="30" width="6.44140625" customWidth="1"/>
    <col min="31" max="31" width="8.88671875" bestFit="1" customWidth="1"/>
    <col min="32" max="32" width="8.77734375" bestFit="1" customWidth="1"/>
    <col min="33" max="34" width="6.44140625" customWidth="1"/>
    <col min="35" max="35" width="9.44140625" customWidth="1"/>
    <col min="36" max="36" width="8.6640625" customWidth="1"/>
    <col min="37" max="39" width="6.44140625" customWidth="1"/>
    <col min="40" max="40" width="8.6640625" customWidth="1"/>
    <col min="41" max="45" width="6.44140625" customWidth="1"/>
    <col min="46" max="46" width="8" customWidth="1"/>
    <col min="47" max="47" width="14.21875" customWidth="1"/>
    <col min="48" max="69" width="6.44140625" customWidth="1"/>
  </cols>
  <sheetData>
    <row r="1" spans="1:69" ht="15.75" customHeight="1">
      <c r="J1" s="46" t="s">
        <v>1</v>
      </c>
      <c r="K1" s="46" t="s">
        <v>1197</v>
      </c>
    </row>
    <row r="2" spans="1:69" ht="15.75" customHeight="1">
      <c r="A2" s="45" t="s">
        <v>1291</v>
      </c>
      <c r="B2" s="47">
        <f>COUNTA(A9:A577)</f>
        <v>569</v>
      </c>
      <c r="C2"/>
      <c r="D2" s="52"/>
      <c r="E2" s="52"/>
      <c r="F2" s="52"/>
      <c r="J2" s="45" t="s">
        <v>1330</v>
      </c>
      <c r="K2" s="46"/>
      <c r="L2" s="46"/>
      <c r="M2" s="46"/>
      <c r="N2" s="46"/>
      <c r="O2" s="47">
        <f>COUNTIF(B9:B577,K1)</f>
        <v>19</v>
      </c>
    </row>
    <row r="3" spans="1:69" ht="15.75" customHeight="1">
      <c r="A3" s="45" t="s">
        <v>1292</v>
      </c>
      <c r="B3" s="47">
        <f>COUNTA(_xlfn.UNIQUE(B9:B577))</f>
        <v>30</v>
      </c>
      <c r="C3"/>
      <c r="D3" s="52"/>
      <c r="E3" s="52"/>
      <c r="F3" s="52"/>
      <c r="J3" s="45" t="s">
        <v>1331</v>
      </c>
      <c r="K3" s="46"/>
      <c r="L3" s="46"/>
      <c r="M3" s="46"/>
      <c r="N3" s="46"/>
      <c r="O3" s="47">
        <f>SUMIF(B9:B577,K1,I9:I577)</f>
        <v>10292</v>
      </c>
    </row>
    <row r="4" spans="1:69" ht="15.75" customHeight="1">
      <c r="A4" s="45" t="s">
        <v>1337</v>
      </c>
      <c r="B4" s="54">
        <f>AVERAGEA(L9:L577)</f>
        <v>44.610896309314569</v>
      </c>
      <c r="C4"/>
      <c r="J4" s="45" t="s">
        <v>1332</v>
      </c>
      <c r="K4" s="46"/>
      <c r="L4" s="46"/>
      <c r="M4" s="46"/>
      <c r="N4" s="46"/>
      <c r="O4" s="47">
        <f>(O3/O2)</f>
        <v>541.68421052631584</v>
      </c>
    </row>
    <row r="5" spans="1:69" ht="15.75" customHeight="1">
      <c r="A5" t="s">
        <v>1334</v>
      </c>
      <c r="C5"/>
      <c r="AU5" s="52"/>
      <c r="AV5" s="52"/>
      <c r="AW5" s="52"/>
      <c r="AX5" s="52"/>
      <c r="AY5" s="52"/>
      <c r="AZ5" s="52"/>
    </row>
    <row r="6" spans="1:69" ht="15.75" customHeight="1">
      <c r="C6"/>
    </row>
    <row r="7" spans="1:69" ht="15.75" customHeight="1">
      <c r="C7"/>
    </row>
    <row r="8" spans="1:69" ht="13.2">
      <c r="A8" t="s">
        <v>0</v>
      </c>
      <c r="B8" s="20" t="s">
        <v>1</v>
      </c>
      <c r="C8" s="40" t="s">
        <v>1180</v>
      </c>
      <c r="D8" s="42" t="s">
        <v>2</v>
      </c>
      <c r="E8" s="42" t="s">
        <v>3</v>
      </c>
      <c r="F8" s="17" t="s">
        <v>4</v>
      </c>
      <c r="G8" s="17" t="s">
        <v>5</v>
      </c>
      <c r="H8" s="43" t="s">
        <v>6</v>
      </c>
      <c r="I8" s="44" t="s">
        <v>7</v>
      </c>
      <c r="J8" s="18" t="s">
        <v>8</v>
      </c>
      <c r="K8" s="18" t="s">
        <v>9</v>
      </c>
      <c r="L8" s="44" t="s">
        <v>10</v>
      </c>
      <c r="M8" s="19">
        <v>0.625</v>
      </c>
      <c r="N8" s="18" t="s">
        <v>11</v>
      </c>
      <c r="O8" s="44" t="s">
        <v>12</v>
      </c>
      <c r="P8" s="18" t="s">
        <v>13</v>
      </c>
      <c r="Q8" s="18" t="s">
        <v>14</v>
      </c>
      <c r="R8" s="18" t="s">
        <v>15</v>
      </c>
      <c r="S8" s="44" t="s">
        <v>16</v>
      </c>
      <c r="T8" s="44" t="s">
        <v>17</v>
      </c>
      <c r="U8" s="44" t="s">
        <v>18</v>
      </c>
      <c r="V8" s="44" t="s">
        <v>19</v>
      </c>
      <c r="W8" s="44" t="s">
        <v>20</v>
      </c>
      <c r="X8" s="44" t="s">
        <v>21</v>
      </c>
      <c r="Y8" s="44" t="s">
        <v>22</v>
      </c>
      <c r="Z8" s="18" t="s">
        <v>23</v>
      </c>
      <c r="AA8" s="44" t="s">
        <v>24</v>
      </c>
      <c r="AB8" s="18" t="s">
        <v>25</v>
      </c>
      <c r="AC8" s="18" t="s">
        <v>26</v>
      </c>
      <c r="AD8" s="17" t="str">
        <f>"+/-"</f>
        <v>+/-</v>
      </c>
      <c r="AE8" s="17" t="s">
        <v>27</v>
      </c>
      <c r="AF8" s="17" t="s">
        <v>28</v>
      </c>
      <c r="AG8" s="17" t="s">
        <v>29</v>
      </c>
      <c r="AH8" s="17" t="s">
        <v>30</v>
      </c>
      <c r="AI8" s="17" t="s">
        <v>31</v>
      </c>
      <c r="AJ8" s="17" t="s">
        <v>32</v>
      </c>
      <c r="AK8" s="17" t="s">
        <v>33</v>
      </c>
      <c r="AL8" s="17" t="s">
        <v>34</v>
      </c>
      <c r="AM8" s="17" t="s">
        <v>35</v>
      </c>
      <c r="AN8" s="17" t="s">
        <v>36</v>
      </c>
      <c r="AO8" s="43" t="s">
        <v>37</v>
      </c>
      <c r="AP8" s="43" t="s">
        <v>38</v>
      </c>
      <c r="AQ8" s="17" t="s">
        <v>39</v>
      </c>
      <c r="AR8" s="17" t="s">
        <v>40</v>
      </c>
      <c r="AS8" s="43" t="s">
        <v>41</v>
      </c>
      <c r="AT8" s="17" t="s">
        <v>42</v>
      </c>
      <c r="AU8" s="18"/>
      <c r="AV8" s="18"/>
      <c r="AW8" s="18"/>
      <c r="AX8" s="19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7"/>
    </row>
    <row r="9" spans="1:69" ht="13.2">
      <c r="A9" s="1" t="s">
        <v>43</v>
      </c>
      <c r="B9" s="1" t="s">
        <v>44</v>
      </c>
      <c r="C9" s="24" t="str">
        <f>VLOOKUP(B9,Equipe!$A$1:$B$31,2,FALSE)</f>
        <v>Oklahoma City Thunder</v>
      </c>
      <c r="D9" s="2">
        <v>26</v>
      </c>
      <c r="E9" s="2">
        <v>76</v>
      </c>
      <c r="F9" s="2">
        <v>63</v>
      </c>
      <c r="G9" s="2">
        <v>13</v>
      </c>
      <c r="H9" s="2">
        <v>34.200000000000003</v>
      </c>
      <c r="I9" s="3">
        <v>2485</v>
      </c>
      <c r="J9" s="4">
        <v>859</v>
      </c>
      <c r="K9" s="4">
        <v>1657</v>
      </c>
      <c r="L9" s="3">
        <v>51.9</v>
      </c>
      <c r="M9" s="4">
        <v>160</v>
      </c>
      <c r="N9" s="4">
        <v>433</v>
      </c>
      <c r="O9" s="3">
        <v>37.5</v>
      </c>
      <c r="P9" s="3">
        <v>600</v>
      </c>
      <c r="Q9" s="3">
        <v>669</v>
      </c>
      <c r="R9" s="3">
        <v>89.8</v>
      </c>
      <c r="S9" s="4">
        <v>68</v>
      </c>
      <c r="T9" s="4">
        <v>312</v>
      </c>
      <c r="U9" s="4">
        <v>380</v>
      </c>
      <c r="V9" s="4">
        <v>486</v>
      </c>
      <c r="W9" s="4">
        <v>182</v>
      </c>
      <c r="X9" s="4">
        <v>129</v>
      </c>
      <c r="Y9" s="4">
        <v>76</v>
      </c>
      <c r="Z9" s="4">
        <v>167</v>
      </c>
      <c r="AA9" s="3">
        <v>4112</v>
      </c>
      <c r="AB9" s="3">
        <v>6</v>
      </c>
      <c r="AC9" s="3">
        <v>0</v>
      </c>
      <c r="AD9" s="2">
        <v>12.1</v>
      </c>
      <c r="AE9" s="2">
        <v>122.4</v>
      </c>
      <c r="AF9" s="2">
        <v>105.7</v>
      </c>
      <c r="AG9" s="2">
        <v>16.7</v>
      </c>
      <c r="AH9" s="2">
        <v>29.9</v>
      </c>
      <c r="AI9" s="2">
        <v>2.66</v>
      </c>
      <c r="AJ9" s="2">
        <v>18.7</v>
      </c>
      <c r="AK9" s="2">
        <v>2.5</v>
      </c>
      <c r="AL9" s="2">
        <v>11.2</v>
      </c>
      <c r="AM9" s="2">
        <v>6.9</v>
      </c>
      <c r="AN9" s="2">
        <v>7</v>
      </c>
      <c r="AO9" s="2">
        <v>56.9</v>
      </c>
      <c r="AP9" s="2">
        <v>63.7</v>
      </c>
      <c r="AQ9" s="2">
        <v>33.6</v>
      </c>
      <c r="AR9" s="2">
        <v>101.91</v>
      </c>
      <c r="AS9" s="2">
        <v>19.899999999999999</v>
      </c>
      <c r="AT9" s="2">
        <v>5514</v>
      </c>
      <c r="AU9" s="53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6"/>
    </row>
    <row r="10" spans="1:69" ht="13.2">
      <c r="A10" s="1" t="s">
        <v>45</v>
      </c>
      <c r="B10" s="1" t="s">
        <v>46</v>
      </c>
      <c r="C10" s="24" t="str">
        <f>VLOOKUP(B10,Equipe!$A$1:$B$31,2,FALSE)</f>
        <v>Minnesota Timberwolves</v>
      </c>
      <c r="D10" s="2">
        <v>23</v>
      </c>
      <c r="E10" s="2">
        <v>79</v>
      </c>
      <c r="F10" s="2">
        <v>48</v>
      </c>
      <c r="G10" s="2">
        <v>31</v>
      </c>
      <c r="H10" s="2">
        <v>36.299999999999997</v>
      </c>
      <c r="I10" s="3">
        <v>2180</v>
      </c>
      <c r="J10" s="4">
        <v>719</v>
      </c>
      <c r="K10" s="4">
        <v>1612</v>
      </c>
      <c r="L10" s="3">
        <v>44.7</v>
      </c>
      <c r="M10" s="4">
        <v>324</v>
      </c>
      <c r="N10" s="4">
        <v>814</v>
      </c>
      <c r="O10" s="3">
        <v>39.5</v>
      </c>
      <c r="P10" s="3">
        <v>419</v>
      </c>
      <c r="Q10" s="3">
        <v>498</v>
      </c>
      <c r="R10" s="3">
        <v>83.7</v>
      </c>
      <c r="S10" s="4">
        <v>63</v>
      </c>
      <c r="T10" s="4">
        <v>387</v>
      </c>
      <c r="U10" s="4">
        <v>450</v>
      </c>
      <c r="V10" s="4">
        <v>356</v>
      </c>
      <c r="W10" s="4">
        <v>253</v>
      </c>
      <c r="X10" s="4">
        <v>95</v>
      </c>
      <c r="Y10" s="4">
        <v>47</v>
      </c>
      <c r="Z10" s="4">
        <v>150</v>
      </c>
      <c r="AA10" s="3">
        <v>3429</v>
      </c>
      <c r="AB10" s="3">
        <v>7</v>
      </c>
      <c r="AC10" s="3">
        <v>0</v>
      </c>
      <c r="AD10" s="2">
        <v>3.7</v>
      </c>
      <c r="AE10" s="2">
        <v>116.2</v>
      </c>
      <c r="AF10" s="2">
        <v>111.4</v>
      </c>
      <c r="AG10" s="2">
        <v>4.8</v>
      </c>
      <c r="AH10" s="2">
        <v>20.9</v>
      </c>
      <c r="AI10" s="2">
        <v>1.44</v>
      </c>
      <c r="AJ10" s="2">
        <v>14.8</v>
      </c>
      <c r="AK10" s="2">
        <v>2.1</v>
      </c>
      <c r="AL10" s="2">
        <v>13.1</v>
      </c>
      <c r="AM10" s="2">
        <v>7.7</v>
      </c>
      <c r="AN10" s="2">
        <v>10.3</v>
      </c>
      <c r="AO10" s="2">
        <v>54.7</v>
      </c>
      <c r="AP10" s="2">
        <v>59.5</v>
      </c>
      <c r="AQ10" s="2">
        <v>30.7</v>
      </c>
      <c r="AR10" s="2">
        <v>98.27</v>
      </c>
      <c r="AS10" s="2">
        <v>14</v>
      </c>
      <c r="AT10" s="2">
        <v>5883</v>
      </c>
      <c r="AU10" s="53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6"/>
    </row>
    <row r="11" spans="1:69" ht="13.2">
      <c r="A11" s="1" t="s">
        <v>47</v>
      </c>
      <c r="B11" s="1" t="s">
        <v>48</v>
      </c>
      <c r="C11" s="24" t="str">
        <f>VLOOKUP(B11,Equipe!$A$1:$B$31,2,FALSE)</f>
        <v>Denver Nuggets</v>
      </c>
      <c r="D11" s="2">
        <v>30</v>
      </c>
      <c r="E11" s="2">
        <v>70</v>
      </c>
      <c r="F11" s="2">
        <v>46</v>
      </c>
      <c r="G11" s="2">
        <v>24</v>
      </c>
      <c r="H11" s="2">
        <v>36.700000000000003</v>
      </c>
      <c r="I11" s="3">
        <v>2072</v>
      </c>
      <c r="J11" s="4">
        <v>784</v>
      </c>
      <c r="K11" s="4">
        <v>1365</v>
      </c>
      <c r="L11" s="3">
        <v>57.6</v>
      </c>
      <c r="M11" s="4">
        <v>140</v>
      </c>
      <c r="N11" s="4">
        <v>329</v>
      </c>
      <c r="O11" s="3">
        <v>41.7</v>
      </c>
      <c r="P11" s="3">
        <v>364</v>
      </c>
      <c r="Q11" s="3">
        <v>448</v>
      </c>
      <c r="R11" s="3">
        <v>80</v>
      </c>
      <c r="S11" s="4">
        <v>203</v>
      </c>
      <c r="T11" s="4">
        <v>693</v>
      </c>
      <c r="U11" s="4">
        <v>889</v>
      </c>
      <c r="V11" s="4">
        <v>714</v>
      </c>
      <c r="W11" s="4">
        <v>231</v>
      </c>
      <c r="X11" s="4">
        <v>126</v>
      </c>
      <c r="Y11" s="4">
        <v>42</v>
      </c>
      <c r="Z11" s="4">
        <v>161</v>
      </c>
      <c r="AA11" s="3">
        <v>4501</v>
      </c>
      <c r="AB11" s="3">
        <v>59</v>
      </c>
      <c r="AC11" s="3">
        <v>34</v>
      </c>
      <c r="AD11" s="2">
        <v>8.5</v>
      </c>
      <c r="AE11" s="2">
        <v>125.6</v>
      </c>
      <c r="AF11" s="2">
        <v>115.1</v>
      </c>
      <c r="AG11" s="2">
        <v>10.5</v>
      </c>
      <c r="AH11" s="2">
        <v>39.799999999999997</v>
      </c>
      <c r="AI11" s="2">
        <v>3.11</v>
      </c>
      <c r="AJ11" s="2">
        <v>28.7</v>
      </c>
      <c r="AK11" s="2">
        <v>8.3000000000000007</v>
      </c>
      <c r="AL11" s="2">
        <v>25.2</v>
      </c>
      <c r="AM11" s="2">
        <v>17.3</v>
      </c>
      <c r="AN11" s="2">
        <v>9.1999999999999993</v>
      </c>
      <c r="AO11" s="2">
        <v>62.7</v>
      </c>
      <c r="AP11" s="2">
        <v>66.3</v>
      </c>
      <c r="AQ11" s="2">
        <v>28.5</v>
      </c>
      <c r="AR11" s="2">
        <v>101.99</v>
      </c>
      <c r="AS11" s="2">
        <v>20.6</v>
      </c>
      <c r="AT11" s="2">
        <v>5471</v>
      </c>
      <c r="AU11" s="53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6"/>
    </row>
    <row r="12" spans="1:69" ht="13.2">
      <c r="A12" s="1" t="s">
        <v>49</v>
      </c>
      <c r="B12" s="1" t="s">
        <v>50</v>
      </c>
      <c r="C12" s="24" t="str">
        <f>VLOOKUP(B12,Equipe!$A$1:$B$31,2,FALSE)</f>
        <v>Milwaukee Bucks</v>
      </c>
      <c r="D12" s="2">
        <v>30</v>
      </c>
      <c r="E12" s="2">
        <v>67</v>
      </c>
      <c r="F12" s="2">
        <v>40</v>
      </c>
      <c r="G12" s="2">
        <v>27</v>
      </c>
      <c r="H12" s="2">
        <v>34.200000000000003</v>
      </c>
      <c r="I12" s="3">
        <v>2037</v>
      </c>
      <c r="J12" s="4">
        <v>791</v>
      </c>
      <c r="K12" s="4">
        <v>1320</v>
      </c>
      <c r="L12" s="3">
        <v>60.1</v>
      </c>
      <c r="M12" s="4">
        <v>13</v>
      </c>
      <c r="N12" s="4">
        <v>60</v>
      </c>
      <c r="O12" s="3">
        <v>22.2</v>
      </c>
      <c r="P12" s="3">
        <v>436</v>
      </c>
      <c r="Q12" s="3">
        <v>710</v>
      </c>
      <c r="R12" s="3">
        <v>61.7</v>
      </c>
      <c r="S12" s="4">
        <v>147</v>
      </c>
      <c r="T12" s="4">
        <v>650</v>
      </c>
      <c r="U12" s="4">
        <v>797</v>
      </c>
      <c r="V12" s="4">
        <v>436</v>
      </c>
      <c r="W12" s="4">
        <v>208</v>
      </c>
      <c r="X12" s="4">
        <v>60</v>
      </c>
      <c r="Y12" s="4">
        <v>80</v>
      </c>
      <c r="Z12" s="4">
        <v>154</v>
      </c>
      <c r="AA12" s="3">
        <v>3846</v>
      </c>
      <c r="AB12" s="3">
        <v>55</v>
      </c>
      <c r="AC12" s="3">
        <v>11</v>
      </c>
      <c r="AD12" s="2">
        <v>5</v>
      </c>
      <c r="AE12" s="2">
        <v>118.9</v>
      </c>
      <c r="AF12" s="2">
        <v>111.7</v>
      </c>
      <c r="AG12" s="2">
        <v>7.2</v>
      </c>
      <c r="AH12" s="2">
        <v>33.9</v>
      </c>
      <c r="AI12" s="2">
        <v>2.1</v>
      </c>
      <c r="AJ12" s="2">
        <v>19.2</v>
      </c>
      <c r="AK12" s="2">
        <v>6.7</v>
      </c>
      <c r="AL12" s="2">
        <v>26.6</v>
      </c>
      <c r="AM12" s="2">
        <v>17.2</v>
      </c>
      <c r="AN12" s="2">
        <v>9.1</v>
      </c>
      <c r="AO12" s="2">
        <v>60.7</v>
      </c>
      <c r="AP12" s="2">
        <v>62.5</v>
      </c>
      <c r="AQ12" s="2">
        <v>34.6</v>
      </c>
      <c r="AR12" s="2">
        <v>100.18</v>
      </c>
      <c r="AS12" s="2">
        <v>21</v>
      </c>
      <c r="AT12" s="2">
        <v>4772</v>
      </c>
      <c r="AU12" s="53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6"/>
    </row>
    <row r="13" spans="1:69" ht="13.2">
      <c r="A13" s="1" t="s">
        <v>51</v>
      </c>
      <c r="B13" s="1" t="s">
        <v>52</v>
      </c>
      <c r="C13" s="24" t="str">
        <f>VLOOKUP(B13,Equipe!$A$1:$B$31,2,FALSE)</f>
        <v>Boston Celtics</v>
      </c>
      <c r="D13" s="2">
        <v>27</v>
      </c>
      <c r="E13" s="2">
        <v>72</v>
      </c>
      <c r="F13" s="2">
        <v>53</v>
      </c>
      <c r="G13" s="2">
        <v>19</v>
      </c>
      <c r="H13" s="2">
        <v>36.4</v>
      </c>
      <c r="I13" s="3">
        <v>1930</v>
      </c>
      <c r="J13" s="4">
        <v>662</v>
      </c>
      <c r="K13" s="4">
        <v>1462</v>
      </c>
      <c r="L13" s="3">
        <v>45.2</v>
      </c>
      <c r="M13" s="4">
        <v>252</v>
      </c>
      <c r="N13" s="4">
        <v>727</v>
      </c>
      <c r="O13" s="3">
        <v>34.299999999999997</v>
      </c>
      <c r="P13" s="3">
        <v>360</v>
      </c>
      <c r="Q13" s="3">
        <v>439</v>
      </c>
      <c r="R13" s="3">
        <v>81.400000000000006</v>
      </c>
      <c r="S13" s="4">
        <v>50</v>
      </c>
      <c r="T13" s="4">
        <v>576</v>
      </c>
      <c r="U13" s="4">
        <v>626</v>
      </c>
      <c r="V13" s="4">
        <v>432</v>
      </c>
      <c r="W13" s="4">
        <v>209</v>
      </c>
      <c r="X13" s="4">
        <v>79</v>
      </c>
      <c r="Y13" s="4">
        <v>36</v>
      </c>
      <c r="Z13" s="4">
        <v>158</v>
      </c>
      <c r="AA13" s="3">
        <v>3456</v>
      </c>
      <c r="AB13" s="3">
        <v>31</v>
      </c>
      <c r="AC13" s="3">
        <v>2</v>
      </c>
      <c r="AD13" s="2">
        <v>7.4</v>
      </c>
      <c r="AE13" s="2">
        <v>119.6</v>
      </c>
      <c r="AF13" s="2">
        <v>109.8</v>
      </c>
      <c r="AG13" s="2">
        <v>9.8000000000000007</v>
      </c>
      <c r="AH13" s="2">
        <v>26.6</v>
      </c>
      <c r="AI13" s="2">
        <v>2.6</v>
      </c>
      <c r="AJ13" s="2">
        <v>18.899999999999999</v>
      </c>
      <c r="AK13" s="2">
        <v>1.7</v>
      </c>
      <c r="AL13" s="2">
        <v>20.6</v>
      </c>
      <c r="AM13" s="2">
        <v>11.2</v>
      </c>
      <c r="AN13" s="2">
        <v>9.1999999999999993</v>
      </c>
      <c r="AO13" s="2">
        <v>53.7</v>
      </c>
      <c r="AP13" s="2">
        <v>58.2</v>
      </c>
      <c r="AQ13" s="2">
        <v>30.1</v>
      </c>
      <c r="AR13" s="2">
        <v>98.14</v>
      </c>
      <c r="AS13" s="2">
        <v>15.8</v>
      </c>
      <c r="AT13" s="2">
        <v>5368</v>
      </c>
      <c r="AU13" s="53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6"/>
    </row>
    <row r="14" spans="1:69" ht="13.2">
      <c r="A14" s="7" t="s">
        <v>53</v>
      </c>
      <c r="B14" s="1" t="s">
        <v>54</v>
      </c>
      <c r="C14" s="24" t="str">
        <f>VLOOKUP(B14,Equipe!$A$1:$B$31,2,FALSE)</f>
        <v>Phoenix Suns</v>
      </c>
      <c r="D14" s="2">
        <v>28</v>
      </c>
      <c r="E14" s="2">
        <v>75</v>
      </c>
      <c r="F14" s="2">
        <v>35</v>
      </c>
      <c r="G14" s="2">
        <v>40</v>
      </c>
      <c r="H14" s="2">
        <v>37.299999999999997</v>
      </c>
      <c r="I14" s="3">
        <v>1920</v>
      </c>
      <c r="J14" s="4">
        <v>653</v>
      </c>
      <c r="K14" s="4">
        <v>1418</v>
      </c>
      <c r="L14" s="3">
        <v>46.1</v>
      </c>
      <c r="M14" s="4">
        <v>180</v>
      </c>
      <c r="N14" s="4">
        <v>548</v>
      </c>
      <c r="O14" s="3">
        <v>33.200000000000003</v>
      </c>
      <c r="P14" s="3">
        <v>435</v>
      </c>
      <c r="Q14" s="3">
        <v>480</v>
      </c>
      <c r="R14" s="3">
        <v>89.4</v>
      </c>
      <c r="S14" s="4">
        <v>75</v>
      </c>
      <c r="T14" s="4">
        <v>233</v>
      </c>
      <c r="U14" s="4">
        <v>308</v>
      </c>
      <c r="V14" s="4">
        <v>533</v>
      </c>
      <c r="W14" s="4">
        <v>218</v>
      </c>
      <c r="X14" s="4">
        <v>68</v>
      </c>
      <c r="Y14" s="4">
        <v>15</v>
      </c>
      <c r="Z14" s="4">
        <v>195</v>
      </c>
      <c r="AA14" s="3">
        <v>3113</v>
      </c>
      <c r="AB14" s="3">
        <v>16</v>
      </c>
      <c r="AC14" s="3">
        <v>0</v>
      </c>
      <c r="AD14" s="2">
        <v>-2.4</v>
      </c>
      <c r="AE14" s="2">
        <v>115.3</v>
      </c>
      <c r="AF14" s="2">
        <v>118.5</v>
      </c>
      <c r="AG14" s="2">
        <v>-3.2</v>
      </c>
      <c r="AH14" s="2">
        <v>30.1</v>
      </c>
      <c r="AI14" s="2">
        <v>2.4</v>
      </c>
      <c r="AJ14" s="2">
        <v>22.4</v>
      </c>
      <c r="AK14" s="2">
        <v>2.8</v>
      </c>
      <c r="AL14" s="2">
        <v>8</v>
      </c>
      <c r="AM14" s="2">
        <v>5.5</v>
      </c>
      <c r="AN14" s="2">
        <v>9.3000000000000007</v>
      </c>
      <c r="AO14" s="2">
        <v>52.5</v>
      </c>
      <c r="AP14" s="2">
        <v>58.9</v>
      </c>
      <c r="AQ14" s="2">
        <v>28.5</v>
      </c>
      <c r="AR14" s="2">
        <v>98.72</v>
      </c>
      <c r="AS14" s="2">
        <v>12.2</v>
      </c>
      <c r="AT14" s="2">
        <v>5752</v>
      </c>
      <c r="AU14" s="53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6"/>
    </row>
    <row r="15" spans="1:69" ht="13.2">
      <c r="A15" s="1" t="s">
        <v>55</v>
      </c>
      <c r="B15" s="1" t="s">
        <v>56</v>
      </c>
      <c r="C15" s="24" t="str">
        <f>VLOOKUP(B15,Equipe!$A$1:$B$31,2,FALSE)</f>
        <v>Miami Heat</v>
      </c>
      <c r="D15" s="2">
        <v>25</v>
      </c>
      <c r="E15" s="2">
        <v>77</v>
      </c>
      <c r="F15" s="2">
        <v>37</v>
      </c>
      <c r="G15" s="2">
        <v>40</v>
      </c>
      <c r="H15" s="2">
        <v>35.4</v>
      </c>
      <c r="I15" s="3">
        <v>1840</v>
      </c>
      <c r="J15" s="4">
        <v>655</v>
      </c>
      <c r="K15" s="4">
        <v>1378</v>
      </c>
      <c r="L15" s="3">
        <v>47.2</v>
      </c>
      <c r="M15" s="4">
        <v>254</v>
      </c>
      <c r="N15" s="4">
        <v>670</v>
      </c>
      <c r="O15" s="3">
        <v>37.5</v>
      </c>
      <c r="P15" s="3">
        <v>285</v>
      </c>
      <c r="Q15" s="3">
        <v>323</v>
      </c>
      <c r="R15" s="3">
        <v>87.8</v>
      </c>
      <c r="S15" s="4">
        <v>39</v>
      </c>
      <c r="T15" s="4">
        <v>362</v>
      </c>
      <c r="U15" s="4">
        <v>400</v>
      </c>
      <c r="V15" s="4">
        <v>424</v>
      </c>
      <c r="W15" s="4">
        <v>200</v>
      </c>
      <c r="X15" s="4">
        <v>69</v>
      </c>
      <c r="Y15" s="4">
        <v>15</v>
      </c>
      <c r="Z15" s="4">
        <v>85</v>
      </c>
      <c r="AA15" s="3">
        <v>3018</v>
      </c>
      <c r="AB15" s="3">
        <v>9</v>
      </c>
      <c r="AC15" s="3">
        <v>0</v>
      </c>
      <c r="AD15" s="2">
        <v>1.3</v>
      </c>
      <c r="AE15" s="2">
        <v>113.9</v>
      </c>
      <c r="AF15" s="2">
        <v>112.6</v>
      </c>
      <c r="AG15" s="2">
        <v>1.3</v>
      </c>
      <c r="AH15" s="2">
        <v>25.4</v>
      </c>
      <c r="AI15" s="2">
        <v>2.14</v>
      </c>
      <c r="AJ15" s="2">
        <v>20</v>
      </c>
      <c r="AK15" s="2">
        <v>1.3</v>
      </c>
      <c r="AL15" s="2">
        <v>13.2</v>
      </c>
      <c r="AM15" s="2">
        <v>7.3</v>
      </c>
      <c r="AN15" s="2">
        <v>9.3000000000000007</v>
      </c>
      <c r="AO15" s="2">
        <v>56.3</v>
      </c>
      <c r="AP15" s="2">
        <v>60.5</v>
      </c>
      <c r="AQ15" s="2">
        <v>27.1</v>
      </c>
      <c r="AR15" s="2">
        <v>97.78</v>
      </c>
      <c r="AS15" s="2">
        <v>13.9</v>
      </c>
      <c r="AT15" s="2">
        <v>5564</v>
      </c>
      <c r="AU15" s="53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6"/>
    </row>
    <row r="16" spans="1:69" ht="13.2">
      <c r="A16" s="1" t="s">
        <v>57</v>
      </c>
      <c r="B16" s="25" t="s">
        <v>1181</v>
      </c>
      <c r="C16" s="24" t="str">
        <f>VLOOKUP(B16,Equipe!$A$1:$B$31,2,FALSE)</f>
        <v>Atlanta Hawks</v>
      </c>
      <c r="D16" s="2">
        <v>26</v>
      </c>
      <c r="E16" s="2">
        <v>76</v>
      </c>
      <c r="F16" s="2">
        <v>36</v>
      </c>
      <c r="G16" s="2">
        <v>40</v>
      </c>
      <c r="H16" s="2">
        <v>36</v>
      </c>
      <c r="I16" s="3">
        <v>1839</v>
      </c>
      <c r="J16" s="4">
        <v>562</v>
      </c>
      <c r="K16" s="4">
        <v>1376</v>
      </c>
      <c r="L16" s="3">
        <v>41.1</v>
      </c>
      <c r="M16" s="4">
        <v>220</v>
      </c>
      <c r="N16" s="4">
        <v>638</v>
      </c>
      <c r="O16" s="3">
        <v>34</v>
      </c>
      <c r="P16" s="3">
        <v>494</v>
      </c>
      <c r="Q16" s="3">
        <v>562</v>
      </c>
      <c r="R16" s="3">
        <v>87.5</v>
      </c>
      <c r="S16" s="4">
        <v>38</v>
      </c>
      <c r="T16" s="4">
        <v>198</v>
      </c>
      <c r="U16" s="4">
        <v>236</v>
      </c>
      <c r="V16" s="4">
        <v>882</v>
      </c>
      <c r="W16" s="4">
        <v>357</v>
      </c>
      <c r="X16" s="4">
        <v>91</v>
      </c>
      <c r="Y16" s="4">
        <v>15</v>
      </c>
      <c r="Z16" s="4">
        <v>144</v>
      </c>
      <c r="AA16" s="3">
        <v>3397</v>
      </c>
      <c r="AB16" s="3">
        <v>51</v>
      </c>
      <c r="AC16" s="3">
        <v>0</v>
      </c>
      <c r="AD16" s="2">
        <v>0.4</v>
      </c>
      <c r="AE16" s="2">
        <v>115.2</v>
      </c>
      <c r="AF16" s="2">
        <v>114.6</v>
      </c>
      <c r="AG16" s="2">
        <v>0.6</v>
      </c>
      <c r="AH16" s="2">
        <v>45.2</v>
      </c>
      <c r="AI16" s="2">
        <v>2.48</v>
      </c>
      <c r="AJ16" s="2">
        <v>30.9</v>
      </c>
      <c r="AK16" s="2">
        <v>1.2</v>
      </c>
      <c r="AL16" s="2">
        <v>7.2</v>
      </c>
      <c r="AM16" s="2">
        <v>4.2</v>
      </c>
      <c r="AN16" s="2">
        <v>12.5</v>
      </c>
      <c r="AO16" s="2">
        <v>49.1</v>
      </c>
      <c r="AP16" s="2">
        <v>56.7</v>
      </c>
      <c r="AQ16" s="2">
        <v>28.5</v>
      </c>
      <c r="AR16" s="2">
        <v>105.51</v>
      </c>
      <c r="AS16" s="2">
        <v>12.9</v>
      </c>
      <c r="AT16" s="2">
        <v>6020</v>
      </c>
      <c r="AU16" s="53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6"/>
    </row>
    <row r="17" spans="1:69" ht="13.2">
      <c r="A17" s="1" t="s">
        <v>58</v>
      </c>
      <c r="B17" s="1" t="s">
        <v>59</v>
      </c>
      <c r="C17" s="24" t="str">
        <f>VLOOKUP(B17,Equipe!$A$1:$B$31,2,FALSE)</f>
        <v>Detroit Pistons</v>
      </c>
      <c r="D17" s="2">
        <v>23</v>
      </c>
      <c r="E17" s="2">
        <v>70</v>
      </c>
      <c r="F17" s="2">
        <v>38</v>
      </c>
      <c r="G17" s="2">
        <v>32</v>
      </c>
      <c r="H17" s="2">
        <v>35</v>
      </c>
      <c r="I17" s="3">
        <v>1827</v>
      </c>
      <c r="J17" s="4">
        <v>686</v>
      </c>
      <c r="K17" s="4">
        <v>1456</v>
      </c>
      <c r="L17" s="3">
        <v>46.9</v>
      </c>
      <c r="M17" s="4">
        <v>147</v>
      </c>
      <c r="N17" s="4">
        <v>420</v>
      </c>
      <c r="O17" s="3">
        <v>35.6</v>
      </c>
      <c r="P17" s="3">
        <v>315</v>
      </c>
      <c r="Q17" s="3">
        <v>371</v>
      </c>
      <c r="R17" s="3">
        <v>84.6</v>
      </c>
      <c r="S17" s="4">
        <v>56</v>
      </c>
      <c r="T17" s="4">
        <v>371</v>
      </c>
      <c r="U17" s="4">
        <v>427</v>
      </c>
      <c r="V17" s="4">
        <v>637</v>
      </c>
      <c r="W17" s="4">
        <v>308</v>
      </c>
      <c r="X17" s="4">
        <v>70</v>
      </c>
      <c r="Y17" s="4">
        <v>56</v>
      </c>
      <c r="Z17" s="4">
        <v>196</v>
      </c>
      <c r="AA17" s="3">
        <v>3360</v>
      </c>
      <c r="AB17" s="3">
        <v>31</v>
      </c>
      <c r="AC17" s="3">
        <v>9</v>
      </c>
      <c r="AD17" s="2">
        <v>2.5</v>
      </c>
      <c r="AE17" s="2">
        <v>115</v>
      </c>
      <c r="AF17" s="2">
        <v>112.2</v>
      </c>
      <c r="AG17" s="2">
        <v>2.8</v>
      </c>
      <c r="AH17" s="2">
        <v>40.9</v>
      </c>
      <c r="AI17" s="2">
        <v>2.06</v>
      </c>
      <c r="AJ17" s="2">
        <v>25</v>
      </c>
      <c r="AK17" s="2">
        <v>2.2999999999999998</v>
      </c>
      <c r="AL17" s="2">
        <v>14.7</v>
      </c>
      <c r="AM17" s="2">
        <v>8.6</v>
      </c>
      <c r="AN17" s="2">
        <v>12.1</v>
      </c>
      <c r="AO17" s="2">
        <v>52.1</v>
      </c>
      <c r="AP17" s="2">
        <v>56.5</v>
      </c>
      <c r="AQ17" s="2">
        <v>32.299999999999997</v>
      </c>
      <c r="AR17" s="2">
        <v>101.57</v>
      </c>
      <c r="AS17" s="2">
        <v>15.2</v>
      </c>
      <c r="AT17" s="2">
        <v>5201</v>
      </c>
      <c r="AU17" s="53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6"/>
    </row>
    <row r="18" spans="1:69" ht="13.2">
      <c r="A18" s="1" t="s">
        <v>60</v>
      </c>
      <c r="B18" s="1" t="s">
        <v>61</v>
      </c>
      <c r="C18" s="24" t="str">
        <f>VLOOKUP(B18,Equipe!$A$1:$B$31,2,FALSE)</f>
        <v>Los Angeles Clippers</v>
      </c>
      <c r="D18" s="2">
        <v>35</v>
      </c>
      <c r="E18" s="2">
        <v>79</v>
      </c>
      <c r="F18" s="2">
        <v>50</v>
      </c>
      <c r="G18" s="2">
        <v>29</v>
      </c>
      <c r="H18" s="2">
        <v>35.299999999999997</v>
      </c>
      <c r="I18" s="3">
        <v>1801</v>
      </c>
      <c r="J18" s="4">
        <v>529</v>
      </c>
      <c r="K18" s="4">
        <v>1296</v>
      </c>
      <c r="L18" s="3">
        <v>41</v>
      </c>
      <c r="M18" s="4">
        <v>237</v>
      </c>
      <c r="N18" s="4">
        <v>672</v>
      </c>
      <c r="O18" s="3">
        <v>35.200000000000003</v>
      </c>
      <c r="P18" s="3">
        <v>506</v>
      </c>
      <c r="Q18" s="3">
        <v>577</v>
      </c>
      <c r="R18" s="3">
        <v>87.4</v>
      </c>
      <c r="S18" s="4">
        <v>55</v>
      </c>
      <c r="T18" s="4">
        <v>403</v>
      </c>
      <c r="U18" s="4">
        <v>458</v>
      </c>
      <c r="V18" s="4">
        <v>687</v>
      </c>
      <c r="W18" s="4">
        <v>340</v>
      </c>
      <c r="X18" s="4">
        <v>119</v>
      </c>
      <c r="Y18" s="4">
        <v>55</v>
      </c>
      <c r="Z18" s="4">
        <v>166</v>
      </c>
      <c r="AA18" s="3">
        <v>3555</v>
      </c>
      <c r="AB18" s="3">
        <v>38</v>
      </c>
      <c r="AC18" s="3">
        <v>3</v>
      </c>
      <c r="AD18" s="2">
        <v>4.4000000000000004</v>
      </c>
      <c r="AE18" s="2">
        <v>115.4</v>
      </c>
      <c r="AF18" s="2">
        <v>109.2</v>
      </c>
      <c r="AG18" s="2">
        <v>6.2</v>
      </c>
      <c r="AH18" s="2">
        <v>36.5</v>
      </c>
      <c r="AI18" s="2">
        <v>2.0099999999999998</v>
      </c>
      <c r="AJ18" s="2">
        <v>26.9</v>
      </c>
      <c r="AK18" s="2">
        <v>2</v>
      </c>
      <c r="AL18" s="2">
        <v>14.3</v>
      </c>
      <c r="AM18" s="2">
        <v>8.3000000000000007</v>
      </c>
      <c r="AN18" s="2">
        <v>13.4</v>
      </c>
      <c r="AO18" s="2">
        <v>50.1</v>
      </c>
      <c r="AP18" s="2">
        <v>58.2</v>
      </c>
      <c r="AQ18" s="2">
        <v>28.6</v>
      </c>
      <c r="AR18" s="2">
        <v>98.82</v>
      </c>
      <c r="AS18" s="2">
        <v>14.5</v>
      </c>
      <c r="AT18" s="2">
        <v>5737</v>
      </c>
      <c r="AU18" s="53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6"/>
    </row>
    <row r="19" spans="1:69" ht="13.2">
      <c r="A19" s="1" t="s">
        <v>62</v>
      </c>
      <c r="B19" s="1" t="s">
        <v>63</v>
      </c>
      <c r="C19" s="24" t="str">
        <f>VLOOKUP(B19,Equipe!$A$1:$B$31,2,FALSE)</f>
        <v>New York Knicks</v>
      </c>
      <c r="D19" s="2">
        <v>29</v>
      </c>
      <c r="E19" s="2">
        <v>72</v>
      </c>
      <c r="F19" s="2">
        <v>46</v>
      </c>
      <c r="G19" s="2">
        <v>26</v>
      </c>
      <c r="H19" s="2">
        <v>35</v>
      </c>
      <c r="I19" s="3">
        <v>1757</v>
      </c>
      <c r="J19" s="4">
        <v>641</v>
      </c>
      <c r="K19" s="4">
        <v>1217</v>
      </c>
      <c r="L19" s="3">
        <v>52.6</v>
      </c>
      <c r="M19" s="4">
        <v>144</v>
      </c>
      <c r="N19" s="4">
        <v>338</v>
      </c>
      <c r="O19" s="3">
        <v>42</v>
      </c>
      <c r="P19" s="3">
        <v>338</v>
      </c>
      <c r="Q19" s="3">
        <v>410</v>
      </c>
      <c r="R19" s="3">
        <v>82.9</v>
      </c>
      <c r="S19" s="4">
        <v>209</v>
      </c>
      <c r="T19" s="4">
        <v>706</v>
      </c>
      <c r="U19" s="4">
        <v>922</v>
      </c>
      <c r="V19" s="4">
        <v>223</v>
      </c>
      <c r="W19" s="4">
        <v>194</v>
      </c>
      <c r="X19" s="4">
        <v>72</v>
      </c>
      <c r="Y19" s="4">
        <v>50</v>
      </c>
      <c r="Z19" s="4">
        <v>252</v>
      </c>
      <c r="AA19" s="3">
        <v>3370</v>
      </c>
      <c r="AB19" s="3">
        <v>58</v>
      </c>
      <c r="AC19" s="3">
        <v>1</v>
      </c>
      <c r="AD19" s="2">
        <v>5.3</v>
      </c>
      <c r="AE19" s="2">
        <v>119.4</v>
      </c>
      <c r="AF19" s="2">
        <v>112.7</v>
      </c>
      <c r="AG19" s="2">
        <v>6.8</v>
      </c>
      <c r="AH19" s="2">
        <v>13</v>
      </c>
      <c r="AI19" s="2">
        <v>1.1599999999999999</v>
      </c>
      <c r="AJ19" s="2">
        <v>12.4</v>
      </c>
      <c r="AK19" s="2">
        <v>8.6999999999999993</v>
      </c>
      <c r="AL19" s="2">
        <v>28.4</v>
      </c>
      <c r="AM19" s="2">
        <v>18.7</v>
      </c>
      <c r="AN19" s="2">
        <v>10.7</v>
      </c>
      <c r="AO19" s="2">
        <v>58.4</v>
      </c>
      <c r="AP19" s="2">
        <v>63</v>
      </c>
      <c r="AQ19" s="2">
        <v>26.5</v>
      </c>
      <c r="AR19" s="2">
        <v>99.25</v>
      </c>
      <c r="AS19" s="2">
        <v>16.100000000000001</v>
      </c>
      <c r="AT19" s="2">
        <v>5215</v>
      </c>
      <c r="AU19" s="53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6"/>
    </row>
    <row r="20" spans="1:69" ht="13.2">
      <c r="A20" s="1" t="s">
        <v>64</v>
      </c>
      <c r="B20" s="1" t="s">
        <v>65</v>
      </c>
      <c r="C20" s="24" t="str">
        <f>VLOOKUP(B20,Equipe!$A$1:$B$31,2,FALSE)</f>
        <v>Sacramento Kings</v>
      </c>
      <c r="D20" s="2">
        <v>30</v>
      </c>
      <c r="E20" s="2">
        <v>74</v>
      </c>
      <c r="F20" s="2">
        <v>32</v>
      </c>
      <c r="G20" s="2">
        <v>42</v>
      </c>
      <c r="H20" s="2">
        <v>35.200000000000003</v>
      </c>
      <c r="I20" s="3">
        <v>1724</v>
      </c>
      <c r="J20" s="4">
        <v>622</v>
      </c>
      <c r="K20" s="4">
        <v>1221</v>
      </c>
      <c r="L20" s="3">
        <v>51.1</v>
      </c>
      <c r="M20" s="4">
        <v>237</v>
      </c>
      <c r="N20" s="4">
        <v>533</v>
      </c>
      <c r="O20" s="3">
        <v>44.6</v>
      </c>
      <c r="P20" s="3">
        <v>237</v>
      </c>
      <c r="Q20" s="3">
        <v>289</v>
      </c>
      <c r="R20" s="3">
        <v>82.5</v>
      </c>
      <c r="S20" s="4">
        <v>22</v>
      </c>
      <c r="T20" s="4">
        <v>296</v>
      </c>
      <c r="U20" s="4">
        <v>318</v>
      </c>
      <c r="V20" s="4">
        <v>311</v>
      </c>
      <c r="W20" s="4">
        <v>207</v>
      </c>
      <c r="X20" s="4">
        <v>59</v>
      </c>
      <c r="Y20" s="4">
        <v>15</v>
      </c>
      <c r="Z20" s="4">
        <v>118</v>
      </c>
      <c r="AA20" s="3">
        <v>2568</v>
      </c>
      <c r="AB20" s="3">
        <v>6</v>
      </c>
      <c r="AC20" s="3">
        <v>0</v>
      </c>
      <c r="AD20" s="2">
        <v>-0.9</v>
      </c>
      <c r="AE20" s="2">
        <v>115.4</v>
      </c>
      <c r="AF20" s="2">
        <v>116.8</v>
      </c>
      <c r="AG20" s="2">
        <v>-1.4</v>
      </c>
      <c r="AH20" s="2">
        <v>17.8</v>
      </c>
      <c r="AI20" s="2">
        <v>1.49</v>
      </c>
      <c r="AJ20" s="2">
        <v>16.7</v>
      </c>
      <c r="AK20" s="2">
        <v>0.9</v>
      </c>
      <c r="AL20" s="2">
        <v>10.7</v>
      </c>
      <c r="AM20" s="2">
        <v>5.9</v>
      </c>
      <c r="AN20" s="2">
        <v>11.2</v>
      </c>
      <c r="AO20" s="2">
        <v>60.9</v>
      </c>
      <c r="AP20" s="2">
        <v>63.9</v>
      </c>
      <c r="AQ20" s="2">
        <v>25.1</v>
      </c>
      <c r="AR20" s="2">
        <v>101.28</v>
      </c>
      <c r="AS20" s="2">
        <v>11.5</v>
      </c>
      <c r="AT20" s="2">
        <v>5493</v>
      </c>
      <c r="AU20" s="53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6"/>
    </row>
    <row r="21" spans="1:69" ht="13.2">
      <c r="A21" s="1" t="s">
        <v>66</v>
      </c>
      <c r="B21" s="1" t="s">
        <v>67</v>
      </c>
      <c r="C21" s="24" t="str">
        <f>VLOOKUP(B21,Equipe!$A$1:$B$31,2,FALSE)</f>
        <v>Houston Rockets</v>
      </c>
      <c r="D21" s="2">
        <v>23</v>
      </c>
      <c r="E21" s="2">
        <v>82</v>
      </c>
      <c r="F21" s="2">
        <v>52</v>
      </c>
      <c r="G21" s="2">
        <v>30</v>
      </c>
      <c r="H21" s="2">
        <v>32.9</v>
      </c>
      <c r="I21" s="3">
        <v>1722</v>
      </c>
      <c r="J21" s="4">
        <v>607</v>
      </c>
      <c r="K21" s="4">
        <v>1435</v>
      </c>
      <c r="L21" s="3">
        <v>42.3</v>
      </c>
      <c r="M21" s="4">
        <v>238</v>
      </c>
      <c r="N21" s="4">
        <v>664</v>
      </c>
      <c r="O21" s="3">
        <v>35.4</v>
      </c>
      <c r="P21" s="3">
        <v>271</v>
      </c>
      <c r="Q21" s="3">
        <v>336</v>
      </c>
      <c r="R21" s="3">
        <v>81.3</v>
      </c>
      <c r="S21" s="4">
        <v>41</v>
      </c>
      <c r="T21" s="4">
        <v>328</v>
      </c>
      <c r="U21" s="4">
        <v>377</v>
      </c>
      <c r="V21" s="4">
        <v>279</v>
      </c>
      <c r="W21" s="4">
        <v>205</v>
      </c>
      <c r="X21" s="4">
        <v>74</v>
      </c>
      <c r="Y21" s="4">
        <v>25</v>
      </c>
      <c r="Z21" s="4">
        <v>123</v>
      </c>
      <c r="AA21" s="3">
        <v>2690</v>
      </c>
      <c r="AB21" s="3">
        <v>4</v>
      </c>
      <c r="AC21" s="3">
        <v>0</v>
      </c>
      <c r="AD21" s="2">
        <v>2</v>
      </c>
      <c r="AE21" s="2">
        <v>113.8</v>
      </c>
      <c r="AF21" s="2">
        <v>111.1</v>
      </c>
      <c r="AG21" s="2">
        <v>2.8</v>
      </c>
      <c r="AH21" s="2">
        <v>15.9</v>
      </c>
      <c r="AI21" s="2">
        <v>1.39</v>
      </c>
      <c r="AJ21" s="2">
        <v>13.7</v>
      </c>
      <c r="AK21" s="2">
        <v>1.5</v>
      </c>
      <c r="AL21" s="2">
        <v>12</v>
      </c>
      <c r="AM21" s="2">
        <v>6.5</v>
      </c>
      <c r="AN21" s="2">
        <v>9.9</v>
      </c>
      <c r="AO21" s="2">
        <v>50.5</v>
      </c>
      <c r="AP21" s="2">
        <v>54.4</v>
      </c>
      <c r="AQ21" s="2">
        <v>26.7</v>
      </c>
      <c r="AR21" s="2">
        <v>99.75</v>
      </c>
      <c r="AS21" s="2">
        <v>11.1</v>
      </c>
      <c r="AT21" s="2">
        <v>5610</v>
      </c>
      <c r="AU21" s="53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6"/>
    </row>
    <row r="22" spans="1:69" ht="13.2">
      <c r="A22" s="1" t="s">
        <v>68</v>
      </c>
      <c r="B22" s="1" t="s">
        <v>69</v>
      </c>
      <c r="C22" s="24" t="str">
        <f>VLOOKUP(B22,Equipe!$A$1:$B$31,2,FALSE)</f>
        <v>Golden State Warriors</v>
      </c>
      <c r="D22" s="2">
        <v>37</v>
      </c>
      <c r="E22" s="2">
        <v>70</v>
      </c>
      <c r="F22" s="2">
        <v>41</v>
      </c>
      <c r="G22" s="2">
        <v>29</v>
      </c>
      <c r="H22" s="2">
        <v>32.200000000000003</v>
      </c>
      <c r="I22" s="3">
        <v>1715</v>
      </c>
      <c r="J22" s="4">
        <v>567</v>
      </c>
      <c r="K22" s="4">
        <v>1260</v>
      </c>
      <c r="L22" s="3">
        <v>44.8</v>
      </c>
      <c r="M22" s="4">
        <v>308</v>
      </c>
      <c r="N22" s="4">
        <v>784</v>
      </c>
      <c r="O22" s="3">
        <v>39.700000000000003</v>
      </c>
      <c r="P22" s="3">
        <v>280</v>
      </c>
      <c r="Q22" s="3">
        <v>301</v>
      </c>
      <c r="R22" s="3">
        <v>93.3</v>
      </c>
      <c r="S22" s="4">
        <v>42</v>
      </c>
      <c r="T22" s="4">
        <v>273</v>
      </c>
      <c r="U22" s="4">
        <v>308</v>
      </c>
      <c r="V22" s="4">
        <v>420</v>
      </c>
      <c r="W22" s="4">
        <v>203</v>
      </c>
      <c r="X22" s="4">
        <v>77</v>
      </c>
      <c r="Y22" s="4">
        <v>28</v>
      </c>
      <c r="Z22" s="4">
        <v>98</v>
      </c>
      <c r="AA22" s="3">
        <v>2849</v>
      </c>
      <c r="AB22" s="3">
        <v>9</v>
      </c>
      <c r="AC22" s="3">
        <v>0</v>
      </c>
      <c r="AD22" s="2">
        <v>4.3</v>
      </c>
      <c r="AE22" s="2">
        <v>118.4</v>
      </c>
      <c r="AF22" s="2">
        <v>112.7</v>
      </c>
      <c r="AG22" s="2">
        <v>5.7</v>
      </c>
      <c r="AH22" s="2">
        <v>28.4</v>
      </c>
      <c r="AI22" s="2">
        <v>2.11</v>
      </c>
      <c r="AJ22" s="2">
        <v>21.1</v>
      </c>
      <c r="AK22" s="2">
        <v>1.7</v>
      </c>
      <c r="AL22" s="2">
        <v>11.8</v>
      </c>
      <c r="AM22" s="2">
        <v>6.6</v>
      </c>
      <c r="AN22" s="2">
        <v>10</v>
      </c>
      <c r="AO22" s="2">
        <v>57.2</v>
      </c>
      <c r="AP22" s="2">
        <v>61.8</v>
      </c>
      <c r="AQ22" s="2">
        <v>28.6</v>
      </c>
      <c r="AR22" s="2">
        <v>101.72</v>
      </c>
      <c r="AS22" s="2">
        <v>14.5</v>
      </c>
      <c r="AT22" s="2">
        <v>4785</v>
      </c>
      <c r="AU22" s="53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6"/>
    </row>
    <row r="23" spans="1:69" ht="13.2">
      <c r="A23" s="1" t="s">
        <v>70</v>
      </c>
      <c r="B23" s="1" t="s">
        <v>71</v>
      </c>
      <c r="C23" s="24" t="str">
        <f>VLOOKUP(B23,Equipe!$A$1:$B$31,2,FALSE)</f>
        <v>Sacramento Kings</v>
      </c>
      <c r="D23" s="2">
        <v>35</v>
      </c>
      <c r="E23" s="2">
        <v>77</v>
      </c>
      <c r="F23" s="2">
        <v>38</v>
      </c>
      <c r="G23" s="2">
        <v>39</v>
      </c>
      <c r="H23" s="2">
        <v>35.9</v>
      </c>
      <c r="I23" s="3">
        <v>1709</v>
      </c>
      <c r="J23" s="4">
        <v>624</v>
      </c>
      <c r="K23" s="4">
        <v>1309</v>
      </c>
      <c r="L23" s="3">
        <v>47.7</v>
      </c>
      <c r="M23" s="4">
        <v>85</v>
      </c>
      <c r="N23" s="4">
        <v>254</v>
      </c>
      <c r="O23" s="3">
        <v>32.799999999999997</v>
      </c>
      <c r="P23" s="3">
        <v>377</v>
      </c>
      <c r="Q23" s="3">
        <v>439</v>
      </c>
      <c r="R23" s="3">
        <v>85.7</v>
      </c>
      <c r="S23" s="4">
        <v>46</v>
      </c>
      <c r="T23" s="4">
        <v>246</v>
      </c>
      <c r="U23" s="4">
        <v>300</v>
      </c>
      <c r="V23" s="4">
        <v>339</v>
      </c>
      <c r="W23" s="4">
        <v>108</v>
      </c>
      <c r="X23" s="4">
        <v>62</v>
      </c>
      <c r="Y23" s="4">
        <v>31</v>
      </c>
      <c r="Z23" s="4">
        <v>146</v>
      </c>
      <c r="AA23" s="3">
        <v>2757</v>
      </c>
      <c r="AB23" s="3">
        <v>3</v>
      </c>
      <c r="AC23" s="3">
        <v>0</v>
      </c>
      <c r="AD23" s="2">
        <v>1.4</v>
      </c>
      <c r="AE23" s="2">
        <v>116.8</v>
      </c>
      <c r="AF23" s="2">
        <v>115.3</v>
      </c>
      <c r="AG23" s="2">
        <v>1.5</v>
      </c>
      <c r="AH23" s="2">
        <v>18.2</v>
      </c>
      <c r="AI23" s="2">
        <v>3.26</v>
      </c>
      <c r="AJ23" s="2">
        <v>17.7</v>
      </c>
      <c r="AK23" s="2">
        <v>1.8</v>
      </c>
      <c r="AL23" s="2">
        <v>9</v>
      </c>
      <c r="AM23" s="2">
        <v>5.4</v>
      </c>
      <c r="AN23" s="2">
        <v>5.4</v>
      </c>
      <c r="AO23" s="2">
        <v>50.9</v>
      </c>
      <c r="AP23" s="2">
        <v>56.9</v>
      </c>
      <c r="AQ23" s="2">
        <v>24.4</v>
      </c>
      <c r="AR23" s="2">
        <v>99.35</v>
      </c>
      <c r="AS23" s="2">
        <v>11.2</v>
      </c>
      <c r="AT23" s="2">
        <v>5740</v>
      </c>
      <c r="AU23" s="53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6"/>
    </row>
    <row r="24" spans="1:69" ht="13.2">
      <c r="A24" s="1" t="s">
        <v>72</v>
      </c>
      <c r="B24" s="1" t="s">
        <v>73</v>
      </c>
      <c r="C24" s="24" t="str">
        <f>VLOOKUP(B24,Equipe!$A$1:$B$31,2,FALSE)</f>
        <v>Los Angeles Lakers</v>
      </c>
      <c r="D24" s="2">
        <v>40</v>
      </c>
      <c r="E24" s="2">
        <v>70</v>
      </c>
      <c r="F24" s="2">
        <v>44</v>
      </c>
      <c r="G24" s="2">
        <v>26</v>
      </c>
      <c r="H24" s="2">
        <v>34.9</v>
      </c>
      <c r="I24" s="3">
        <v>1708</v>
      </c>
      <c r="J24" s="4">
        <v>651</v>
      </c>
      <c r="K24" s="4">
        <v>1267</v>
      </c>
      <c r="L24" s="3">
        <v>51.3</v>
      </c>
      <c r="M24" s="4">
        <v>147</v>
      </c>
      <c r="N24" s="4">
        <v>399</v>
      </c>
      <c r="O24" s="3">
        <v>37.6</v>
      </c>
      <c r="P24" s="3">
        <v>259</v>
      </c>
      <c r="Q24" s="3">
        <v>329</v>
      </c>
      <c r="R24" s="3">
        <v>78.2</v>
      </c>
      <c r="S24" s="4">
        <v>70</v>
      </c>
      <c r="T24" s="4">
        <v>476</v>
      </c>
      <c r="U24" s="4">
        <v>546</v>
      </c>
      <c r="V24" s="4">
        <v>574</v>
      </c>
      <c r="W24" s="4">
        <v>259</v>
      </c>
      <c r="X24" s="4">
        <v>70</v>
      </c>
      <c r="Y24" s="4">
        <v>42</v>
      </c>
      <c r="Z24" s="4">
        <v>98</v>
      </c>
      <c r="AA24" s="3">
        <v>3297</v>
      </c>
      <c r="AB24" s="3">
        <v>32</v>
      </c>
      <c r="AC24" s="3">
        <v>10</v>
      </c>
      <c r="AD24" s="2">
        <v>-0.8</v>
      </c>
      <c r="AE24" s="2">
        <v>112.7</v>
      </c>
      <c r="AF24" s="2">
        <v>114</v>
      </c>
      <c r="AG24" s="2">
        <v>-1.3</v>
      </c>
      <c r="AH24" s="2">
        <v>39.5</v>
      </c>
      <c r="AI24" s="2">
        <v>2.21</v>
      </c>
      <c r="AJ24" s="2">
        <v>25.6</v>
      </c>
      <c r="AK24" s="2">
        <v>3.1</v>
      </c>
      <c r="AL24" s="2">
        <v>18.7</v>
      </c>
      <c r="AM24" s="2">
        <v>11.2</v>
      </c>
      <c r="AN24" s="2">
        <v>11.6</v>
      </c>
      <c r="AO24" s="2">
        <v>57.1</v>
      </c>
      <c r="AP24" s="2">
        <v>60.4</v>
      </c>
      <c r="AQ24" s="2">
        <v>29.1</v>
      </c>
      <c r="AR24" s="2">
        <v>100.62</v>
      </c>
      <c r="AS24" s="2">
        <v>16.899999999999999</v>
      </c>
      <c r="AT24" s="2">
        <v>5129</v>
      </c>
      <c r="AU24" s="53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6"/>
    </row>
    <row r="25" spans="1:69" ht="13.2">
      <c r="A25" s="1" t="s">
        <v>74</v>
      </c>
      <c r="B25" s="1" t="s">
        <v>75</v>
      </c>
      <c r="C25" s="24" t="str">
        <f>VLOOKUP(B25,Equipe!$A$1:$B$31,2,FALSE)</f>
        <v>Cleveland Cavaliers</v>
      </c>
      <c r="D25" s="2">
        <v>28</v>
      </c>
      <c r="E25" s="2">
        <v>71</v>
      </c>
      <c r="F25" s="2">
        <v>55</v>
      </c>
      <c r="G25" s="2">
        <v>16</v>
      </c>
      <c r="H25" s="2">
        <v>31.4</v>
      </c>
      <c r="I25" s="3">
        <v>1704</v>
      </c>
      <c r="J25" s="4">
        <v>582</v>
      </c>
      <c r="K25" s="4">
        <v>1321</v>
      </c>
      <c r="L25" s="3">
        <v>44.3</v>
      </c>
      <c r="M25" s="4">
        <v>234</v>
      </c>
      <c r="N25" s="4">
        <v>632</v>
      </c>
      <c r="O25" s="3">
        <v>36.799999999999997</v>
      </c>
      <c r="P25" s="3">
        <v>298</v>
      </c>
      <c r="Q25" s="3">
        <v>362</v>
      </c>
      <c r="R25" s="3">
        <v>82.3</v>
      </c>
      <c r="S25" s="4">
        <v>57</v>
      </c>
      <c r="T25" s="4">
        <v>263</v>
      </c>
      <c r="U25" s="4">
        <v>320</v>
      </c>
      <c r="V25" s="4">
        <v>355</v>
      </c>
      <c r="W25" s="4">
        <v>149</v>
      </c>
      <c r="X25" s="4">
        <v>92</v>
      </c>
      <c r="Y25" s="4">
        <v>14</v>
      </c>
      <c r="Z25" s="4">
        <v>142</v>
      </c>
      <c r="AA25" s="3">
        <v>2805</v>
      </c>
      <c r="AB25" s="3">
        <v>6</v>
      </c>
      <c r="AC25" s="3">
        <v>0</v>
      </c>
      <c r="AD25" s="2">
        <v>7.4</v>
      </c>
      <c r="AE25" s="2">
        <v>119.7</v>
      </c>
      <c r="AF25" s="2">
        <v>109.1</v>
      </c>
      <c r="AG25" s="2">
        <v>10.5</v>
      </c>
      <c r="AH25" s="2">
        <v>23.8</v>
      </c>
      <c r="AI25" s="2">
        <v>2.38</v>
      </c>
      <c r="AJ25" s="2">
        <v>18</v>
      </c>
      <c r="AK25" s="2">
        <v>2.5</v>
      </c>
      <c r="AL25" s="2">
        <v>11.2</v>
      </c>
      <c r="AM25" s="2">
        <v>6.9</v>
      </c>
      <c r="AN25" s="2">
        <v>7.6</v>
      </c>
      <c r="AO25" s="2">
        <v>53.1</v>
      </c>
      <c r="AP25" s="2">
        <v>57.5</v>
      </c>
      <c r="AQ25" s="2">
        <v>29.8</v>
      </c>
      <c r="AR25" s="2">
        <v>102.21</v>
      </c>
      <c r="AS25" s="2">
        <v>13.7</v>
      </c>
      <c r="AT25" s="2">
        <v>4762</v>
      </c>
      <c r="AU25" s="53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6"/>
    </row>
    <row r="26" spans="1:69" ht="13.2">
      <c r="A26" s="1" t="s">
        <v>76</v>
      </c>
      <c r="B26" s="1" t="s">
        <v>77</v>
      </c>
      <c r="C26" s="24" t="str">
        <f>VLOOKUP(B26,Equipe!$A$1:$B$31,2,FALSE)</f>
        <v>New York Knicks</v>
      </c>
      <c r="D26" s="2">
        <v>28</v>
      </c>
      <c r="E26" s="2">
        <v>65</v>
      </c>
      <c r="F26" s="2">
        <v>40</v>
      </c>
      <c r="G26" s="2">
        <v>25</v>
      </c>
      <c r="H26" s="2">
        <v>35.4</v>
      </c>
      <c r="I26" s="3">
        <v>1690</v>
      </c>
      <c r="J26" s="4">
        <v>585</v>
      </c>
      <c r="K26" s="4">
        <v>1203</v>
      </c>
      <c r="L26" s="3">
        <v>48.8</v>
      </c>
      <c r="M26" s="4">
        <v>150</v>
      </c>
      <c r="N26" s="4">
        <v>397</v>
      </c>
      <c r="O26" s="3">
        <v>38.299999999999997</v>
      </c>
      <c r="P26" s="3">
        <v>371</v>
      </c>
      <c r="Q26" s="3">
        <v>449</v>
      </c>
      <c r="R26" s="3">
        <v>82.1</v>
      </c>
      <c r="S26" s="4">
        <v>26</v>
      </c>
      <c r="T26" s="4">
        <v>163</v>
      </c>
      <c r="U26" s="4">
        <v>189</v>
      </c>
      <c r="V26" s="4">
        <v>475</v>
      </c>
      <c r="W26" s="4">
        <v>163</v>
      </c>
      <c r="X26" s="4">
        <v>59</v>
      </c>
      <c r="Y26" s="4">
        <v>7</v>
      </c>
      <c r="Z26" s="4">
        <v>137</v>
      </c>
      <c r="AA26" s="3">
        <v>2665</v>
      </c>
      <c r="AB26" s="3">
        <v>14</v>
      </c>
      <c r="AC26" s="3">
        <v>0</v>
      </c>
      <c r="AD26" s="2">
        <v>2.2000000000000002</v>
      </c>
      <c r="AE26" s="2">
        <v>118.3</v>
      </c>
      <c r="AF26" s="2">
        <v>115.7</v>
      </c>
      <c r="AG26" s="2">
        <v>2.6</v>
      </c>
      <c r="AH26" s="2">
        <v>31.8</v>
      </c>
      <c r="AI26" s="2">
        <v>2.9</v>
      </c>
      <c r="AJ26" s="2">
        <v>23.5</v>
      </c>
      <c r="AK26" s="2">
        <v>1.2</v>
      </c>
      <c r="AL26" s="2">
        <v>7.2</v>
      </c>
      <c r="AM26" s="2">
        <v>4.2</v>
      </c>
      <c r="AN26" s="2">
        <v>8.1</v>
      </c>
      <c r="AO26" s="2">
        <v>55.1</v>
      </c>
      <c r="AP26" s="2">
        <v>60.5</v>
      </c>
      <c r="AQ26" s="2">
        <v>28.9</v>
      </c>
      <c r="AR26" s="2">
        <v>97.79</v>
      </c>
      <c r="AS26" s="2">
        <v>13.8</v>
      </c>
      <c r="AT26" s="2">
        <v>4697</v>
      </c>
      <c r="AU26" s="53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6"/>
    </row>
    <row r="27" spans="1:69" ht="13.2">
      <c r="A27" s="1" t="s">
        <v>78</v>
      </c>
      <c r="B27" s="1" t="s">
        <v>79</v>
      </c>
      <c r="C27" s="24" t="str">
        <f>VLOOKUP(B27,Equipe!$A$1:$B$31,2,FALSE)</f>
        <v>Phoenix Suns</v>
      </c>
      <c r="D27" s="2">
        <v>36</v>
      </c>
      <c r="E27" s="2">
        <v>62</v>
      </c>
      <c r="F27" s="2">
        <v>33</v>
      </c>
      <c r="G27" s="2">
        <v>29</v>
      </c>
      <c r="H27" s="2">
        <v>36.5</v>
      </c>
      <c r="I27" s="3">
        <v>1649</v>
      </c>
      <c r="J27" s="4">
        <v>589</v>
      </c>
      <c r="K27" s="4">
        <v>1122</v>
      </c>
      <c r="L27" s="3">
        <v>52.7</v>
      </c>
      <c r="M27" s="4">
        <v>161</v>
      </c>
      <c r="N27" s="4">
        <v>372</v>
      </c>
      <c r="O27" s="3">
        <v>43</v>
      </c>
      <c r="P27" s="3">
        <v>304</v>
      </c>
      <c r="Q27" s="3">
        <v>360</v>
      </c>
      <c r="R27" s="3">
        <v>83.9</v>
      </c>
      <c r="S27" s="4">
        <v>25</v>
      </c>
      <c r="T27" s="4">
        <v>353</v>
      </c>
      <c r="U27" s="4">
        <v>372</v>
      </c>
      <c r="V27" s="4">
        <v>260</v>
      </c>
      <c r="W27" s="4">
        <v>192</v>
      </c>
      <c r="X27" s="4">
        <v>50</v>
      </c>
      <c r="Y27" s="4">
        <v>74</v>
      </c>
      <c r="Z27" s="4">
        <v>105</v>
      </c>
      <c r="AA27" s="3">
        <v>2678</v>
      </c>
      <c r="AB27" s="3">
        <v>5</v>
      </c>
      <c r="AC27" s="3">
        <v>0</v>
      </c>
      <c r="AD27" s="2">
        <v>-0.6</v>
      </c>
      <c r="AE27" s="2">
        <v>116.5</v>
      </c>
      <c r="AF27" s="2">
        <v>117.4</v>
      </c>
      <c r="AG27" s="2">
        <v>-1</v>
      </c>
      <c r="AH27" s="2">
        <v>18.8</v>
      </c>
      <c r="AI27" s="2">
        <v>1.38</v>
      </c>
      <c r="AJ27" s="2">
        <v>15.2</v>
      </c>
      <c r="AK27" s="2">
        <v>1.1000000000000001</v>
      </c>
      <c r="AL27" s="2">
        <v>14.7</v>
      </c>
      <c r="AM27" s="2">
        <v>8.4</v>
      </c>
      <c r="AN27" s="2">
        <v>11</v>
      </c>
      <c r="AO27" s="2">
        <v>59.8</v>
      </c>
      <c r="AP27" s="2">
        <v>64.2</v>
      </c>
      <c r="AQ27" s="2">
        <v>28.3</v>
      </c>
      <c r="AR27" s="2">
        <v>99.49</v>
      </c>
      <c r="AS27" s="2">
        <v>14.2</v>
      </c>
      <c r="AT27" s="2">
        <v>4697</v>
      </c>
      <c r="AU27" s="53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6"/>
    </row>
    <row r="28" spans="1:69" ht="13.2">
      <c r="A28" s="8" t="s">
        <v>80</v>
      </c>
      <c r="B28" s="1" t="s">
        <v>81</v>
      </c>
      <c r="C28" s="24" t="str">
        <f>VLOOKUP(B28,Equipe!$A$1:$B$31,2,FALSE)</f>
        <v>Memphis Grizzlies</v>
      </c>
      <c r="D28" s="2">
        <v>25</v>
      </c>
      <c r="E28" s="2">
        <v>74</v>
      </c>
      <c r="F28" s="2">
        <v>42</v>
      </c>
      <c r="G28" s="2">
        <v>32</v>
      </c>
      <c r="H28" s="2">
        <v>29.8</v>
      </c>
      <c r="I28" s="3">
        <v>1643</v>
      </c>
      <c r="J28" s="4">
        <v>592</v>
      </c>
      <c r="K28" s="4">
        <v>1214</v>
      </c>
      <c r="L28" s="3">
        <v>48.8</v>
      </c>
      <c r="M28" s="4">
        <v>148</v>
      </c>
      <c r="N28" s="4">
        <v>392</v>
      </c>
      <c r="O28" s="3">
        <v>37.5</v>
      </c>
      <c r="P28" s="3">
        <v>311</v>
      </c>
      <c r="Q28" s="3">
        <v>400</v>
      </c>
      <c r="R28" s="3">
        <v>78.099999999999994</v>
      </c>
      <c r="S28" s="4">
        <v>89</v>
      </c>
      <c r="T28" s="4">
        <v>326</v>
      </c>
      <c r="U28" s="4">
        <v>414</v>
      </c>
      <c r="V28" s="4">
        <v>148</v>
      </c>
      <c r="W28" s="4">
        <v>155</v>
      </c>
      <c r="X28" s="4">
        <v>89</v>
      </c>
      <c r="Y28" s="4">
        <v>111</v>
      </c>
      <c r="Z28" s="4">
        <v>259</v>
      </c>
      <c r="AA28" s="3">
        <v>2827</v>
      </c>
      <c r="AB28" s="3">
        <v>6</v>
      </c>
      <c r="AC28" s="3">
        <v>0</v>
      </c>
      <c r="AD28" s="2">
        <v>4.5</v>
      </c>
      <c r="AE28" s="2">
        <v>115.2</v>
      </c>
      <c r="AF28" s="2">
        <v>108.8</v>
      </c>
      <c r="AG28" s="2">
        <v>6.4</v>
      </c>
      <c r="AH28" s="2">
        <v>10.199999999999999</v>
      </c>
      <c r="AI28" s="2">
        <v>0.97</v>
      </c>
      <c r="AJ28" s="2">
        <v>8.8000000000000007</v>
      </c>
      <c r="AK28" s="2">
        <v>3.8</v>
      </c>
      <c r="AL28" s="2">
        <v>13.4</v>
      </c>
      <c r="AM28" s="2">
        <v>8.6999999999999993</v>
      </c>
      <c r="AN28" s="2">
        <v>9.1</v>
      </c>
      <c r="AO28" s="2">
        <v>54.8</v>
      </c>
      <c r="AP28" s="2">
        <v>59.1</v>
      </c>
      <c r="AQ28" s="2">
        <v>27.4</v>
      </c>
      <c r="AR28" s="2">
        <v>105.56</v>
      </c>
      <c r="AS28" s="2">
        <v>12.4</v>
      </c>
      <c r="AT28" s="2">
        <v>4863</v>
      </c>
      <c r="AU28" s="53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6"/>
    </row>
    <row r="29" spans="1:69" ht="13.2">
      <c r="A29" s="1" t="s">
        <v>82</v>
      </c>
      <c r="B29" s="1" t="s">
        <v>83</v>
      </c>
      <c r="C29" s="24" t="str">
        <f>VLOOKUP(B29,Equipe!$A$1:$B$31,2,FALSE)</f>
        <v>Indiana Pacers</v>
      </c>
      <c r="D29" s="2">
        <v>31</v>
      </c>
      <c r="E29" s="2">
        <v>78</v>
      </c>
      <c r="F29" s="2">
        <v>47</v>
      </c>
      <c r="G29" s="2">
        <v>31</v>
      </c>
      <c r="H29" s="2">
        <v>32.700000000000003</v>
      </c>
      <c r="I29" s="3">
        <v>1576</v>
      </c>
      <c r="J29" s="4">
        <v>616</v>
      </c>
      <c r="K29" s="4">
        <v>1186</v>
      </c>
      <c r="L29" s="3">
        <v>51.9</v>
      </c>
      <c r="M29" s="4">
        <v>125</v>
      </c>
      <c r="N29" s="4">
        <v>328</v>
      </c>
      <c r="O29" s="3">
        <v>38.9</v>
      </c>
      <c r="P29" s="3">
        <v>226</v>
      </c>
      <c r="Q29" s="3">
        <v>304</v>
      </c>
      <c r="R29" s="3">
        <v>73.400000000000006</v>
      </c>
      <c r="S29" s="4">
        <v>133</v>
      </c>
      <c r="T29" s="4">
        <v>406</v>
      </c>
      <c r="U29" s="4">
        <v>538</v>
      </c>
      <c r="V29" s="4">
        <v>265</v>
      </c>
      <c r="W29" s="4">
        <v>109</v>
      </c>
      <c r="X29" s="4">
        <v>70</v>
      </c>
      <c r="Y29" s="4">
        <v>39</v>
      </c>
      <c r="Z29" s="4">
        <v>187</v>
      </c>
      <c r="AA29" s="3">
        <v>2847</v>
      </c>
      <c r="AB29" s="3">
        <v>11</v>
      </c>
      <c r="AC29" s="3">
        <v>0</v>
      </c>
      <c r="AD29" s="2">
        <v>4</v>
      </c>
      <c r="AE29" s="2">
        <v>114.5</v>
      </c>
      <c r="AF29" s="2">
        <v>108.9</v>
      </c>
      <c r="AG29" s="2">
        <v>5.5</v>
      </c>
      <c r="AH29" s="2">
        <v>15.5</v>
      </c>
      <c r="AI29" s="2">
        <v>2.41</v>
      </c>
      <c r="AJ29" s="2">
        <v>15.6</v>
      </c>
      <c r="AK29" s="2">
        <v>5.3</v>
      </c>
      <c r="AL29" s="2">
        <v>15.4</v>
      </c>
      <c r="AM29" s="2">
        <v>10.4</v>
      </c>
      <c r="AN29" s="2">
        <v>6.5</v>
      </c>
      <c r="AO29" s="2">
        <v>57.2</v>
      </c>
      <c r="AP29" s="2">
        <v>59.9</v>
      </c>
      <c r="AQ29" s="2">
        <v>23.7</v>
      </c>
      <c r="AR29" s="2">
        <v>101.43</v>
      </c>
      <c r="AS29" s="2">
        <v>13</v>
      </c>
      <c r="AT29" s="2">
        <v>5390</v>
      </c>
      <c r="AU29" s="53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6"/>
    </row>
    <row r="30" spans="1:69" ht="13.2">
      <c r="A30" s="1" t="s">
        <v>84</v>
      </c>
      <c r="B30" s="1" t="s">
        <v>85</v>
      </c>
      <c r="C30" s="24" t="str">
        <f>VLOOKUP(B30,Equipe!$A$1:$B$31,2,FALSE)</f>
        <v>Cleveland Cavaliers</v>
      </c>
      <c r="D30" s="2">
        <v>25</v>
      </c>
      <c r="E30" s="2">
        <v>75</v>
      </c>
      <c r="F30" s="2">
        <v>60</v>
      </c>
      <c r="G30" s="2">
        <v>15</v>
      </c>
      <c r="H30" s="2">
        <v>30.7</v>
      </c>
      <c r="I30" s="3">
        <v>1545</v>
      </c>
      <c r="J30" s="4">
        <v>555</v>
      </c>
      <c r="K30" s="4">
        <v>1178</v>
      </c>
      <c r="L30" s="3">
        <v>47.2</v>
      </c>
      <c r="M30" s="4">
        <v>210</v>
      </c>
      <c r="N30" s="4">
        <v>533</v>
      </c>
      <c r="O30" s="3">
        <v>40.1</v>
      </c>
      <c r="P30" s="3">
        <v>225</v>
      </c>
      <c r="Q30" s="3">
        <v>255</v>
      </c>
      <c r="R30" s="3">
        <v>87.8</v>
      </c>
      <c r="S30" s="4">
        <v>45</v>
      </c>
      <c r="T30" s="4">
        <v>165</v>
      </c>
      <c r="U30" s="4">
        <v>218</v>
      </c>
      <c r="V30" s="4">
        <v>503</v>
      </c>
      <c r="W30" s="4">
        <v>188</v>
      </c>
      <c r="X30" s="4">
        <v>90</v>
      </c>
      <c r="Y30" s="4">
        <v>8</v>
      </c>
      <c r="Z30" s="4">
        <v>143</v>
      </c>
      <c r="AA30" s="3">
        <v>2678</v>
      </c>
      <c r="AB30" s="3">
        <v>7</v>
      </c>
      <c r="AC30" s="3">
        <v>0</v>
      </c>
      <c r="AD30" s="2">
        <v>6.7</v>
      </c>
      <c r="AE30" s="2">
        <v>123.2</v>
      </c>
      <c r="AF30" s="2">
        <v>113.4</v>
      </c>
      <c r="AG30" s="2">
        <v>9.9</v>
      </c>
      <c r="AH30" s="2">
        <v>30.9</v>
      </c>
      <c r="AI30" s="2">
        <v>2.68</v>
      </c>
      <c r="AJ30" s="2">
        <v>25.6</v>
      </c>
      <c r="AK30" s="2">
        <v>2.1</v>
      </c>
      <c r="AL30" s="2">
        <v>6.8</v>
      </c>
      <c r="AM30" s="2">
        <v>4.5</v>
      </c>
      <c r="AN30" s="2">
        <v>9.6</v>
      </c>
      <c r="AO30" s="2">
        <v>56.2</v>
      </c>
      <c r="AP30" s="2">
        <v>60</v>
      </c>
      <c r="AQ30" s="2">
        <v>26.5</v>
      </c>
      <c r="AR30" s="2">
        <v>101.32</v>
      </c>
      <c r="AS30" s="2">
        <v>12.6</v>
      </c>
      <c r="AT30" s="2">
        <v>4865</v>
      </c>
      <c r="AU30" s="53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6"/>
    </row>
    <row r="31" spans="1:69" ht="13.2">
      <c r="A31" s="1" t="s">
        <v>86</v>
      </c>
      <c r="B31" s="1" t="s">
        <v>87</v>
      </c>
      <c r="C31" s="24" t="str">
        <f>VLOOKUP(B31,Equipe!$A$1:$B$31,2,FALSE)</f>
        <v>Chicago Bulls</v>
      </c>
      <c r="D31" s="2">
        <v>25</v>
      </c>
      <c r="E31" s="2">
        <v>74</v>
      </c>
      <c r="F31" s="2">
        <v>35</v>
      </c>
      <c r="G31" s="2">
        <v>39</v>
      </c>
      <c r="H31" s="2">
        <v>33.1</v>
      </c>
      <c r="I31" s="3">
        <v>1510</v>
      </c>
      <c r="J31" s="4">
        <v>511</v>
      </c>
      <c r="K31" s="4">
        <v>1117</v>
      </c>
      <c r="L31" s="3">
        <v>45.3</v>
      </c>
      <c r="M31" s="4">
        <v>215</v>
      </c>
      <c r="N31" s="4">
        <v>585</v>
      </c>
      <c r="O31" s="3">
        <v>37</v>
      </c>
      <c r="P31" s="3">
        <v>274</v>
      </c>
      <c r="Q31" s="3">
        <v>303</v>
      </c>
      <c r="R31" s="3">
        <v>90.2</v>
      </c>
      <c r="S31" s="4">
        <v>22</v>
      </c>
      <c r="T31" s="4">
        <v>252</v>
      </c>
      <c r="U31" s="4">
        <v>274</v>
      </c>
      <c r="V31" s="4">
        <v>333</v>
      </c>
      <c r="W31" s="4">
        <v>178</v>
      </c>
      <c r="X31" s="4">
        <v>67</v>
      </c>
      <c r="Y31" s="4">
        <v>15</v>
      </c>
      <c r="Z31" s="4">
        <v>155</v>
      </c>
      <c r="AA31" s="3">
        <v>2412</v>
      </c>
      <c r="AB31" s="3">
        <v>2</v>
      </c>
      <c r="AC31" s="3">
        <v>0</v>
      </c>
      <c r="AD31" s="2">
        <v>-1.9</v>
      </c>
      <c r="AE31" s="2">
        <v>111.5</v>
      </c>
      <c r="AF31" s="2">
        <v>113.9</v>
      </c>
      <c r="AG31" s="2">
        <v>-2.5</v>
      </c>
      <c r="AH31" s="2">
        <v>19.7</v>
      </c>
      <c r="AI31" s="2">
        <v>1.86</v>
      </c>
      <c r="AJ31" s="2">
        <v>18.8</v>
      </c>
      <c r="AK31" s="2">
        <v>1</v>
      </c>
      <c r="AL31" s="2">
        <v>9.5</v>
      </c>
      <c r="AM31" s="2">
        <v>5.3</v>
      </c>
      <c r="AN31" s="2">
        <v>10.1</v>
      </c>
      <c r="AO31" s="2">
        <v>55</v>
      </c>
      <c r="AP31" s="2">
        <v>60.1</v>
      </c>
      <c r="AQ31" s="2">
        <v>23.7</v>
      </c>
      <c r="AR31" s="2">
        <v>105.37</v>
      </c>
      <c r="AS31" s="2">
        <v>10.3</v>
      </c>
      <c r="AT31" s="2">
        <v>5375</v>
      </c>
      <c r="AU31" s="53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6"/>
    </row>
    <row r="32" spans="1:69" ht="13.2">
      <c r="A32" s="1" t="s">
        <v>88</v>
      </c>
      <c r="B32" s="1" t="s">
        <v>89</v>
      </c>
      <c r="C32" s="24" t="str">
        <f>VLOOKUP(B32,Equipe!$A$1:$B$31,2,FALSE)</f>
        <v>Oklahoma City Thunder</v>
      </c>
      <c r="D32" s="2">
        <v>24</v>
      </c>
      <c r="E32" s="2">
        <v>69</v>
      </c>
      <c r="F32" s="2">
        <v>55</v>
      </c>
      <c r="G32" s="2">
        <v>14</v>
      </c>
      <c r="H32" s="2">
        <v>32.4</v>
      </c>
      <c r="I32" s="3">
        <v>1490</v>
      </c>
      <c r="J32" s="4">
        <v>566</v>
      </c>
      <c r="K32" s="4">
        <v>1166</v>
      </c>
      <c r="L32" s="3">
        <v>48.4</v>
      </c>
      <c r="M32" s="4">
        <v>124</v>
      </c>
      <c r="N32" s="4">
        <v>338</v>
      </c>
      <c r="O32" s="3">
        <v>36.5</v>
      </c>
      <c r="P32" s="3">
        <v>235</v>
      </c>
      <c r="Q32" s="3">
        <v>297</v>
      </c>
      <c r="R32" s="3">
        <v>78.900000000000006</v>
      </c>
      <c r="S32" s="4">
        <v>62</v>
      </c>
      <c r="T32" s="4">
        <v>311</v>
      </c>
      <c r="U32" s="4">
        <v>366</v>
      </c>
      <c r="V32" s="4">
        <v>352</v>
      </c>
      <c r="W32" s="4">
        <v>152</v>
      </c>
      <c r="X32" s="4">
        <v>110</v>
      </c>
      <c r="Y32" s="4">
        <v>48</v>
      </c>
      <c r="Z32" s="4">
        <v>159</v>
      </c>
      <c r="AA32" s="3">
        <v>2788</v>
      </c>
      <c r="AB32" s="3">
        <v>3</v>
      </c>
      <c r="AC32" s="3">
        <v>0</v>
      </c>
      <c r="AD32" s="2">
        <v>6.6</v>
      </c>
      <c r="AE32" s="2">
        <v>116.7</v>
      </c>
      <c r="AF32" s="2">
        <v>106.5</v>
      </c>
      <c r="AG32" s="2">
        <v>10.199999999999999</v>
      </c>
      <c r="AH32" s="2">
        <v>23.4</v>
      </c>
      <c r="AI32" s="2">
        <v>2.37</v>
      </c>
      <c r="AJ32" s="2">
        <v>19.7</v>
      </c>
      <c r="AK32" s="2">
        <v>2.6</v>
      </c>
      <c r="AL32" s="2">
        <v>13.1</v>
      </c>
      <c r="AM32" s="2">
        <v>7.9</v>
      </c>
      <c r="AN32" s="2">
        <v>8.3000000000000007</v>
      </c>
      <c r="AO32" s="2">
        <v>53.7</v>
      </c>
      <c r="AP32" s="2">
        <v>57.3</v>
      </c>
      <c r="AQ32" s="2">
        <v>27</v>
      </c>
      <c r="AR32" s="2">
        <v>102.44</v>
      </c>
      <c r="AS32" s="2">
        <v>13.8</v>
      </c>
      <c r="AT32" s="2">
        <v>4760</v>
      </c>
      <c r="AU32" s="53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6"/>
    </row>
    <row r="33" spans="1:69" ht="13.2">
      <c r="A33" s="1" t="s">
        <v>90</v>
      </c>
      <c r="B33" s="1" t="s">
        <v>91</v>
      </c>
      <c r="C33" s="24" t="str">
        <f>VLOOKUP(B33,Equipe!$A$1:$B$31,2,FALSE)</f>
        <v>Los Angeles Lakers</v>
      </c>
      <c r="D33" s="2">
        <v>27</v>
      </c>
      <c r="E33" s="2">
        <v>73</v>
      </c>
      <c r="F33" s="2">
        <v>46</v>
      </c>
      <c r="G33" s="2">
        <v>27</v>
      </c>
      <c r="H33" s="2">
        <v>34.9</v>
      </c>
      <c r="I33" s="3">
        <v>1475</v>
      </c>
      <c r="J33" s="4">
        <v>475</v>
      </c>
      <c r="K33" s="4">
        <v>1037</v>
      </c>
      <c r="L33" s="3">
        <v>46</v>
      </c>
      <c r="M33" s="4">
        <v>197</v>
      </c>
      <c r="N33" s="4">
        <v>533</v>
      </c>
      <c r="O33" s="3">
        <v>37.700000000000003</v>
      </c>
      <c r="P33" s="3">
        <v>321</v>
      </c>
      <c r="Q33" s="3">
        <v>365</v>
      </c>
      <c r="R33" s="3">
        <v>87.7</v>
      </c>
      <c r="S33" s="4">
        <v>58</v>
      </c>
      <c r="T33" s="4">
        <v>270</v>
      </c>
      <c r="U33" s="4">
        <v>329</v>
      </c>
      <c r="V33" s="4">
        <v>423</v>
      </c>
      <c r="W33" s="4">
        <v>175</v>
      </c>
      <c r="X33" s="4">
        <v>80</v>
      </c>
      <c r="Y33" s="4">
        <v>22</v>
      </c>
      <c r="Z33" s="4">
        <v>153</v>
      </c>
      <c r="AA33" s="3">
        <v>2635</v>
      </c>
      <c r="AB33" s="3">
        <v>9</v>
      </c>
      <c r="AC33" s="3">
        <v>1</v>
      </c>
      <c r="AD33" s="2">
        <v>2.7</v>
      </c>
      <c r="AE33" s="2">
        <v>117.1</v>
      </c>
      <c r="AF33" s="2">
        <v>113.3</v>
      </c>
      <c r="AG33" s="2">
        <v>3.8</v>
      </c>
      <c r="AH33" s="2">
        <v>24.1</v>
      </c>
      <c r="AI33" s="2">
        <v>2.38</v>
      </c>
      <c r="AJ33" s="2">
        <v>23.6</v>
      </c>
      <c r="AK33" s="2">
        <v>2.5</v>
      </c>
      <c r="AL33" s="2">
        <v>10.1</v>
      </c>
      <c r="AM33" s="2">
        <v>6.5</v>
      </c>
      <c r="AN33" s="2">
        <v>9.9</v>
      </c>
      <c r="AO33" s="2">
        <v>55.6</v>
      </c>
      <c r="AP33" s="2">
        <v>61.6</v>
      </c>
      <c r="AQ33" s="2">
        <v>23</v>
      </c>
      <c r="AR33" s="2">
        <v>99.86</v>
      </c>
      <c r="AS33" s="2">
        <v>11.8</v>
      </c>
      <c r="AT33" s="2">
        <v>5303</v>
      </c>
      <c r="AU33" s="53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6"/>
    </row>
    <row r="34" spans="1:69" ht="13.2">
      <c r="A34" s="1" t="s">
        <v>92</v>
      </c>
      <c r="B34" s="1" t="s">
        <v>93</v>
      </c>
      <c r="C34" s="24" t="str">
        <f>VLOOKUP(B34,Equipe!$A$1:$B$31,2,FALSE)</f>
        <v>San Antonio Spurs</v>
      </c>
      <c r="D34" s="2">
        <v>27</v>
      </c>
      <c r="E34" s="2">
        <v>62</v>
      </c>
      <c r="F34" s="2">
        <v>27</v>
      </c>
      <c r="G34" s="2">
        <v>35</v>
      </c>
      <c r="H34" s="2">
        <v>36.1</v>
      </c>
      <c r="I34" s="3">
        <v>1457</v>
      </c>
      <c r="J34" s="4">
        <v>539</v>
      </c>
      <c r="K34" s="4">
        <v>1166</v>
      </c>
      <c r="L34" s="3">
        <v>46.3</v>
      </c>
      <c r="M34" s="4">
        <v>118</v>
      </c>
      <c r="N34" s="4">
        <v>378</v>
      </c>
      <c r="O34" s="3">
        <v>31</v>
      </c>
      <c r="P34" s="3">
        <v>260</v>
      </c>
      <c r="Q34" s="3">
        <v>316</v>
      </c>
      <c r="R34" s="3">
        <v>82.7</v>
      </c>
      <c r="S34" s="4">
        <v>56</v>
      </c>
      <c r="T34" s="4">
        <v>242</v>
      </c>
      <c r="U34" s="4">
        <v>298</v>
      </c>
      <c r="V34" s="4">
        <v>391</v>
      </c>
      <c r="W34" s="4">
        <v>174</v>
      </c>
      <c r="X34" s="4">
        <v>93</v>
      </c>
      <c r="Y34" s="4">
        <v>25</v>
      </c>
      <c r="Z34" s="4">
        <v>161</v>
      </c>
      <c r="AA34" s="3">
        <v>2579</v>
      </c>
      <c r="AB34" s="3">
        <v>9</v>
      </c>
      <c r="AC34" s="3">
        <v>0</v>
      </c>
      <c r="AD34" s="2">
        <v>-1.1000000000000001</v>
      </c>
      <c r="AE34" s="2">
        <v>113.7</v>
      </c>
      <c r="AF34" s="2">
        <v>114.9</v>
      </c>
      <c r="AG34" s="2">
        <v>-1.2</v>
      </c>
      <c r="AH34" s="2">
        <v>26.2</v>
      </c>
      <c r="AI34" s="2">
        <v>2.25</v>
      </c>
      <c r="AJ34" s="2">
        <v>21</v>
      </c>
      <c r="AK34" s="2">
        <v>2.2999999999999998</v>
      </c>
      <c r="AL34" s="2">
        <v>10.6</v>
      </c>
      <c r="AM34" s="2">
        <v>6.4</v>
      </c>
      <c r="AN34" s="2">
        <v>9.3000000000000007</v>
      </c>
      <c r="AO34" s="2">
        <v>51.4</v>
      </c>
      <c r="AP34" s="2">
        <v>56</v>
      </c>
      <c r="AQ34" s="2">
        <v>27.4</v>
      </c>
      <c r="AR34" s="2">
        <v>102.22</v>
      </c>
      <c r="AS34" s="2">
        <v>11.9</v>
      </c>
      <c r="AT34" s="2">
        <v>4768</v>
      </c>
      <c r="AU34" s="53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6"/>
    </row>
    <row r="35" spans="1:69" ht="13.2">
      <c r="A35" s="1" t="s">
        <v>94</v>
      </c>
      <c r="B35" s="1" t="s">
        <v>95</v>
      </c>
      <c r="C35" s="24" t="str">
        <f>VLOOKUP(B35,Equipe!$A$1:$B$31,2,FALSE)</f>
        <v>Houston Rockets</v>
      </c>
      <c r="D35" s="2">
        <v>22</v>
      </c>
      <c r="E35" s="2">
        <v>76</v>
      </c>
      <c r="F35" s="2">
        <v>52</v>
      </c>
      <c r="G35" s="2">
        <v>24</v>
      </c>
      <c r="H35" s="2">
        <v>31.5</v>
      </c>
      <c r="I35" s="3">
        <v>1452</v>
      </c>
      <c r="J35" s="4">
        <v>570</v>
      </c>
      <c r="K35" s="4">
        <v>1140</v>
      </c>
      <c r="L35" s="3">
        <v>49.6</v>
      </c>
      <c r="M35" s="4">
        <v>23</v>
      </c>
      <c r="N35" s="4">
        <v>91</v>
      </c>
      <c r="O35" s="3">
        <v>23.3</v>
      </c>
      <c r="P35" s="3">
        <v>296</v>
      </c>
      <c r="Q35" s="3">
        <v>426</v>
      </c>
      <c r="R35" s="3">
        <v>69.2</v>
      </c>
      <c r="S35" s="4">
        <v>258</v>
      </c>
      <c r="T35" s="4">
        <v>524</v>
      </c>
      <c r="U35" s="4">
        <v>783</v>
      </c>
      <c r="V35" s="4">
        <v>372</v>
      </c>
      <c r="W35" s="4">
        <v>198</v>
      </c>
      <c r="X35" s="4">
        <v>84</v>
      </c>
      <c r="Y35" s="4">
        <v>61</v>
      </c>
      <c r="Z35" s="4">
        <v>213</v>
      </c>
      <c r="AA35" s="3">
        <v>3192</v>
      </c>
      <c r="AB35" s="3">
        <v>45</v>
      </c>
      <c r="AC35" s="3">
        <v>4</v>
      </c>
      <c r="AD35" s="2">
        <v>5.4</v>
      </c>
      <c r="AE35" s="2">
        <v>114.9</v>
      </c>
      <c r="AF35" s="2">
        <v>107.4</v>
      </c>
      <c r="AG35" s="2">
        <v>7.6</v>
      </c>
      <c r="AH35" s="2">
        <v>23.8</v>
      </c>
      <c r="AI35" s="2">
        <v>1.92</v>
      </c>
      <c r="AJ35" s="2">
        <v>19.600000000000001</v>
      </c>
      <c r="AK35" s="2">
        <v>9.9</v>
      </c>
      <c r="AL35" s="2">
        <v>21</v>
      </c>
      <c r="AM35" s="2">
        <v>15.3</v>
      </c>
      <c r="AN35" s="2">
        <v>10.199999999999999</v>
      </c>
      <c r="AO35" s="2">
        <v>50.5</v>
      </c>
      <c r="AP35" s="2">
        <v>54.5</v>
      </c>
      <c r="AQ35" s="2">
        <v>25.9</v>
      </c>
      <c r="AR35" s="2">
        <v>99.47</v>
      </c>
      <c r="AS35" s="2">
        <v>15.3</v>
      </c>
      <c r="AT35" s="2">
        <v>4978</v>
      </c>
      <c r="AU35" s="53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6"/>
    </row>
    <row r="36" spans="1:69" ht="13.2">
      <c r="A36" s="1" t="s">
        <v>96</v>
      </c>
      <c r="B36" s="1" t="s">
        <v>97</v>
      </c>
      <c r="C36" s="24" t="str">
        <f>VLOOKUP(B36,Equipe!$A$1:$B$31,2,FALSE)</f>
        <v>Orlando Magic</v>
      </c>
      <c r="D36" s="2">
        <v>23</v>
      </c>
      <c r="E36" s="2">
        <v>60</v>
      </c>
      <c r="F36" s="2">
        <v>33</v>
      </c>
      <c r="G36" s="2">
        <v>27</v>
      </c>
      <c r="H36" s="2">
        <v>33.700000000000003</v>
      </c>
      <c r="I36" s="3">
        <v>1452</v>
      </c>
      <c r="J36" s="4">
        <v>540</v>
      </c>
      <c r="K36" s="4">
        <v>1164</v>
      </c>
      <c r="L36" s="3">
        <v>46.3</v>
      </c>
      <c r="M36" s="4">
        <v>102</v>
      </c>
      <c r="N36" s="4">
        <v>354</v>
      </c>
      <c r="O36" s="3">
        <v>29.5</v>
      </c>
      <c r="P36" s="3">
        <v>270</v>
      </c>
      <c r="Q36" s="3">
        <v>312</v>
      </c>
      <c r="R36" s="3">
        <v>87.1</v>
      </c>
      <c r="S36" s="4">
        <v>54</v>
      </c>
      <c r="T36" s="4">
        <v>288</v>
      </c>
      <c r="U36" s="4">
        <v>342</v>
      </c>
      <c r="V36" s="4">
        <v>282</v>
      </c>
      <c r="W36" s="4">
        <v>138</v>
      </c>
      <c r="X36" s="4">
        <v>78</v>
      </c>
      <c r="Y36" s="4">
        <v>24</v>
      </c>
      <c r="Z36" s="4">
        <v>150</v>
      </c>
      <c r="AA36" s="3">
        <v>2436</v>
      </c>
      <c r="AB36" s="3">
        <v>3</v>
      </c>
      <c r="AC36" s="3">
        <v>0</v>
      </c>
      <c r="AD36" s="2">
        <v>4.0999999999999996</v>
      </c>
      <c r="AE36" s="2">
        <v>111.8</v>
      </c>
      <c r="AF36" s="2">
        <v>105.8</v>
      </c>
      <c r="AG36" s="2">
        <v>6</v>
      </c>
      <c r="AH36" s="2">
        <v>24.7</v>
      </c>
      <c r="AI36" s="2">
        <v>2.06</v>
      </c>
      <c r="AJ36" s="2">
        <v>16.5</v>
      </c>
      <c r="AK36" s="2">
        <v>2.7</v>
      </c>
      <c r="AL36" s="2">
        <v>14.6</v>
      </c>
      <c r="AM36" s="2">
        <v>8.5</v>
      </c>
      <c r="AN36" s="2">
        <v>8</v>
      </c>
      <c r="AO36" s="2">
        <v>50.7</v>
      </c>
      <c r="AP36" s="2">
        <v>55.8</v>
      </c>
      <c r="AQ36" s="2">
        <v>30.6</v>
      </c>
      <c r="AR36" s="2">
        <v>97.65</v>
      </c>
      <c r="AS36" s="2">
        <v>15.3</v>
      </c>
      <c r="AT36" s="2">
        <v>4116</v>
      </c>
      <c r="AU36" s="53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6"/>
    </row>
    <row r="37" spans="1:69" ht="13.2">
      <c r="A37" s="1" t="s">
        <v>98</v>
      </c>
      <c r="B37" s="1" t="s">
        <v>99</v>
      </c>
      <c r="C37" s="24" t="str">
        <f>VLOOKUP(B37,Equipe!$A$1:$B$31,2,FALSE)</f>
        <v>Milwaukee Bucks</v>
      </c>
      <c r="D37" s="2">
        <v>34</v>
      </c>
      <c r="E37" s="2">
        <v>58</v>
      </c>
      <c r="F37" s="2">
        <v>32</v>
      </c>
      <c r="G37" s="2">
        <v>26</v>
      </c>
      <c r="H37" s="2">
        <v>36.1</v>
      </c>
      <c r="I37" s="3">
        <v>1444</v>
      </c>
      <c r="J37" s="4">
        <v>447</v>
      </c>
      <c r="K37" s="4">
        <v>992</v>
      </c>
      <c r="L37" s="3">
        <v>44.8</v>
      </c>
      <c r="M37" s="4">
        <v>197</v>
      </c>
      <c r="N37" s="4">
        <v>522</v>
      </c>
      <c r="O37" s="3">
        <v>37.6</v>
      </c>
      <c r="P37" s="3">
        <v>360</v>
      </c>
      <c r="Q37" s="3">
        <v>394</v>
      </c>
      <c r="R37" s="3">
        <v>92.1</v>
      </c>
      <c r="S37" s="4">
        <v>29</v>
      </c>
      <c r="T37" s="4">
        <v>244</v>
      </c>
      <c r="U37" s="4">
        <v>273</v>
      </c>
      <c r="V37" s="4">
        <v>412</v>
      </c>
      <c r="W37" s="4">
        <v>162</v>
      </c>
      <c r="X37" s="4">
        <v>70</v>
      </c>
      <c r="Y37" s="4">
        <v>12</v>
      </c>
      <c r="Z37" s="4">
        <v>99</v>
      </c>
      <c r="AA37" s="3">
        <v>2465</v>
      </c>
      <c r="AB37" s="3">
        <v>14</v>
      </c>
      <c r="AC37" s="3">
        <v>2</v>
      </c>
      <c r="AD37" s="2">
        <v>0.9</v>
      </c>
      <c r="AE37" s="2">
        <v>115.3</v>
      </c>
      <c r="AF37" s="2">
        <v>114.6</v>
      </c>
      <c r="AG37" s="2">
        <v>0.7</v>
      </c>
      <c r="AH37" s="2">
        <v>29.9</v>
      </c>
      <c r="AI37" s="2">
        <v>2.5299999999999998</v>
      </c>
      <c r="AJ37" s="2">
        <v>23.8</v>
      </c>
      <c r="AK37" s="2">
        <v>1.4</v>
      </c>
      <c r="AL37" s="2">
        <v>10.8</v>
      </c>
      <c r="AM37" s="2">
        <v>6.3</v>
      </c>
      <c r="AN37" s="2">
        <v>9.4</v>
      </c>
      <c r="AO37" s="2">
        <v>54.7</v>
      </c>
      <c r="AP37" s="2">
        <v>62.1</v>
      </c>
      <c r="AQ37" s="2">
        <v>26.9</v>
      </c>
      <c r="AR37" s="2">
        <v>100.86</v>
      </c>
      <c r="AS37" s="2">
        <v>14.4</v>
      </c>
      <c r="AT37" s="2">
        <v>4407</v>
      </c>
      <c r="AU37" s="53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6"/>
    </row>
    <row r="38" spans="1:69" ht="13.2">
      <c r="A38" s="1" t="s">
        <v>100</v>
      </c>
      <c r="B38" s="1" t="s">
        <v>101</v>
      </c>
      <c r="C38" s="24" t="str">
        <f>VLOOKUP(B38,Equipe!$A$1:$B$31,2,FALSE)</f>
        <v>New York Knicks</v>
      </c>
      <c r="D38" s="2">
        <v>28</v>
      </c>
      <c r="E38" s="2">
        <v>82</v>
      </c>
      <c r="F38" s="2">
        <v>51</v>
      </c>
      <c r="G38" s="2">
        <v>31</v>
      </c>
      <c r="H38" s="2">
        <v>37</v>
      </c>
      <c r="I38" s="3">
        <v>1443</v>
      </c>
      <c r="J38" s="4">
        <v>590</v>
      </c>
      <c r="K38" s="4">
        <v>1181</v>
      </c>
      <c r="L38" s="3">
        <v>50</v>
      </c>
      <c r="M38" s="4">
        <v>164</v>
      </c>
      <c r="N38" s="4">
        <v>459</v>
      </c>
      <c r="O38" s="3">
        <v>35.4</v>
      </c>
      <c r="P38" s="3">
        <v>98</v>
      </c>
      <c r="Q38" s="3">
        <v>115</v>
      </c>
      <c r="R38" s="3">
        <v>81.400000000000006</v>
      </c>
      <c r="S38" s="4">
        <v>74</v>
      </c>
      <c r="T38" s="4">
        <v>189</v>
      </c>
      <c r="U38" s="4">
        <v>262</v>
      </c>
      <c r="V38" s="4">
        <v>303</v>
      </c>
      <c r="W38" s="4">
        <v>131</v>
      </c>
      <c r="X38" s="4">
        <v>74</v>
      </c>
      <c r="Y38" s="4">
        <v>41</v>
      </c>
      <c r="Z38" s="4">
        <v>123</v>
      </c>
      <c r="AA38" s="3">
        <v>2435</v>
      </c>
      <c r="AB38" s="3">
        <v>1</v>
      </c>
      <c r="AC38" s="3">
        <v>0</v>
      </c>
      <c r="AD38" s="2">
        <v>4.0999999999999996</v>
      </c>
      <c r="AE38" s="2">
        <v>118.4</v>
      </c>
      <c r="AF38" s="2">
        <v>112.9</v>
      </c>
      <c r="AG38" s="2">
        <v>5.6</v>
      </c>
      <c r="AH38" s="2">
        <v>14.1</v>
      </c>
      <c r="AI38" s="2">
        <v>2.3199999999999998</v>
      </c>
      <c r="AJ38" s="2">
        <v>18.3</v>
      </c>
      <c r="AK38" s="2">
        <v>2.4</v>
      </c>
      <c r="AL38" s="2">
        <v>6.3</v>
      </c>
      <c r="AM38" s="2">
        <v>4.3</v>
      </c>
      <c r="AN38" s="2">
        <v>7.9</v>
      </c>
      <c r="AO38" s="2">
        <v>57</v>
      </c>
      <c r="AP38" s="2">
        <v>58.5</v>
      </c>
      <c r="AQ38" s="2">
        <v>19.2</v>
      </c>
      <c r="AR38" s="2">
        <v>98.1</v>
      </c>
      <c r="AS38" s="2">
        <v>9</v>
      </c>
      <c r="AT38" s="2">
        <v>6200</v>
      </c>
      <c r="AU38" s="53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6"/>
    </row>
    <row r="39" spans="1:69" ht="13.2">
      <c r="A39" s="1" t="s">
        <v>102</v>
      </c>
      <c r="B39" s="1" t="s">
        <v>103</v>
      </c>
      <c r="C39" s="24" t="str">
        <f>VLOOKUP(B39,Equipe!$A$1:$B$31,2,FALSE)</f>
        <v>Denver Nuggets</v>
      </c>
      <c r="D39" s="2">
        <v>28</v>
      </c>
      <c r="E39" s="2">
        <v>67</v>
      </c>
      <c r="F39" s="2">
        <v>41</v>
      </c>
      <c r="G39" s="2">
        <v>26</v>
      </c>
      <c r="H39" s="2">
        <v>36.1</v>
      </c>
      <c r="I39" s="3">
        <v>1434</v>
      </c>
      <c r="J39" s="4">
        <v>529</v>
      </c>
      <c r="K39" s="4">
        <v>1119</v>
      </c>
      <c r="L39" s="3">
        <v>47.4</v>
      </c>
      <c r="M39" s="4">
        <v>154</v>
      </c>
      <c r="N39" s="4">
        <v>395</v>
      </c>
      <c r="O39" s="3">
        <v>39.299999999999997</v>
      </c>
      <c r="P39" s="3">
        <v>221</v>
      </c>
      <c r="Q39" s="3">
        <v>248</v>
      </c>
      <c r="R39" s="3">
        <v>88.6</v>
      </c>
      <c r="S39" s="4">
        <v>47</v>
      </c>
      <c r="T39" s="4">
        <v>214</v>
      </c>
      <c r="U39" s="4">
        <v>261</v>
      </c>
      <c r="V39" s="4">
        <v>402</v>
      </c>
      <c r="W39" s="4">
        <v>141</v>
      </c>
      <c r="X39" s="4">
        <v>94</v>
      </c>
      <c r="Y39" s="4">
        <v>34</v>
      </c>
      <c r="Z39" s="4">
        <v>127</v>
      </c>
      <c r="AA39" s="3">
        <v>2586</v>
      </c>
      <c r="AB39" s="3">
        <v>5</v>
      </c>
      <c r="AC39" s="3">
        <v>0</v>
      </c>
      <c r="AD39" s="2">
        <v>4.9000000000000004</v>
      </c>
      <c r="AE39" s="2">
        <v>122</v>
      </c>
      <c r="AF39" s="2">
        <v>115.5</v>
      </c>
      <c r="AG39" s="2">
        <v>6.5</v>
      </c>
      <c r="AH39" s="2">
        <v>22.3</v>
      </c>
      <c r="AI39" s="2">
        <v>2.92</v>
      </c>
      <c r="AJ39" s="2">
        <v>22.9</v>
      </c>
      <c r="AK39" s="2">
        <v>1.9</v>
      </c>
      <c r="AL39" s="2">
        <v>8.4</v>
      </c>
      <c r="AM39" s="2">
        <v>5.3</v>
      </c>
      <c r="AN39" s="2">
        <v>7.8</v>
      </c>
      <c r="AO39" s="2">
        <v>54.3</v>
      </c>
      <c r="AP39" s="2">
        <v>58.4</v>
      </c>
      <c r="AQ39" s="2">
        <v>23.5</v>
      </c>
      <c r="AR39" s="2">
        <v>100.72</v>
      </c>
      <c r="AS39" s="2">
        <v>11.1</v>
      </c>
      <c r="AT39" s="2">
        <v>5075</v>
      </c>
      <c r="AU39" s="53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6"/>
    </row>
    <row r="40" spans="1:69" ht="13.2">
      <c r="A40" s="1" t="s">
        <v>104</v>
      </c>
      <c r="B40" s="1" t="s">
        <v>105</v>
      </c>
      <c r="C40" s="24" t="str">
        <f>VLOOKUP(B40,Equipe!$A$1:$B$31,2,FALSE)</f>
        <v>Miami Heat</v>
      </c>
      <c r="D40" s="2">
        <v>27</v>
      </c>
      <c r="E40" s="2">
        <v>78</v>
      </c>
      <c r="F40" s="2">
        <v>36</v>
      </c>
      <c r="G40" s="2">
        <v>42</v>
      </c>
      <c r="H40" s="2">
        <v>34.299999999999997</v>
      </c>
      <c r="I40" s="3">
        <v>1412</v>
      </c>
      <c r="J40" s="4">
        <v>538</v>
      </c>
      <c r="K40" s="4">
        <v>1115</v>
      </c>
      <c r="L40" s="3">
        <v>48.5</v>
      </c>
      <c r="M40" s="4">
        <v>78</v>
      </c>
      <c r="N40" s="4">
        <v>218</v>
      </c>
      <c r="O40" s="3">
        <v>35.700000000000003</v>
      </c>
      <c r="P40" s="3">
        <v>250</v>
      </c>
      <c r="Q40" s="3">
        <v>328</v>
      </c>
      <c r="R40" s="3">
        <v>76.5</v>
      </c>
      <c r="S40" s="4">
        <v>187</v>
      </c>
      <c r="T40" s="4">
        <v>562</v>
      </c>
      <c r="U40" s="4">
        <v>749</v>
      </c>
      <c r="V40" s="4">
        <v>335</v>
      </c>
      <c r="W40" s="4">
        <v>164</v>
      </c>
      <c r="X40" s="4">
        <v>101</v>
      </c>
      <c r="Y40" s="4">
        <v>55</v>
      </c>
      <c r="Z40" s="4">
        <v>164</v>
      </c>
      <c r="AA40" s="3">
        <v>3104</v>
      </c>
      <c r="AB40" s="3">
        <v>38</v>
      </c>
      <c r="AC40" s="3">
        <v>1</v>
      </c>
      <c r="AD40" s="2">
        <v>0.3</v>
      </c>
      <c r="AE40" s="2">
        <v>110.9</v>
      </c>
      <c r="AF40" s="2">
        <v>110.8</v>
      </c>
      <c r="AG40" s="2">
        <v>0.1</v>
      </c>
      <c r="AH40" s="2">
        <v>20.399999999999999</v>
      </c>
      <c r="AI40" s="2">
        <v>2.09</v>
      </c>
      <c r="AJ40" s="2">
        <v>19.2</v>
      </c>
      <c r="AK40" s="2">
        <v>6.9</v>
      </c>
      <c r="AL40" s="2">
        <v>21.4</v>
      </c>
      <c r="AM40" s="2">
        <v>14.1</v>
      </c>
      <c r="AN40" s="2">
        <v>9.1999999999999993</v>
      </c>
      <c r="AO40" s="2">
        <v>52.1</v>
      </c>
      <c r="AP40" s="2">
        <v>56.1</v>
      </c>
      <c r="AQ40" s="2">
        <v>23.2</v>
      </c>
      <c r="AR40" s="2">
        <v>97.02</v>
      </c>
      <c r="AS40" s="2">
        <v>13.7</v>
      </c>
      <c r="AT40" s="2">
        <v>5414</v>
      </c>
      <c r="AU40" s="53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6"/>
    </row>
    <row r="41" spans="1:69" ht="13.2">
      <c r="A41" s="1" t="s">
        <v>106</v>
      </c>
      <c r="B41" s="1" t="s">
        <v>107</v>
      </c>
      <c r="C41" s="24" t="str">
        <f>VLOOKUP(B41,Equipe!$A$1:$B$31,2,FALSE)</f>
        <v>Los Angeles Lakers</v>
      </c>
      <c r="D41" s="2">
        <v>26</v>
      </c>
      <c r="E41" s="2">
        <v>50</v>
      </c>
      <c r="F41" s="2">
        <v>31</v>
      </c>
      <c r="G41" s="2">
        <v>19</v>
      </c>
      <c r="H41" s="2">
        <v>35.4</v>
      </c>
      <c r="I41" s="3">
        <v>1410</v>
      </c>
      <c r="J41" s="4">
        <v>460</v>
      </c>
      <c r="K41" s="4">
        <v>1025</v>
      </c>
      <c r="L41" s="3">
        <v>45</v>
      </c>
      <c r="M41" s="4">
        <v>175</v>
      </c>
      <c r="N41" s="4">
        <v>480</v>
      </c>
      <c r="O41" s="3">
        <v>36.799999999999997</v>
      </c>
      <c r="P41" s="3">
        <v>310</v>
      </c>
      <c r="Q41" s="3">
        <v>395</v>
      </c>
      <c r="R41" s="3">
        <v>78.2</v>
      </c>
      <c r="S41" s="4">
        <v>40</v>
      </c>
      <c r="T41" s="4">
        <v>370</v>
      </c>
      <c r="U41" s="4">
        <v>410</v>
      </c>
      <c r="V41" s="4">
        <v>385</v>
      </c>
      <c r="W41" s="4">
        <v>180</v>
      </c>
      <c r="X41" s="4">
        <v>90</v>
      </c>
      <c r="Y41" s="4">
        <v>20</v>
      </c>
      <c r="Z41" s="4">
        <v>125</v>
      </c>
      <c r="AA41" s="3">
        <v>2625</v>
      </c>
      <c r="AB41" s="3">
        <v>21</v>
      </c>
      <c r="AC41" s="3">
        <v>5</v>
      </c>
      <c r="AD41" s="2">
        <v>6.9</v>
      </c>
      <c r="AE41" s="2">
        <v>119.6</v>
      </c>
      <c r="AF41" s="2">
        <v>110.5</v>
      </c>
      <c r="AG41" s="2">
        <v>9.1</v>
      </c>
      <c r="AH41" s="2">
        <v>34.200000000000003</v>
      </c>
      <c r="AI41" s="2">
        <v>2.14</v>
      </c>
      <c r="AJ41" s="2">
        <v>21.8</v>
      </c>
      <c r="AK41" s="2">
        <v>2.2999999999999998</v>
      </c>
      <c r="AL41" s="2">
        <v>19.8</v>
      </c>
      <c r="AM41" s="2">
        <v>11.2</v>
      </c>
      <c r="AN41" s="2">
        <v>10.199999999999999</v>
      </c>
      <c r="AO41" s="2">
        <v>53.6</v>
      </c>
      <c r="AP41" s="2">
        <v>58.7</v>
      </c>
      <c r="AQ41" s="2">
        <v>32.799999999999997</v>
      </c>
      <c r="AR41" s="2">
        <v>100.22</v>
      </c>
      <c r="AS41" s="2">
        <v>17</v>
      </c>
      <c r="AT41" s="2">
        <v>3696</v>
      </c>
      <c r="AU41" s="53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6"/>
    </row>
    <row r="42" spans="1:69" ht="13.2">
      <c r="A42" s="8" t="s">
        <v>108</v>
      </c>
      <c r="B42" s="1" t="s">
        <v>109</v>
      </c>
      <c r="C42" s="24" t="str">
        <f>VLOOKUP(B42,Equipe!$A$1:$B$31,2,FALSE)</f>
        <v>Denver Nuggets</v>
      </c>
      <c r="D42" s="2">
        <v>26</v>
      </c>
      <c r="E42" s="2">
        <v>77</v>
      </c>
      <c r="F42" s="2">
        <v>47</v>
      </c>
      <c r="G42" s="2">
        <v>30</v>
      </c>
      <c r="H42" s="2">
        <v>33.700000000000003</v>
      </c>
      <c r="I42" s="3">
        <v>1401</v>
      </c>
      <c r="J42" s="4">
        <v>531</v>
      </c>
      <c r="K42" s="4">
        <v>1047</v>
      </c>
      <c r="L42" s="3">
        <v>50.4</v>
      </c>
      <c r="M42" s="4">
        <v>193</v>
      </c>
      <c r="N42" s="4">
        <v>493</v>
      </c>
      <c r="O42" s="3">
        <v>39.5</v>
      </c>
      <c r="P42" s="3">
        <v>146</v>
      </c>
      <c r="Q42" s="3">
        <v>193</v>
      </c>
      <c r="R42" s="3">
        <v>76.8</v>
      </c>
      <c r="S42" s="4">
        <v>139</v>
      </c>
      <c r="T42" s="4">
        <v>400</v>
      </c>
      <c r="U42" s="4">
        <v>539</v>
      </c>
      <c r="V42" s="4">
        <v>162</v>
      </c>
      <c r="W42" s="4">
        <v>108</v>
      </c>
      <c r="X42" s="4">
        <v>46</v>
      </c>
      <c r="Y42" s="4">
        <v>39</v>
      </c>
      <c r="Z42" s="4">
        <v>154</v>
      </c>
      <c r="AA42" s="3">
        <v>2456</v>
      </c>
      <c r="AB42" s="3">
        <v>15</v>
      </c>
      <c r="AC42" s="3">
        <v>0</v>
      </c>
      <c r="AD42" s="2">
        <v>3.4</v>
      </c>
      <c r="AE42" s="2">
        <v>119.8</v>
      </c>
      <c r="AF42" s="2">
        <v>115.4</v>
      </c>
      <c r="AG42" s="2">
        <v>4.4000000000000004</v>
      </c>
      <c r="AH42" s="2">
        <v>8.4</v>
      </c>
      <c r="AI42" s="2">
        <v>1.59</v>
      </c>
      <c r="AJ42" s="2">
        <v>11.8</v>
      </c>
      <c r="AK42" s="2">
        <v>5.5</v>
      </c>
      <c r="AL42" s="2">
        <v>14.6</v>
      </c>
      <c r="AM42" s="2">
        <v>10.3</v>
      </c>
      <c r="AN42" s="2">
        <v>7.4</v>
      </c>
      <c r="AO42" s="2">
        <v>59.6</v>
      </c>
      <c r="AP42" s="2">
        <v>61.7</v>
      </c>
      <c r="AQ42" s="2">
        <v>19.7</v>
      </c>
      <c r="AR42" s="2">
        <v>101.52</v>
      </c>
      <c r="AS42" s="2">
        <v>10.1</v>
      </c>
      <c r="AT42" s="2">
        <v>5494</v>
      </c>
      <c r="AU42" s="53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6"/>
    </row>
    <row r="43" spans="1:69" ht="13.2">
      <c r="A43" s="1" t="s">
        <v>110</v>
      </c>
      <c r="B43" s="1" t="s">
        <v>111</v>
      </c>
      <c r="C43" s="24" t="str">
        <f>VLOOKUP(B43,Equipe!$A$1:$B$31,2,FALSE)</f>
        <v>Boston Celtics</v>
      </c>
      <c r="D43" s="2">
        <v>28</v>
      </c>
      <c r="E43" s="2">
        <v>63</v>
      </c>
      <c r="F43" s="2">
        <v>46</v>
      </c>
      <c r="G43" s="2">
        <v>17</v>
      </c>
      <c r="H43" s="2">
        <v>34.299999999999997</v>
      </c>
      <c r="I43" s="3">
        <v>1399</v>
      </c>
      <c r="J43" s="4">
        <v>517</v>
      </c>
      <c r="K43" s="4">
        <v>1115</v>
      </c>
      <c r="L43" s="3">
        <v>46.3</v>
      </c>
      <c r="M43" s="4">
        <v>113</v>
      </c>
      <c r="N43" s="4">
        <v>359</v>
      </c>
      <c r="O43" s="3">
        <v>32.4</v>
      </c>
      <c r="P43" s="3">
        <v>246</v>
      </c>
      <c r="Q43" s="3">
        <v>321</v>
      </c>
      <c r="R43" s="3">
        <v>76.400000000000006</v>
      </c>
      <c r="S43" s="4">
        <v>82</v>
      </c>
      <c r="T43" s="4">
        <v>284</v>
      </c>
      <c r="U43" s="4">
        <v>365</v>
      </c>
      <c r="V43" s="4">
        <v>284</v>
      </c>
      <c r="W43" s="4">
        <v>164</v>
      </c>
      <c r="X43" s="4">
        <v>76</v>
      </c>
      <c r="Y43" s="4">
        <v>19</v>
      </c>
      <c r="Z43" s="4">
        <v>151</v>
      </c>
      <c r="AA43" s="3">
        <v>2381</v>
      </c>
      <c r="AB43" s="3">
        <v>5</v>
      </c>
      <c r="AC43" s="3">
        <v>0</v>
      </c>
      <c r="AD43" s="2">
        <v>6.4</v>
      </c>
      <c r="AE43" s="2">
        <v>121.1</v>
      </c>
      <c r="AF43" s="2">
        <v>111.7</v>
      </c>
      <c r="AG43" s="2">
        <v>9.5</v>
      </c>
      <c r="AH43" s="2">
        <v>20.399999999999999</v>
      </c>
      <c r="AI43" s="2">
        <v>1.77</v>
      </c>
      <c r="AJ43" s="2">
        <v>16.8</v>
      </c>
      <c r="AK43" s="2">
        <v>3.7</v>
      </c>
      <c r="AL43" s="2">
        <v>12.6</v>
      </c>
      <c r="AM43" s="2">
        <v>8.1999999999999993</v>
      </c>
      <c r="AN43" s="2">
        <v>9.5</v>
      </c>
      <c r="AO43" s="2">
        <v>51.5</v>
      </c>
      <c r="AP43" s="2">
        <v>55.5</v>
      </c>
      <c r="AQ43" s="2">
        <v>28.2</v>
      </c>
      <c r="AR43" s="2">
        <v>98.57</v>
      </c>
      <c r="AS43" s="2">
        <v>11.4</v>
      </c>
      <c r="AT43" s="2">
        <v>4424</v>
      </c>
      <c r="AU43" s="53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6"/>
    </row>
    <row r="44" spans="1:69" ht="13.2">
      <c r="A44" s="1" t="s">
        <v>112</v>
      </c>
      <c r="B44" s="1" t="s">
        <v>113</v>
      </c>
      <c r="C44" s="24" t="str">
        <f>VLOOKUP(B44,Equipe!$A$1:$B$31,2,FALSE)</f>
        <v>Washington Wizards</v>
      </c>
      <c r="D44" s="2">
        <v>25</v>
      </c>
      <c r="E44" s="2">
        <v>68</v>
      </c>
      <c r="F44" s="2">
        <v>15</v>
      </c>
      <c r="G44" s="2">
        <v>53</v>
      </c>
      <c r="H44" s="2">
        <v>29.4</v>
      </c>
      <c r="I44" s="3">
        <v>1394</v>
      </c>
      <c r="J44" s="4">
        <v>456</v>
      </c>
      <c r="K44" s="4">
        <v>1054</v>
      </c>
      <c r="L44" s="3">
        <v>43.2</v>
      </c>
      <c r="M44" s="4">
        <v>238</v>
      </c>
      <c r="N44" s="4">
        <v>619</v>
      </c>
      <c r="O44" s="3">
        <v>37.799999999999997</v>
      </c>
      <c r="P44" s="3">
        <v>245</v>
      </c>
      <c r="Q44" s="3">
        <v>272</v>
      </c>
      <c r="R44" s="3">
        <v>88.3</v>
      </c>
      <c r="S44" s="4">
        <v>34</v>
      </c>
      <c r="T44" s="4">
        <v>170</v>
      </c>
      <c r="U44" s="4">
        <v>204</v>
      </c>
      <c r="V44" s="4">
        <v>306</v>
      </c>
      <c r="W44" s="4">
        <v>204</v>
      </c>
      <c r="X44" s="4">
        <v>88</v>
      </c>
      <c r="Y44" s="4">
        <v>27</v>
      </c>
      <c r="Z44" s="4">
        <v>204</v>
      </c>
      <c r="AA44" s="3">
        <v>2224</v>
      </c>
      <c r="AB44" s="3">
        <v>1</v>
      </c>
      <c r="AC44" s="3">
        <v>0</v>
      </c>
      <c r="AD44" s="2">
        <v>-8.1999999999999993</v>
      </c>
      <c r="AE44" s="2">
        <v>104.8</v>
      </c>
      <c r="AF44" s="2">
        <v>117.9</v>
      </c>
      <c r="AG44" s="2">
        <v>-13.1</v>
      </c>
      <c r="AH44" s="2">
        <v>25.4</v>
      </c>
      <c r="AI44" s="2">
        <v>1.49</v>
      </c>
      <c r="AJ44" s="2">
        <v>18</v>
      </c>
      <c r="AK44" s="2">
        <v>1.4</v>
      </c>
      <c r="AL44" s="2">
        <v>8</v>
      </c>
      <c r="AM44" s="2">
        <v>4.5999999999999996</v>
      </c>
      <c r="AN44" s="2">
        <v>12.1</v>
      </c>
      <c r="AO44" s="2">
        <v>54.4</v>
      </c>
      <c r="AP44" s="2">
        <v>59.1</v>
      </c>
      <c r="AQ44" s="2">
        <v>28.1</v>
      </c>
      <c r="AR44" s="2">
        <v>103.95</v>
      </c>
      <c r="AS44" s="2">
        <v>10.7</v>
      </c>
      <c r="AT44" s="2">
        <v>4337</v>
      </c>
      <c r="AU44" s="53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6"/>
    </row>
    <row r="45" spans="1:69" ht="13.2">
      <c r="A45" s="1" t="s">
        <v>114</v>
      </c>
      <c r="B45" s="1" t="s">
        <v>115</v>
      </c>
      <c r="C45" s="24" t="str">
        <f>VLOOKUP(B45,Equipe!$A$1:$B$31,2,FALSE)</f>
        <v>Philadelphia 76ers</v>
      </c>
      <c r="D45" s="2">
        <v>24</v>
      </c>
      <c r="E45" s="2">
        <v>52</v>
      </c>
      <c r="F45" s="2">
        <v>20</v>
      </c>
      <c r="G45" s="2">
        <v>32</v>
      </c>
      <c r="H45" s="2">
        <v>37.700000000000003</v>
      </c>
      <c r="I45" s="3">
        <v>1368</v>
      </c>
      <c r="J45" s="4">
        <v>478</v>
      </c>
      <c r="K45" s="4">
        <v>1092</v>
      </c>
      <c r="L45" s="3">
        <v>43.7</v>
      </c>
      <c r="M45" s="4">
        <v>161</v>
      </c>
      <c r="N45" s="4">
        <v>478</v>
      </c>
      <c r="O45" s="3">
        <v>33.700000000000003</v>
      </c>
      <c r="P45" s="3">
        <v>255</v>
      </c>
      <c r="Q45" s="3">
        <v>291</v>
      </c>
      <c r="R45" s="3">
        <v>87.9</v>
      </c>
      <c r="S45" s="4">
        <v>16</v>
      </c>
      <c r="T45" s="4">
        <v>161</v>
      </c>
      <c r="U45" s="4">
        <v>172</v>
      </c>
      <c r="V45" s="4">
        <v>317</v>
      </c>
      <c r="W45" s="4">
        <v>125</v>
      </c>
      <c r="X45" s="4">
        <v>94</v>
      </c>
      <c r="Y45" s="4">
        <v>21</v>
      </c>
      <c r="Z45" s="4">
        <v>114</v>
      </c>
      <c r="AA45" s="3">
        <v>2267</v>
      </c>
      <c r="AB45" s="3">
        <v>8</v>
      </c>
      <c r="AC45" s="3">
        <v>1</v>
      </c>
      <c r="AD45" s="2">
        <v>-2.4</v>
      </c>
      <c r="AE45" s="2">
        <v>113.8</v>
      </c>
      <c r="AF45" s="2">
        <v>117.4</v>
      </c>
      <c r="AG45" s="2">
        <v>-3.5</v>
      </c>
      <c r="AH45" s="2">
        <v>27.6</v>
      </c>
      <c r="AI45" s="2">
        <v>2.56</v>
      </c>
      <c r="AJ45" s="2">
        <v>19.2</v>
      </c>
      <c r="AK45" s="2">
        <v>0.7</v>
      </c>
      <c r="AL45" s="2">
        <v>8.6999999999999993</v>
      </c>
      <c r="AM45" s="2">
        <v>4.5</v>
      </c>
      <c r="AN45" s="2">
        <v>7.5</v>
      </c>
      <c r="AO45" s="2">
        <v>51.1</v>
      </c>
      <c r="AP45" s="2">
        <v>56.2</v>
      </c>
      <c r="AQ45" s="2">
        <v>29.3</v>
      </c>
      <c r="AR45" s="2">
        <v>98.34</v>
      </c>
      <c r="AS45" s="2">
        <v>12.7</v>
      </c>
      <c r="AT45" s="2">
        <v>4024</v>
      </c>
      <c r="AU45" s="53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6"/>
    </row>
    <row r="46" spans="1:69" ht="13.2">
      <c r="A46" s="1" t="s">
        <v>116</v>
      </c>
      <c r="B46" s="1" t="s">
        <v>117</v>
      </c>
      <c r="C46" s="24" t="str">
        <f>VLOOKUP(B46,Equipe!$A$1:$B$31,2,FALSE)</f>
        <v>Indiana Pacers</v>
      </c>
      <c r="D46" s="2">
        <v>25</v>
      </c>
      <c r="E46" s="2">
        <v>73</v>
      </c>
      <c r="F46" s="2">
        <v>46</v>
      </c>
      <c r="G46" s="2">
        <v>27</v>
      </c>
      <c r="H46" s="2">
        <v>33.6</v>
      </c>
      <c r="I46" s="3">
        <v>1358</v>
      </c>
      <c r="J46" s="4">
        <v>475</v>
      </c>
      <c r="K46" s="4">
        <v>1007</v>
      </c>
      <c r="L46" s="3">
        <v>47.3</v>
      </c>
      <c r="M46" s="4">
        <v>219</v>
      </c>
      <c r="N46" s="4">
        <v>562</v>
      </c>
      <c r="O46" s="3">
        <v>38.799999999999997</v>
      </c>
      <c r="P46" s="3">
        <v>190</v>
      </c>
      <c r="Q46" s="3">
        <v>219</v>
      </c>
      <c r="R46" s="3">
        <v>85.1</v>
      </c>
      <c r="S46" s="4">
        <v>44</v>
      </c>
      <c r="T46" s="4">
        <v>219</v>
      </c>
      <c r="U46" s="4">
        <v>256</v>
      </c>
      <c r="V46" s="4">
        <v>672</v>
      </c>
      <c r="W46" s="4">
        <v>117</v>
      </c>
      <c r="X46" s="4">
        <v>102</v>
      </c>
      <c r="Y46" s="4">
        <v>51</v>
      </c>
      <c r="Z46" s="4">
        <v>95</v>
      </c>
      <c r="AA46" s="3">
        <v>3022</v>
      </c>
      <c r="AB46" s="3">
        <v>31</v>
      </c>
      <c r="AC46" s="3">
        <v>0</v>
      </c>
      <c r="AD46" s="2">
        <v>3</v>
      </c>
      <c r="AE46" s="2">
        <v>117.7</v>
      </c>
      <c r="AF46" s="2">
        <v>114.2</v>
      </c>
      <c r="AG46" s="2">
        <v>3.5</v>
      </c>
      <c r="AH46" s="2">
        <v>38.4</v>
      </c>
      <c r="AI46" s="2">
        <v>5.61</v>
      </c>
      <c r="AJ46" s="2">
        <v>35.799999999999997</v>
      </c>
      <c r="AK46" s="2">
        <v>1.7</v>
      </c>
      <c r="AL46" s="2">
        <v>8.6999999999999993</v>
      </c>
      <c r="AM46" s="2">
        <v>5.2</v>
      </c>
      <c r="AN46" s="2">
        <v>6.4</v>
      </c>
      <c r="AO46" s="2">
        <v>58.2</v>
      </c>
      <c r="AP46" s="2">
        <v>61.6</v>
      </c>
      <c r="AQ46" s="2">
        <v>21</v>
      </c>
      <c r="AR46" s="2">
        <v>100.82</v>
      </c>
      <c r="AS46" s="2">
        <v>14.3</v>
      </c>
      <c r="AT46" s="2">
        <v>5165</v>
      </c>
      <c r="AU46" s="53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6"/>
    </row>
    <row r="47" spans="1:69" ht="13.2">
      <c r="A47" s="1" t="s">
        <v>120</v>
      </c>
      <c r="B47" s="1" t="s">
        <v>121</v>
      </c>
      <c r="C47" s="24" t="str">
        <f>VLOOKUP(B47,Equipe!$A$1:$B$31,2,FALSE)</f>
        <v>Portland Trail Blazers</v>
      </c>
      <c r="D47" s="2">
        <v>26</v>
      </c>
      <c r="E47" s="2">
        <v>70</v>
      </c>
      <c r="F47" s="2">
        <v>28</v>
      </c>
      <c r="G47" s="2">
        <v>42</v>
      </c>
      <c r="H47" s="2">
        <v>32.700000000000003</v>
      </c>
      <c r="I47" s="3">
        <v>1351</v>
      </c>
      <c r="J47" s="4">
        <v>476</v>
      </c>
      <c r="K47" s="4">
        <v>1127</v>
      </c>
      <c r="L47" s="3">
        <v>42.6</v>
      </c>
      <c r="M47" s="4">
        <v>217</v>
      </c>
      <c r="N47" s="4">
        <v>595</v>
      </c>
      <c r="O47" s="3">
        <v>36.299999999999997</v>
      </c>
      <c r="P47" s="3">
        <v>175</v>
      </c>
      <c r="Q47" s="3">
        <v>196</v>
      </c>
      <c r="R47" s="3">
        <v>90.2</v>
      </c>
      <c r="S47" s="4">
        <v>28</v>
      </c>
      <c r="T47" s="4">
        <v>161</v>
      </c>
      <c r="U47" s="4">
        <v>189</v>
      </c>
      <c r="V47" s="4">
        <v>336</v>
      </c>
      <c r="W47" s="4">
        <v>140</v>
      </c>
      <c r="X47" s="4">
        <v>63</v>
      </c>
      <c r="Y47" s="4">
        <v>7</v>
      </c>
      <c r="Z47" s="4">
        <v>119</v>
      </c>
      <c r="AA47" s="3">
        <v>2135</v>
      </c>
      <c r="AB47" s="3">
        <v>2</v>
      </c>
      <c r="AC47" s="3">
        <v>0</v>
      </c>
      <c r="AD47" s="2">
        <v>-3.1</v>
      </c>
      <c r="AE47" s="2">
        <v>108.8</v>
      </c>
      <c r="AF47" s="2">
        <v>113.4</v>
      </c>
      <c r="AG47" s="2">
        <v>-4.5999999999999996</v>
      </c>
      <c r="AH47" s="2">
        <v>24.1</v>
      </c>
      <c r="AI47" s="2">
        <v>2.36</v>
      </c>
      <c r="AJ47" s="2">
        <v>20.100000000000001</v>
      </c>
      <c r="AK47" s="2">
        <v>1</v>
      </c>
      <c r="AL47" s="2">
        <v>6.9</v>
      </c>
      <c r="AM47" s="2">
        <v>3.9</v>
      </c>
      <c r="AN47" s="2">
        <v>8.5</v>
      </c>
      <c r="AO47" s="2">
        <v>52.1</v>
      </c>
      <c r="AP47" s="2">
        <v>55.7</v>
      </c>
      <c r="AQ47" s="2">
        <v>24.1</v>
      </c>
      <c r="AR47" s="2">
        <v>99.72</v>
      </c>
      <c r="AS47" s="2">
        <v>10.6</v>
      </c>
      <c r="AT47" s="2">
        <v>4760</v>
      </c>
      <c r="AU47" s="53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6"/>
    </row>
    <row r="48" spans="1:69" ht="13.2">
      <c r="A48" s="1" t="s">
        <v>118</v>
      </c>
      <c r="B48" s="1" t="s">
        <v>119</v>
      </c>
      <c r="C48" s="24" t="str">
        <f>VLOOKUP(B48,Equipe!$A$1:$B$31,2,FALSE)</f>
        <v>Chicago Bulls</v>
      </c>
      <c r="D48" s="2">
        <v>34</v>
      </c>
      <c r="E48" s="2">
        <v>73</v>
      </c>
      <c r="F48" s="2">
        <v>34</v>
      </c>
      <c r="G48" s="2">
        <v>39</v>
      </c>
      <c r="H48" s="2">
        <v>31.2</v>
      </c>
      <c r="I48" s="3">
        <v>1351</v>
      </c>
      <c r="J48" s="4">
        <v>548</v>
      </c>
      <c r="K48" s="4">
        <v>1037</v>
      </c>
      <c r="L48" s="3">
        <v>53</v>
      </c>
      <c r="M48" s="4">
        <v>131</v>
      </c>
      <c r="N48" s="4">
        <v>321</v>
      </c>
      <c r="O48" s="3">
        <v>40.200000000000003</v>
      </c>
      <c r="P48" s="3">
        <v>117</v>
      </c>
      <c r="Q48" s="3">
        <v>146</v>
      </c>
      <c r="R48" s="3">
        <v>80.5</v>
      </c>
      <c r="S48" s="4">
        <v>175</v>
      </c>
      <c r="T48" s="4">
        <v>555</v>
      </c>
      <c r="U48" s="4">
        <v>737</v>
      </c>
      <c r="V48" s="4">
        <v>256</v>
      </c>
      <c r="W48" s="4">
        <v>117</v>
      </c>
      <c r="X48" s="4">
        <v>58</v>
      </c>
      <c r="Y48" s="4">
        <v>51</v>
      </c>
      <c r="Z48" s="4">
        <v>161</v>
      </c>
      <c r="AA48" s="3">
        <v>2832</v>
      </c>
      <c r="AB48" s="3">
        <v>45</v>
      </c>
      <c r="AC48" s="3">
        <v>1</v>
      </c>
      <c r="AD48" s="2">
        <v>-1.3</v>
      </c>
      <c r="AE48" s="2">
        <v>113.6</v>
      </c>
      <c r="AF48" s="2">
        <v>116</v>
      </c>
      <c r="AG48" s="2">
        <v>-2.4</v>
      </c>
      <c r="AH48" s="2">
        <v>16.5</v>
      </c>
      <c r="AI48" s="2">
        <v>2.15</v>
      </c>
      <c r="AJ48" s="2">
        <v>17.3</v>
      </c>
      <c r="AK48" s="2">
        <v>7.6</v>
      </c>
      <c r="AL48" s="2">
        <v>22.8</v>
      </c>
      <c r="AM48" s="2">
        <v>15.4</v>
      </c>
      <c r="AN48" s="2">
        <v>8.1</v>
      </c>
      <c r="AO48" s="2">
        <v>59.2</v>
      </c>
      <c r="AP48" s="2">
        <v>61.1</v>
      </c>
      <c r="AQ48" s="2">
        <v>22.1</v>
      </c>
      <c r="AR48" s="2">
        <v>104.11</v>
      </c>
      <c r="AS48" s="2">
        <v>13.6</v>
      </c>
      <c r="AT48" s="2">
        <v>4950</v>
      </c>
      <c r="AU48" s="53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6"/>
    </row>
    <row r="49" spans="1:69" ht="13.2">
      <c r="A49" s="1" t="s">
        <v>122</v>
      </c>
      <c r="B49" s="1" t="s">
        <v>123</v>
      </c>
      <c r="C49" s="24" t="str">
        <f>VLOOKUP(B49,Equipe!$A$1:$B$31,2,FALSE)</f>
        <v>Los Angeles Clippers</v>
      </c>
      <c r="D49" s="2">
        <v>28</v>
      </c>
      <c r="E49" s="2">
        <v>80</v>
      </c>
      <c r="F49" s="2">
        <v>50</v>
      </c>
      <c r="G49" s="2">
        <v>30</v>
      </c>
      <c r="H49" s="2">
        <v>32.799999999999997</v>
      </c>
      <c r="I49" s="3">
        <v>1344</v>
      </c>
      <c r="J49" s="4">
        <v>592</v>
      </c>
      <c r="K49" s="4">
        <v>944</v>
      </c>
      <c r="L49" s="3">
        <v>62.8</v>
      </c>
      <c r="M49" s="3">
        <v>0</v>
      </c>
      <c r="N49" s="3">
        <v>0</v>
      </c>
      <c r="O49" s="3">
        <v>0</v>
      </c>
      <c r="P49" s="3">
        <v>160</v>
      </c>
      <c r="Q49" s="3">
        <v>240</v>
      </c>
      <c r="R49" s="3">
        <v>66.099999999999994</v>
      </c>
      <c r="S49" s="4">
        <v>304</v>
      </c>
      <c r="T49" s="4">
        <v>712</v>
      </c>
      <c r="U49" s="4">
        <v>1008</v>
      </c>
      <c r="V49" s="4">
        <v>216</v>
      </c>
      <c r="W49" s="4">
        <v>128</v>
      </c>
      <c r="X49" s="4">
        <v>56</v>
      </c>
      <c r="Y49" s="4">
        <v>88</v>
      </c>
      <c r="Z49" s="4">
        <v>168</v>
      </c>
      <c r="AA49" s="3">
        <v>3184</v>
      </c>
      <c r="AB49" s="3">
        <v>59</v>
      </c>
      <c r="AC49" s="3">
        <v>1</v>
      </c>
      <c r="AD49" s="2">
        <v>6.4</v>
      </c>
      <c r="AE49" s="2">
        <v>116.5</v>
      </c>
      <c r="AF49" s="2">
        <v>107.1</v>
      </c>
      <c r="AG49" s="2">
        <v>9.4</v>
      </c>
      <c r="AH49" s="2">
        <v>12.1</v>
      </c>
      <c r="AI49" s="2">
        <v>1.69</v>
      </c>
      <c r="AJ49" s="2">
        <v>15.5</v>
      </c>
      <c r="AK49" s="2">
        <v>12.2</v>
      </c>
      <c r="AL49" s="2">
        <v>27.1</v>
      </c>
      <c r="AM49" s="2">
        <v>19.899999999999999</v>
      </c>
      <c r="AN49" s="2">
        <v>9.1999999999999993</v>
      </c>
      <c r="AO49" s="2">
        <v>62.8</v>
      </c>
      <c r="AP49" s="2">
        <v>64.099999999999994</v>
      </c>
      <c r="AQ49" s="2">
        <v>19.2</v>
      </c>
      <c r="AR49" s="2">
        <v>98.55</v>
      </c>
      <c r="AS49" s="2">
        <v>15.7</v>
      </c>
      <c r="AT49" s="2">
        <v>5392</v>
      </c>
      <c r="AU49" s="53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6"/>
    </row>
    <row r="50" spans="1:69" ht="13.2">
      <c r="A50" s="1" t="s">
        <v>126</v>
      </c>
      <c r="B50" s="1" t="s">
        <v>127</v>
      </c>
      <c r="C50" s="24" t="str">
        <f>VLOOKUP(B50,Equipe!$A$1:$B$31,2,FALSE)</f>
        <v>Sacramento Kings</v>
      </c>
      <c r="D50" s="2">
        <v>29</v>
      </c>
      <c r="E50" s="2">
        <v>70</v>
      </c>
      <c r="F50" s="2">
        <v>36</v>
      </c>
      <c r="G50" s="2">
        <v>34</v>
      </c>
      <c r="H50" s="2">
        <v>34.700000000000003</v>
      </c>
      <c r="I50" s="3">
        <v>1337</v>
      </c>
      <c r="J50" s="4">
        <v>525</v>
      </c>
      <c r="K50" s="4">
        <v>896</v>
      </c>
      <c r="L50" s="3">
        <v>59</v>
      </c>
      <c r="M50" s="4">
        <v>63</v>
      </c>
      <c r="N50" s="4">
        <v>154</v>
      </c>
      <c r="O50" s="3">
        <v>41.7</v>
      </c>
      <c r="P50" s="3">
        <v>217</v>
      </c>
      <c r="Q50" s="3">
        <v>287</v>
      </c>
      <c r="R50" s="3">
        <v>75.400000000000006</v>
      </c>
      <c r="S50" s="4">
        <v>266</v>
      </c>
      <c r="T50" s="4">
        <v>707</v>
      </c>
      <c r="U50" s="4">
        <v>973</v>
      </c>
      <c r="V50" s="4">
        <v>420</v>
      </c>
      <c r="W50" s="4">
        <v>203</v>
      </c>
      <c r="X50" s="4">
        <v>49</v>
      </c>
      <c r="Y50" s="4">
        <v>28</v>
      </c>
      <c r="Z50" s="4">
        <v>231</v>
      </c>
      <c r="AA50" s="3">
        <v>3157</v>
      </c>
      <c r="AB50" s="3">
        <v>61</v>
      </c>
      <c r="AC50" s="3">
        <v>10</v>
      </c>
      <c r="AD50" s="2">
        <v>2.1</v>
      </c>
      <c r="AE50" s="2">
        <v>116.5</v>
      </c>
      <c r="AF50" s="2">
        <v>113.9</v>
      </c>
      <c r="AG50" s="2">
        <v>2.6</v>
      </c>
      <c r="AH50" s="2">
        <v>25.1</v>
      </c>
      <c r="AI50" s="2">
        <v>2.09</v>
      </c>
      <c r="AJ50" s="2">
        <v>25.7</v>
      </c>
      <c r="AK50" s="2">
        <v>11</v>
      </c>
      <c r="AL50" s="2">
        <v>28.6</v>
      </c>
      <c r="AM50" s="2">
        <v>19.899999999999999</v>
      </c>
      <c r="AN50" s="2">
        <v>12.3</v>
      </c>
      <c r="AO50" s="2">
        <v>62.7</v>
      </c>
      <c r="AP50" s="2">
        <v>65.5</v>
      </c>
      <c r="AQ50" s="2">
        <v>21.3</v>
      </c>
      <c r="AR50" s="2">
        <v>99.78</v>
      </c>
      <c r="AS50" s="2">
        <v>16.399999999999999</v>
      </c>
      <c r="AT50" s="2">
        <v>5054</v>
      </c>
      <c r="AU50" s="53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6"/>
    </row>
    <row r="51" spans="1:69" ht="13.2">
      <c r="A51" s="1" t="s">
        <v>124</v>
      </c>
      <c r="B51" s="1" t="s">
        <v>125</v>
      </c>
      <c r="C51" s="24" t="str">
        <f>VLOOKUP(B51,Equipe!$A$1:$B$31,2,FALSE)</f>
        <v>Detroit Pistons</v>
      </c>
      <c r="D51" s="2">
        <v>28</v>
      </c>
      <c r="E51" s="2">
        <v>82</v>
      </c>
      <c r="F51" s="2">
        <v>44</v>
      </c>
      <c r="G51" s="2">
        <v>38</v>
      </c>
      <c r="H51" s="2">
        <v>27.8</v>
      </c>
      <c r="I51" s="3">
        <v>1337</v>
      </c>
      <c r="J51" s="4">
        <v>459</v>
      </c>
      <c r="K51" s="4">
        <v>1074</v>
      </c>
      <c r="L51" s="3">
        <v>43</v>
      </c>
      <c r="M51" s="4">
        <v>320</v>
      </c>
      <c r="N51" s="4">
        <v>763</v>
      </c>
      <c r="O51" s="3">
        <v>41.6</v>
      </c>
      <c r="P51" s="3">
        <v>98</v>
      </c>
      <c r="Q51" s="3">
        <v>139</v>
      </c>
      <c r="R51" s="3">
        <v>67.900000000000006</v>
      </c>
      <c r="S51" s="4">
        <v>49</v>
      </c>
      <c r="T51" s="4">
        <v>164</v>
      </c>
      <c r="U51" s="4">
        <v>213</v>
      </c>
      <c r="V51" s="4">
        <v>139</v>
      </c>
      <c r="W51" s="4">
        <v>82</v>
      </c>
      <c r="X51" s="4">
        <v>74</v>
      </c>
      <c r="Y51" s="4">
        <v>8</v>
      </c>
      <c r="Z51" s="4">
        <v>123</v>
      </c>
      <c r="AA51" s="3">
        <v>1952</v>
      </c>
      <c r="AB51" s="3">
        <v>1</v>
      </c>
      <c r="AC51" s="3">
        <v>0</v>
      </c>
      <c r="AD51" s="2">
        <v>2.1</v>
      </c>
      <c r="AE51" s="2">
        <v>113.3</v>
      </c>
      <c r="AF51" s="2">
        <v>110.2</v>
      </c>
      <c r="AG51" s="2">
        <v>3.1</v>
      </c>
      <c r="AH51" s="2">
        <v>8.9</v>
      </c>
      <c r="AI51" s="2">
        <v>1.67</v>
      </c>
      <c r="AJ51" s="2">
        <v>10.3</v>
      </c>
      <c r="AK51" s="2">
        <v>2</v>
      </c>
      <c r="AL51" s="2">
        <v>6.9</v>
      </c>
      <c r="AM51" s="2">
        <v>4.5</v>
      </c>
      <c r="AN51" s="2">
        <v>6.2</v>
      </c>
      <c r="AO51" s="2">
        <v>57.9</v>
      </c>
      <c r="AP51" s="2">
        <v>59</v>
      </c>
      <c r="AQ51" s="2">
        <v>21.5</v>
      </c>
      <c r="AR51" s="2">
        <v>102.76</v>
      </c>
      <c r="AS51" s="2">
        <v>9.1</v>
      </c>
      <c r="AT51" s="2">
        <v>4898</v>
      </c>
      <c r="AU51" s="53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6"/>
    </row>
    <row r="52" spans="1:69" ht="13.2">
      <c r="A52" s="1" t="s">
        <v>130</v>
      </c>
      <c r="B52" s="1" t="s">
        <v>131</v>
      </c>
      <c r="C52" s="24" t="str">
        <f>VLOOKUP(B52,Equipe!$A$1:$B$31,2,FALSE)</f>
        <v>Portland Trail Blazers</v>
      </c>
      <c r="D52" s="2">
        <v>22</v>
      </c>
      <c r="E52" s="2">
        <v>72</v>
      </c>
      <c r="F52" s="2">
        <v>32</v>
      </c>
      <c r="G52" s="2">
        <v>40</v>
      </c>
      <c r="H52" s="2">
        <v>31.3</v>
      </c>
      <c r="I52" s="3">
        <v>1332</v>
      </c>
      <c r="J52" s="4">
        <v>497</v>
      </c>
      <c r="K52" s="4">
        <v>1102</v>
      </c>
      <c r="L52" s="3">
        <v>45.2</v>
      </c>
      <c r="M52" s="4">
        <v>144</v>
      </c>
      <c r="N52" s="4">
        <v>475</v>
      </c>
      <c r="O52" s="3">
        <v>31.1</v>
      </c>
      <c r="P52" s="3">
        <v>187</v>
      </c>
      <c r="Q52" s="3">
        <v>245</v>
      </c>
      <c r="R52" s="3">
        <v>78.5</v>
      </c>
      <c r="S52" s="4">
        <v>65</v>
      </c>
      <c r="T52" s="4">
        <v>259</v>
      </c>
      <c r="U52" s="4">
        <v>324</v>
      </c>
      <c r="V52" s="4">
        <v>202</v>
      </c>
      <c r="W52" s="4">
        <v>151</v>
      </c>
      <c r="X52" s="4">
        <v>65</v>
      </c>
      <c r="Y52" s="4">
        <v>14</v>
      </c>
      <c r="Z52" s="4">
        <v>122</v>
      </c>
      <c r="AA52" s="3">
        <v>2102</v>
      </c>
      <c r="AB52" s="3">
        <v>3</v>
      </c>
      <c r="AC52" s="3">
        <v>0</v>
      </c>
      <c r="AD52" s="2">
        <v>-1.9</v>
      </c>
      <c r="AE52" s="2">
        <v>111.4</v>
      </c>
      <c r="AF52" s="2">
        <v>114.4</v>
      </c>
      <c r="AG52" s="2">
        <v>-3</v>
      </c>
      <c r="AH52" s="2">
        <v>13.8</v>
      </c>
      <c r="AI52" s="2">
        <v>1.32</v>
      </c>
      <c r="AJ52" s="2">
        <v>12.7</v>
      </c>
      <c r="AK52" s="2">
        <v>2.9</v>
      </c>
      <c r="AL52" s="2">
        <v>11.4</v>
      </c>
      <c r="AM52" s="2">
        <v>7</v>
      </c>
      <c r="AN52" s="2">
        <v>9.6999999999999993</v>
      </c>
      <c r="AO52" s="2">
        <v>51.9</v>
      </c>
      <c r="AP52" s="2">
        <v>55.1</v>
      </c>
      <c r="AQ52" s="2">
        <v>25</v>
      </c>
      <c r="AR52" s="2">
        <v>99.88</v>
      </c>
      <c r="AS52" s="2">
        <v>10.199999999999999</v>
      </c>
      <c r="AT52" s="2">
        <v>4688</v>
      </c>
      <c r="AU52" s="53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6"/>
    </row>
    <row r="53" spans="1:69" ht="13.2">
      <c r="A53" s="1" t="s">
        <v>128</v>
      </c>
      <c r="B53" s="1" t="s">
        <v>129</v>
      </c>
      <c r="C53" s="24" t="str">
        <f>VLOOKUP(B53,Equipe!$A$1:$B$31,2,FALSE)</f>
        <v>New York Knicks</v>
      </c>
      <c r="D53" s="2">
        <v>27</v>
      </c>
      <c r="E53" s="2">
        <v>74</v>
      </c>
      <c r="F53" s="2">
        <v>45</v>
      </c>
      <c r="G53" s="2">
        <v>29</v>
      </c>
      <c r="H53" s="2">
        <v>36.6</v>
      </c>
      <c r="I53" s="3">
        <v>1332</v>
      </c>
      <c r="J53" s="4">
        <v>488</v>
      </c>
      <c r="K53" s="4">
        <v>1029</v>
      </c>
      <c r="L53" s="3">
        <v>47.6</v>
      </c>
      <c r="M53" s="4">
        <v>170</v>
      </c>
      <c r="N53" s="4">
        <v>459</v>
      </c>
      <c r="O53" s="3">
        <v>37.200000000000003</v>
      </c>
      <c r="P53" s="3">
        <v>185</v>
      </c>
      <c r="Q53" s="3">
        <v>229</v>
      </c>
      <c r="R53" s="3">
        <v>81</v>
      </c>
      <c r="S53" s="4">
        <v>96</v>
      </c>
      <c r="T53" s="4">
        <v>259</v>
      </c>
      <c r="U53" s="4">
        <v>355</v>
      </c>
      <c r="V53" s="4">
        <v>163</v>
      </c>
      <c r="W53" s="4">
        <v>104</v>
      </c>
      <c r="X53" s="4">
        <v>111</v>
      </c>
      <c r="Y53" s="4">
        <v>67</v>
      </c>
      <c r="Z53" s="4">
        <v>170</v>
      </c>
      <c r="AA53" s="3">
        <v>2427</v>
      </c>
      <c r="AB53" s="3">
        <v>1</v>
      </c>
      <c r="AC53" s="3">
        <v>0</v>
      </c>
      <c r="AD53" s="2">
        <v>4.0999999999999996</v>
      </c>
      <c r="AE53" s="2">
        <v>117.7</v>
      </c>
      <c r="AF53" s="2">
        <v>112.3</v>
      </c>
      <c r="AG53" s="2">
        <v>5.4</v>
      </c>
      <c r="AH53" s="2">
        <v>8.4</v>
      </c>
      <c r="AI53" s="2">
        <v>1.61</v>
      </c>
      <c r="AJ53" s="2">
        <v>11.8</v>
      </c>
      <c r="AK53" s="2">
        <v>3.7</v>
      </c>
      <c r="AL53" s="2">
        <v>9.8000000000000007</v>
      </c>
      <c r="AM53" s="2">
        <v>6.7</v>
      </c>
      <c r="AN53" s="2">
        <v>7.3</v>
      </c>
      <c r="AO53" s="2">
        <v>55.9</v>
      </c>
      <c r="AP53" s="2">
        <v>59.1</v>
      </c>
      <c r="AQ53" s="2">
        <v>19.5</v>
      </c>
      <c r="AR53" s="2">
        <v>97.73</v>
      </c>
      <c r="AS53" s="2">
        <v>9.3000000000000007</v>
      </c>
      <c r="AT53" s="2">
        <v>5511</v>
      </c>
      <c r="AU53" s="53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6"/>
    </row>
    <row r="54" spans="1:69" ht="13.2">
      <c r="A54" s="1" t="s">
        <v>132</v>
      </c>
      <c r="B54" s="1" t="s">
        <v>133</v>
      </c>
      <c r="C54" s="24" t="str">
        <f>VLOOKUP(B54,Equipe!$A$1:$B$31,2,FALSE)</f>
        <v>Memphis Grizzlies</v>
      </c>
      <c r="D54" s="2">
        <v>26</v>
      </c>
      <c r="E54" s="2">
        <v>69</v>
      </c>
      <c r="F54" s="2">
        <v>38</v>
      </c>
      <c r="G54" s="2">
        <v>31</v>
      </c>
      <c r="H54" s="2">
        <v>32</v>
      </c>
      <c r="I54" s="3">
        <v>1325</v>
      </c>
      <c r="J54" s="4">
        <v>490</v>
      </c>
      <c r="K54" s="4">
        <v>1021</v>
      </c>
      <c r="L54" s="3">
        <v>48.4</v>
      </c>
      <c r="M54" s="4">
        <v>166</v>
      </c>
      <c r="N54" s="4">
        <v>421</v>
      </c>
      <c r="O54" s="3">
        <v>39.200000000000003</v>
      </c>
      <c r="P54" s="3">
        <v>179</v>
      </c>
      <c r="Q54" s="3">
        <v>200</v>
      </c>
      <c r="R54" s="3">
        <v>89.4</v>
      </c>
      <c r="S54" s="4">
        <v>62</v>
      </c>
      <c r="T54" s="4">
        <v>359</v>
      </c>
      <c r="U54" s="4">
        <v>421</v>
      </c>
      <c r="V54" s="4">
        <v>366</v>
      </c>
      <c r="W54" s="4">
        <v>166</v>
      </c>
      <c r="X54" s="4">
        <v>83</v>
      </c>
      <c r="Y54" s="4">
        <v>28</v>
      </c>
      <c r="Z54" s="4">
        <v>166</v>
      </c>
      <c r="AA54" s="3">
        <v>2539</v>
      </c>
      <c r="AB54" s="3">
        <v>10</v>
      </c>
      <c r="AC54" s="3">
        <v>1</v>
      </c>
      <c r="AD54" s="2">
        <v>2.1</v>
      </c>
      <c r="AE54" s="2">
        <v>116.1</v>
      </c>
      <c r="AF54" s="2">
        <v>113.3</v>
      </c>
      <c r="AG54" s="2">
        <v>2.8</v>
      </c>
      <c r="AH54" s="2">
        <v>23.5</v>
      </c>
      <c r="AI54" s="2">
        <v>2.1800000000000002</v>
      </c>
      <c r="AJ54" s="2">
        <v>22.7</v>
      </c>
      <c r="AK54" s="2">
        <v>2.6</v>
      </c>
      <c r="AL54" s="2">
        <v>15</v>
      </c>
      <c r="AM54" s="2">
        <v>8.8000000000000007</v>
      </c>
      <c r="AN54" s="2">
        <v>10.4</v>
      </c>
      <c r="AO54" s="2">
        <v>56.5</v>
      </c>
      <c r="AP54" s="2">
        <v>60</v>
      </c>
      <c r="AQ54" s="2">
        <v>22.7</v>
      </c>
      <c r="AR54" s="2">
        <v>104.58</v>
      </c>
      <c r="AS54" s="2">
        <v>13.1</v>
      </c>
      <c r="AT54" s="2">
        <v>4809</v>
      </c>
      <c r="AU54" s="53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6"/>
    </row>
    <row r="55" spans="1:69" ht="13.2">
      <c r="A55" s="1" t="s">
        <v>134</v>
      </c>
      <c r="B55" s="1" t="s">
        <v>135</v>
      </c>
      <c r="C55" s="24" t="str">
        <f>VLOOKUP(B55,Equipe!$A$1:$B$31,2,FALSE)</f>
        <v>Cleveland Cavaliers</v>
      </c>
      <c r="D55" s="2">
        <v>23</v>
      </c>
      <c r="E55" s="2">
        <v>71</v>
      </c>
      <c r="F55" s="2">
        <v>58</v>
      </c>
      <c r="G55" s="2">
        <v>13</v>
      </c>
      <c r="H55" s="2">
        <v>30.5</v>
      </c>
      <c r="I55" s="3">
        <v>1314</v>
      </c>
      <c r="J55" s="4">
        <v>504</v>
      </c>
      <c r="K55" s="4">
        <v>909</v>
      </c>
      <c r="L55" s="3">
        <v>55.7</v>
      </c>
      <c r="M55" s="4">
        <v>85</v>
      </c>
      <c r="N55" s="4">
        <v>227</v>
      </c>
      <c r="O55" s="3">
        <v>37</v>
      </c>
      <c r="P55" s="3">
        <v>220</v>
      </c>
      <c r="Q55" s="3">
        <v>305</v>
      </c>
      <c r="R55" s="3">
        <v>72.5</v>
      </c>
      <c r="S55" s="4">
        <v>163</v>
      </c>
      <c r="T55" s="4">
        <v>497</v>
      </c>
      <c r="U55" s="4">
        <v>660</v>
      </c>
      <c r="V55" s="4">
        <v>227</v>
      </c>
      <c r="W55" s="4">
        <v>142</v>
      </c>
      <c r="X55" s="4">
        <v>64</v>
      </c>
      <c r="Y55" s="4">
        <v>114</v>
      </c>
      <c r="Z55" s="4">
        <v>142</v>
      </c>
      <c r="AA55" s="3">
        <v>2826</v>
      </c>
      <c r="AB55" s="3">
        <v>37</v>
      </c>
      <c r="AC55" s="3">
        <v>0</v>
      </c>
      <c r="AD55" s="2">
        <v>7.7</v>
      </c>
      <c r="AE55" s="2">
        <v>120.5</v>
      </c>
      <c r="AF55" s="2">
        <v>108.6</v>
      </c>
      <c r="AG55" s="2">
        <v>11.9</v>
      </c>
      <c r="AH55" s="2">
        <v>14.9</v>
      </c>
      <c r="AI55" s="2">
        <v>1.56</v>
      </c>
      <c r="AJ55" s="2">
        <v>16.100000000000001</v>
      </c>
      <c r="AK55" s="2">
        <v>7.6</v>
      </c>
      <c r="AL55" s="2">
        <v>21.3</v>
      </c>
      <c r="AM55" s="2">
        <v>14.7</v>
      </c>
      <c r="AN55" s="2">
        <v>10.3</v>
      </c>
      <c r="AO55" s="2">
        <v>60.4</v>
      </c>
      <c r="AP55" s="2">
        <v>63.3</v>
      </c>
      <c r="AQ55" s="2">
        <v>22.6</v>
      </c>
      <c r="AR55" s="2">
        <v>102.16</v>
      </c>
      <c r="AS55" s="2">
        <v>15.1</v>
      </c>
      <c r="AT55" s="2">
        <v>4609</v>
      </c>
      <c r="AU55" s="53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6"/>
    </row>
    <row r="56" spans="1:69" ht="13.2">
      <c r="A56" s="1" t="s">
        <v>136</v>
      </c>
      <c r="B56" s="1" t="s">
        <v>137</v>
      </c>
      <c r="C56" s="24" t="str">
        <f>VLOOKUP(B56,Equipe!$A$1:$B$31,2,FALSE)</f>
        <v>Los Angeles Clippers</v>
      </c>
      <c r="D56" s="2">
        <v>32</v>
      </c>
      <c r="E56" s="2">
        <v>60</v>
      </c>
      <c r="F56" s="2">
        <v>39</v>
      </c>
      <c r="G56" s="2">
        <v>21</v>
      </c>
      <c r="H56" s="2">
        <v>32.6</v>
      </c>
      <c r="I56" s="3">
        <v>1308</v>
      </c>
      <c r="J56" s="4">
        <v>456</v>
      </c>
      <c r="K56" s="4">
        <v>948</v>
      </c>
      <c r="L56" s="3">
        <v>48.4</v>
      </c>
      <c r="M56" s="4">
        <v>180</v>
      </c>
      <c r="N56" s="4">
        <v>426</v>
      </c>
      <c r="O56" s="3">
        <v>41.8</v>
      </c>
      <c r="P56" s="3">
        <v>216</v>
      </c>
      <c r="Q56" s="3">
        <v>264</v>
      </c>
      <c r="R56" s="3">
        <v>80.400000000000006</v>
      </c>
      <c r="S56" s="4">
        <v>24</v>
      </c>
      <c r="T56" s="4">
        <v>168</v>
      </c>
      <c r="U56" s="4">
        <v>192</v>
      </c>
      <c r="V56" s="4">
        <v>126</v>
      </c>
      <c r="W56" s="4">
        <v>108</v>
      </c>
      <c r="X56" s="4">
        <v>72</v>
      </c>
      <c r="Y56" s="4">
        <v>12</v>
      </c>
      <c r="Z56" s="4">
        <v>114</v>
      </c>
      <c r="AA56" s="3">
        <v>1860</v>
      </c>
      <c r="AB56" s="3">
        <v>1</v>
      </c>
      <c r="AC56" s="3">
        <v>0</v>
      </c>
      <c r="AD56" s="2">
        <v>5.9</v>
      </c>
      <c r="AE56" s="2">
        <v>116.2</v>
      </c>
      <c r="AF56" s="2">
        <v>107.4</v>
      </c>
      <c r="AG56" s="2">
        <v>8.8000000000000007</v>
      </c>
      <c r="AH56" s="2">
        <v>9.6</v>
      </c>
      <c r="AI56" s="2">
        <v>1.1599999999999999</v>
      </c>
      <c r="AJ56" s="2">
        <v>9.6999999999999993</v>
      </c>
      <c r="AK56" s="2">
        <v>1.1000000000000001</v>
      </c>
      <c r="AL56" s="2">
        <v>8.5</v>
      </c>
      <c r="AM56" s="2">
        <v>4.9000000000000004</v>
      </c>
      <c r="AN56" s="2">
        <v>8.4</v>
      </c>
      <c r="AO56" s="2">
        <v>57.8</v>
      </c>
      <c r="AP56" s="2">
        <v>61.5</v>
      </c>
      <c r="AQ56" s="2">
        <v>25.5</v>
      </c>
      <c r="AR56" s="2">
        <v>99.69</v>
      </c>
      <c r="AS56" s="2">
        <v>11</v>
      </c>
      <c r="AT56" s="2">
        <v>4063</v>
      </c>
      <c r="AU56" s="53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6"/>
    </row>
    <row r="57" spans="1:69" ht="13.2">
      <c r="A57" s="1" t="s">
        <v>138</v>
      </c>
      <c r="B57" s="1" t="s">
        <v>139</v>
      </c>
      <c r="C57" s="24" t="str">
        <f>VLOOKUP(B57,Equipe!$A$1:$B$31,2,FALSE)</f>
        <v>Charlotte Hornets</v>
      </c>
      <c r="D57" s="2">
        <v>27</v>
      </c>
      <c r="E57" s="2">
        <v>64</v>
      </c>
      <c r="F57" s="2">
        <v>16</v>
      </c>
      <c r="G57" s="2">
        <v>48</v>
      </c>
      <c r="H57" s="2">
        <v>31.7</v>
      </c>
      <c r="I57" s="3">
        <v>1299</v>
      </c>
      <c r="J57" s="4">
        <v>467</v>
      </c>
      <c r="K57" s="4">
        <v>1088</v>
      </c>
      <c r="L57" s="3">
        <v>43.1</v>
      </c>
      <c r="M57" s="4">
        <v>141</v>
      </c>
      <c r="N57" s="4">
        <v>448</v>
      </c>
      <c r="O57" s="3">
        <v>31.3</v>
      </c>
      <c r="P57" s="3">
        <v>224</v>
      </c>
      <c r="Q57" s="3">
        <v>256</v>
      </c>
      <c r="R57" s="3">
        <v>87</v>
      </c>
      <c r="S57" s="4">
        <v>70</v>
      </c>
      <c r="T57" s="4">
        <v>410</v>
      </c>
      <c r="U57" s="4">
        <v>480</v>
      </c>
      <c r="V57" s="4">
        <v>250</v>
      </c>
      <c r="W57" s="4">
        <v>134</v>
      </c>
      <c r="X57" s="4">
        <v>45</v>
      </c>
      <c r="Y57" s="4">
        <v>45</v>
      </c>
      <c r="Z57" s="4">
        <v>96</v>
      </c>
      <c r="AA57" s="3">
        <v>2381</v>
      </c>
      <c r="AB57" s="3">
        <v>14</v>
      </c>
      <c r="AC57" s="3">
        <v>1</v>
      </c>
      <c r="AD57" s="2">
        <v>-4</v>
      </c>
      <c r="AE57" s="2">
        <v>108.2</v>
      </c>
      <c r="AF57" s="2">
        <v>113.6</v>
      </c>
      <c r="AG57" s="2">
        <v>-5.5</v>
      </c>
      <c r="AH57" s="2">
        <v>20.3</v>
      </c>
      <c r="AI57" s="2">
        <v>1.82</v>
      </c>
      <c r="AJ57" s="2">
        <v>15.7</v>
      </c>
      <c r="AK57" s="2">
        <v>3.3</v>
      </c>
      <c r="AL57" s="2">
        <v>18.899999999999999</v>
      </c>
      <c r="AM57" s="2">
        <v>11</v>
      </c>
      <c r="AN57" s="2">
        <v>8.6</v>
      </c>
      <c r="AO57" s="2">
        <v>49.5</v>
      </c>
      <c r="AP57" s="2">
        <v>54.1</v>
      </c>
      <c r="AQ57" s="2">
        <v>27.3</v>
      </c>
      <c r="AR57" s="2">
        <v>100.58</v>
      </c>
      <c r="AS57" s="2">
        <v>13.5</v>
      </c>
      <c r="AT57" s="2">
        <v>4239</v>
      </c>
      <c r="AU57" s="53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6"/>
    </row>
    <row r="58" spans="1:69" ht="13.2">
      <c r="A58" s="1" t="s">
        <v>140</v>
      </c>
      <c r="B58" s="1" t="s">
        <v>141</v>
      </c>
      <c r="C58" s="24" t="str">
        <f>VLOOKUP(B58,Equipe!$A$1:$B$31,2,FALSE)</f>
        <v>Minnesota Timberwolves</v>
      </c>
      <c r="D58" s="2">
        <v>30</v>
      </c>
      <c r="E58" s="2">
        <v>69</v>
      </c>
      <c r="F58" s="2">
        <v>44</v>
      </c>
      <c r="G58" s="2">
        <v>25</v>
      </c>
      <c r="H58" s="2">
        <v>32.299999999999997</v>
      </c>
      <c r="I58" s="3">
        <v>1290</v>
      </c>
      <c r="J58" s="4">
        <v>455</v>
      </c>
      <c r="K58" s="4">
        <v>938</v>
      </c>
      <c r="L58" s="3">
        <v>48.5</v>
      </c>
      <c r="M58" s="4">
        <v>110</v>
      </c>
      <c r="N58" s="4">
        <v>317</v>
      </c>
      <c r="O58" s="3">
        <v>34.4</v>
      </c>
      <c r="P58" s="3">
        <v>269</v>
      </c>
      <c r="Q58" s="3">
        <v>338</v>
      </c>
      <c r="R58" s="3">
        <v>80.599999999999994</v>
      </c>
      <c r="S58" s="4">
        <v>145</v>
      </c>
      <c r="T58" s="4">
        <v>345</v>
      </c>
      <c r="U58" s="4">
        <v>490</v>
      </c>
      <c r="V58" s="4">
        <v>324</v>
      </c>
      <c r="W58" s="4">
        <v>193</v>
      </c>
      <c r="X58" s="4">
        <v>48</v>
      </c>
      <c r="Y58" s="4">
        <v>14</v>
      </c>
      <c r="Z58" s="4">
        <v>173</v>
      </c>
      <c r="AA58" s="3">
        <v>2353</v>
      </c>
      <c r="AB58" s="3">
        <v>14</v>
      </c>
      <c r="AC58" s="3">
        <v>0</v>
      </c>
      <c r="AD58" s="2">
        <v>2.4</v>
      </c>
      <c r="AE58" s="2">
        <v>115</v>
      </c>
      <c r="AF58" s="2">
        <v>111.6</v>
      </c>
      <c r="AG58" s="2">
        <v>3.4</v>
      </c>
      <c r="AH58" s="2">
        <v>22.8</v>
      </c>
      <c r="AI58" s="2">
        <v>1.65</v>
      </c>
      <c r="AJ58" s="2">
        <v>20.100000000000001</v>
      </c>
      <c r="AK58" s="2">
        <v>6.5</v>
      </c>
      <c r="AL58" s="2">
        <v>14.9</v>
      </c>
      <c r="AM58" s="2">
        <v>10.8</v>
      </c>
      <c r="AN58" s="2">
        <v>12.2</v>
      </c>
      <c r="AO58" s="2">
        <v>54.2</v>
      </c>
      <c r="AP58" s="2">
        <v>59.3</v>
      </c>
      <c r="AQ58" s="2">
        <v>24.6</v>
      </c>
      <c r="AR58" s="2">
        <v>98.45</v>
      </c>
      <c r="AS58" s="2">
        <v>12.4</v>
      </c>
      <c r="AT58" s="2">
        <v>4569</v>
      </c>
      <c r="AU58" s="53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6"/>
    </row>
    <row r="59" spans="1:69" ht="13.2">
      <c r="A59" s="1" t="s">
        <v>142</v>
      </c>
      <c r="B59" s="1" t="s">
        <v>143</v>
      </c>
      <c r="C59" s="24" t="str">
        <f>VLOOKUP(B59,Equipe!$A$1:$B$31,2,FALSE)</f>
        <v>Dallas Mavericks</v>
      </c>
      <c r="D59" s="2">
        <v>32</v>
      </c>
      <c r="E59" s="2">
        <v>51</v>
      </c>
      <c r="F59" s="2">
        <v>30</v>
      </c>
      <c r="G59" s="2">
        <v>21</v>
      </c>
      <c r="H59" s="2">
        <v>33.4</v>
      </c>
      <c r="I59" s="3">
        <v>1260</v>
      </c>
      <c r="J59" s="4">
        <v>469</v>
      </c>
      <c r="K59" s="4">
        <v>908</v>
      </c>
      <c r="L59" s="3">
        <v>51.6</v>
      </c>
      <c r="M59" s="4">
        <v>36</v>
      </c>
      <c r="N59" s="4">
        <v>122</v>
      </c>
      <c r="O59" s="3">
        <v>28.2</v>
      </c>
      <c r="P59" s="3">
        <v>286</v>
      </c>
      <c r="Q59" s="3">
        <v>367</v>
      </c>
      <c r="R59" s="3">
        <v>77.5</v>
      </c>
      <c r="S59" s="4">
        <v>133</v>
      </c>
      <c r="T59" s="4">
        <v>454</v>
      </c>
      <c r="U59" s="4">
        <v>592</v>
      </c>
      <c r="V59" s="4">
        <v>179</v>
      </c>
      <c r="W59" s="4">
        <v>112</v>
      </c>
      <c r="X59" s="4">
        <v>61</v>
      </c>
      <c r="Y59" s="4">
        <v>112</v>
      </c>
      <c r="Z59" s="4">
        <v>97</v>
      </c>
      <c r="AA59" s="3">
        <v>2637</v>
      </c>
      <c r="AB59" s="3">
        <v>36</v>
      </c>
      <c r="AC59" s="3">
        <v>1</v>
      </c>
      <c r="AD59" s="2">
        <v>0.5</v>
      </c>
      <c r="AE59" s="2">
        <v>113.3</v>
      </c>
      <c r="AF59" s="2">
        <v>112.9</v>
      </c>
      <c r="AG59" s="2">
        <v>0.5</v>
      </c>
      <c r="AH59" s="2">
        <v>18.2</v>
      </c>
      <c r="AI59" s="2">
        <v>1.6</v>
      </c>
      <c r="AJ59" s="2">
        <v>13.3</v>
      </c>
      <c r="AK59" s="2">
        <v>8.3000000000000007</v>
      </c>
      <c r="AL59" s="2">
        <v>25.4</v>
      </c>
      <c r="AM59" s="2">
        <v>17.3</v>
      </c>
      <c r="AN59" s="2">
        <v>8.3000000000000007</v>
      </c>
      <c r="AO59" s="2">
        <v>53.6</v>
      </c>
      <c r="AP59" s="2">
        <v>58.8</v>
      </c>
      <c r="AQ59" s="2">
        <v>30.1</v>
      </c>
      <c r="AR59" s="2">
        <v>98.83</v>
      </c>
      <c r="AS59" s="2">
        <v>17.899999999999999</v>
      </c>
      <c r="AT59" s="2">
        <v>3515</v>
      </c>
      <c r="AU59" s="53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6"/>
    </row>
    <row r="60" spans="1:69" ht="13.2">
      <c r="A60" s="1" t="s">
        <v>144</v>
      </c>
      <c r="B60" s="1" t="s">
        <v>145</v>
      </c>
      <c r="C60" s="24" t="str">
        <f>VLOOKUP(B60,Equipe!$A$1:$B$31,2,FALSE)</f>
        <v>Toronto Raptors</v>
      </c>
      <c r="D60" s="2">
        <v>23</v>
      </c>
      <c r="E60" s="2">
        <v>65</v>
      </c>
      <c r="F60" s="2">
        <v>26</v>
      </c>
      <c r="G60" s="2">
        <v>39</v>
      </c>
      <c r="H60" s="2">
        <v>32.799999999999997</v>
      </c>
      <c r="I60" s="3">
        <v>1255</v>
      </c>
      <c r="J60" s="4">
        <v>475</v>
      </c>
      <c r="K60" s="4">
        <v>1066</v>
      </c>
      <c r="L60" s="3">
        <v>44.6</v>
      </c>
      <c r="M60" s="4">
        <v>78</v>
      </c>
      <c r="N60" s="4">
        <v>280</v>
      </c>
      <c r="O60" s="3">
        <v>27.1</v>
      </c>
      <c r="P60" s="3">
        <v>228</v>
      </c>
      <c r="Q60" s="3">
        <v>299</v>
      </c>
      <c r="R60" s="3">
        <v>75.5</v>
      </c>
      <c r="S60" s="4">
        <v>111</v>
      </c>
      <c r="T60" s="4">
        <v>390</v>
      </c>
      <c r="U60" s="4">
        <v>501</v>
      </c>
      <c r="V60" s="4">
        <v>377</v>
      </c>
      <c r="W60" s="4">
        <v>182</v>
      </c>
      <c r="X60" s="4">
        <v>91</v>
      </c>
      <c r="Y60" s="4">
        <v>65</v>
      </c>
      <c r="Z60" s="4">
        <v>111</v>
      </c>
      <c r="AA60" s="3">
        <v>2704</v>
      </c>
      <c r="AB60" s="3">
        <v>26</v>
      </c>
      <c r="AC60" s="3">
        <v>1</v>
      </c>
      <c r="AD60" s="2">
        <v>-2</v>
      </c>
      <c r="AE60" s="2">
        <v>107.4</v>
      </c>
      <c r="AF60" s="2">
        <v>110.1</v>
      </c>
      <c r="AG60" s="2">
        <v>-2.7</v>
      </c>
      <c r="AH60" s="2">
        <v>27.9</v>
      </c>
      <c r="AI60" s="2">
        <v>2.04</v>
      </c>
      <c r="AJ60" s="2">
        <v>21.5</v>
      </c>
      <c r="AK60" s="2">
        <v>4.7</v>
      </c>
      <c r="AL60" s="2">
        <v>17.600000000000001</v>
      </c>
      <c r="AM60" s="2">
        <v>11.1</v>
      </c>
      <c r="AN60" s="2">
        <v>10.5</v>
      </c>
      <c r="AO60" s="2">
        <v>48.2</v>
      </c>
      <c r="AP60" s="2">
        <v>52.3</v>
      </c>
      <c r="AQ60" s="2">
        <v>26.2</v>
      </c>
      <c r="AR60" s="2">
        <v>102.48</v>
      </c>
      <c r="AS60" s="2">
        <v>13.9</v>
      </c>
      <c r="AT60" s="2">
        <v>4554</v>
      </c>
      <c r="AU60" s="53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6"/>
    </row>
    <row r="61" spans="1:69" ht="13.2">
      <c r="A61" s="1" t="s">
        <v>146</v>
      </c>
      <c r="B61" s="1" t="s">
        <v>147</v>
      </c>
      <c r="C61" s="24" t="str">
        <f>VLOOKUP(B61,Equipe!$A$1:$B$31,2,FALSE)</f>
        <v>Boston Celtics</v>
      </c>
      <c r="D61" s="2">
        <v>30</v>
      </c>
      <c r="E61" s="2">
        <v>76</v>
      </c>
      <c r="F61" s="2">
        <v>58</v>
      </c>
      <c r="G61" s="2">
        <v>18</v>
      </c>
      <c r="H61" s="2">
        <v>33.9</v>
      </c>
      <c r="I61" s="3">
        <v>1246</v>
      </c>
      <c r="J61" s="4">
        <v>426</v>
      </c>
      <c r="K61" s="4">
        <v>958</v>
      </c>
      <c r="L61" s="3">
        <v>44.2</v>
      </c>
      <c r="M61" s="4">
        <v>266</v>
      </c>
      <c r="N61" s="4">
        <v>692</v>
      </c>
      <c r="O61" s="3">
        <v>38.4</v>
      </c>
      <c r="P61" s="3">
        <v>137</v>
      </c>
      <c r="Q61" s="3">
        <v>160</v>
      </c>
      <c r="R61" s="3">
        <v>83.9</v>
      </c>
      <c r="S61" s="4">
        <v>68</v>
      </c>
      <c r="T61" s="4">
        <v>274</v>
      </c>
      <c r="U61" s="4">
        <v>342</v>
      </c>
      <c r="V61" s="4">
        <v>365</v>
      </c>
      <c r="W61" s="4">
        <v>129</v>
      </c>
      <c r="X61" s="4">
        <v>68</v>
      </c>
      <c r="Y61" s="4">
        <v>84</v>
      </c>
      <c r="Z61" s="4">
        <v>137</v>
      </c>
      <c r="AA61" s="3">
        <v>2523</v>
      </c>
      <c r="AB61" s="3">
        <v>4</v>
      </c>
      <c r="AC61" s="3">
        <v>0</v>
      </c>
      <c r="AD61" s="2">
        <v>7.1</v>
      </c>
      <c r="AE61" s="2">
        <v>119.7</v>
      </c>
      <c r="AF61" s="2">
        <v>109.5</v>
      </c>
      <c r="AG61" s="2">
        <v>10.199999999999999</v>
      </c>
      <c r="AH61" s="2">
        <v>19.899999999999999</v>
      </c>
      <c r="AI61" s="2">
        <v>2.76</v>
      </c>
      <c r="AJ61" s="2">
        <v>23.7</v>
      </c>
      <c r="AK61" s="2">
        <v>2.5</v>
      </c>
      <c r="AL61" s="2">
        <v>10.1</v>
      </c>
      <c r="AM61" s="2">
        <v>6.4</v>
      </c>
      <c r="AN61" s="2">
        <v>8.6</v>
      </c>
      <c r="AO61" s="2">
        <v>58</v>
      </c>
      <c r="AP61" s="2">
        <v>60.6</v>
      </c>
      <c r="AQ61" s="2">
        <v>19.5</v>
      </c>
      <c r="AR61" s="2">
        <v>97.89</v>
      </c>
      <c r="AS61" s="2">
        <v>10.6</v>
      </c>
      <c r="AT61" s="2">
        <v>5251</v>
      </c>
      <c r="AU61" s="53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6"/>
    </row>
    <row r="62" spans="1:69" ht="13.2">
      <c r="A62" s="1" t="s">
        <v>148</v>
      </c>
      <c r="B62" s="1" t="s">
        <v>149</v>
      </c>
      <c r="C62" s="24" t="str">
        <f>VLOOKUP(B62,Equipe!$A$1:$B$31,2,FALSE)</f>
        <v>Dallas Mavericks</v>
      </c>
      <c r="D62" s="2">
        <v>33</v>
      </c>
      <c r="E62" s="2">
        <v>50</v>
      </c>
      <c r="F62" s="2">
        <v>28</v>
      </c>
      <c r="G62" s="2">
        <v>22</v>
      </c>
      <c r="H62" s="2">
        <v>36.1</v>
      </c>
      <c r="I62" s="3">
        <v>1235</v>
      </c>
      <c r="J62" s="4">
        <v>445</v>
      </c>
      <c r="K62" s="4">
        <v>945</v>
      </c>
      <c r="L62" s="3">
        <v>47.3</v>
      </c>
      <c r="M62" s="4">
        <v>145</v>
      </c>
      <c r="N62" s="4">
        <v>360</v>
      </c>
      <c r="O62" s="3">
        <v>40.1</v>
      </c>
      <c r="P62" s="3">
        <v>195</v>
      </c>
      <c r="Q62" s="3">
        <v>215</v>
      </c>
      <c r="R62" s="3">
        <v>91.6</v>
      </c>
      <c r="S62" s="4">
        <v>60</v>
      </c>
      <c r="T62" s="4">
        <v>180</v>
      </c>
      <c r="U62" s="4">
        <v>240</v>
      </c>
      <c r="V62" s="4">
        <v>230</v>
      </c>
      <c r="W62" s="4">
        <v>110</v>
      </c>
      <c r="X62" s="4">
        <v>65</v>
      </c>
      <c r="Y62" s="4">
        <v>25</v>
      </c>
      <c r="Z62" s="4">
        <v>100</v>
      </c>
      <c r="AA62" s="3">
        <v>2025</v>
      </c>
      <c r="AB62" s="3">
        <v>0</v>
      </c>
      <c r="AC62" s="3">
        <v>0</v>
      </c>
      <c r="AD62" s="2">
        <v>2.5</v>
      </c>
      <c r="AE62" s="2">
        <v>116.5</v>
      </c>
      <c r="AF62" s="2">
        <v>113.9</v>
      </c>
      <c r="AG62" s="2">
        <v>2.6</v>
      </c>
      <c r="AH62" s="2">
        <v>19.8</v>
      </c>
      <c r="AI62" s="2">
        <v>2.08</v>
      </c>
      <c r="AJ62" s="2">
        <v>16.899999999999999</v>
      </c>
      <c r="AK62" s="2">
        <v>3.3</v>
      </c>
      <c r="AL62" s="2">
        <v>9.3000000000000007</v>
      </c>
      <c r="AM62" s="2">
        <v>6.4</v>
      </c>
      <c r="AN62" s="2">
        <v>8.1</v>
      </c>
      <c r="AO62" s="2">
        <v>54.9</v>
      </c>
      <c r="AP62" s="2">
        <v>59.4</v>
      </c>
      <c r="AQ62" s="2">
        <v>26.4</v>
      </c>
      <c r="AR62" s="2">
        <v>99.98</v>
      </c>
      <c r="AS62" s="2">
        <v>12.9</v>
      </c>
      <c r="AT62" s="2">
        <v>3768</v>
      </c>
      <c r="AU62" s="53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6"/>
    </row>
    <row r="63" spans="1:69" ht="13.2">
      <c r="A63" s="1" t="s">
        <v>150</v>
      </c>
      <c r="B63" s="1" t="s">
        <v>151</v>
      </c>
      <c r="C63" s="24" t="str">
        <f>VLOOKUP(B63,Equipe!$A$1:$B$31,2,FALSE)</f>
        <v>Toronto Raptors</v>
      </c>
      <c r="D63" s="2">
        <v>24</v>
      </c>
      <c r="E63" s="2">
        <v>58</v>
      </c>
      <c r="F63" s="2">
        <v>23</v>
      </c>
      <c r="G63" s="2">
        <v>35</v>
      </c>
      <c r="H63" s="2">
        <v>32.200000000000003</v>
      </c>
      <c r="I63" s="3">
        <v>1224</v>
      </c>
      <c r="J63" s="4">
        <v>458</v>
      </c>
      <c r="K63" s="4">
        <v>980</v>
      </c>
      <c r="L63" s="3">
        <v>46.8</v>
      </c>
      <c r="M63" s="4">
        <v>104</v>
      </c>
      <c r="N63" s="4">
        <v>307</v>
      </c>
      <c r="O63" s="3">
        <v>35</v>
      </c>
      <c r="P63" s="3">
        <v>197</v>
      </c>
      <c r="Q63" s="3">
        <v>313</v>
      </c>
      <c r="R63" s="3">
        <v>63</v>
      </c>
      <c r="S63" s="4">
        <v>64</v>
      </c>
      <c r="T63" s="4">
        <v>307</v>
      </c>
      <c r="U63" s="4">
        <v>365</v>
      </c>
      <c r="V63" s="4">
        <v>313</v>
      </c>
      <c r="W63" s="4">
        <v>162</v>
      </c>
      <c r="X63" s="4">
        <v>46</v>
      </c>
      <c r="Y63" s="4">
        <v>17</v>
      </c>
      <c r="Z63" s="4">
        <v>139</v>
      </c>
      <c r="AA63" s="3">
        <v>2158</v>
      </c>
      <c r="AB63" s="3">
        <v>10</v>
      </c>
      <c r="AC63" s="3">
        <v>2</v>
      </c>
      <c r="AD63" s="2">
        <v>-2.4</v>
      </c>
      <c r="AE63" s="2">
        <v>110.1</v>
      </c>
      <c r="AF63" s="2">
        <v>113.4</v>
      </c>
      <c r="AG63" s="2">
        <v>-3.4</v>
      </c>
      <c r="AH63" s="2">
        <v>25.7</v>
      </c>
      <c r="AI63" s="2">
        <v>1.9</v>
      </c>
      <c r="AJ63" s="2">
        <v>19.600000000000001</v>
      </c>
      <c r="AK63" s="2">
        <v>3.1</v>
      </c>
      <c r="AL63" s="2">
        <v>15.9</v>
      </c>
      <c r="AM63" s="2">
        <v>9.4</v>
      </c>
      <c r="AN63" s="2">
        <v>10.3</v>
      </c>
      <c r="AO63" s="2">
        <v>52.3</v>
      </c>
      <c r="AP63" s="2">
        <v>54.7</v>
      </c>
      <c r="AQ63" s="2">
        <v>28</v>
      </c>
      <c r="AR63" s="2">
        <v>102.74</v>
      </c>
      <c r="AS63" s="2">
        <v>12.1</v>
      </c>
      <c r="AT63" s="2">
        <v>3998</v>
      </c>
      <c r="AU63" s="53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6"/>
    </row>
    <row r="64" spans="1:69" ht="13.2">
      <c r="A64" s="1" t="s">
        <v>154</v>
      </c>
      <c r="B64" s="1" t="s">
        <v>155</v>
      </c>
      <c r="C64" s="24" t="str">
        <f>VLOOKUP(B64,Equipe!$A$1:$B$31,2,FALSE)</f>
        <v>Portland Trail Blazers</v>
      </c>
      <c r="D64" s="2">
        <v>24</v>
      </c>
      <c r="E64" s="2">
        <v>72</v>
      </c>
      <c r="F64" s="2">
        <v>33</v>
      </c>
      <c r="G64" s="2">
        <v>39</v>
      </c>
      <c r="H64" s="2">
        <v>30</v>
      </c>
      <c r="I64" s="3">
        <v>1217</v>
      </c>
      <c r="J64" s="4">
        <v>403</v>
      </c>
      <c r="K64" s="4">
        <v>842</v>
      </c>
      <c r="L64" s="3">
        <v>47.6</v>
      </c>
      <c r="M64" s="4">
        <v>122</v>
      </c>
      <c r="N64" s="4">
        <v>346</v>
      </c>
      <c r="O64" s="3">
        <v>36.5</v>
      </c>
      <c r="P64" s="3">
        <v>288</v>
      </c>
      <c r="Q64" s="3">
        <v>374</v>
      </c>
      <c r="R64" s="3">
        <v>78</v>
      </c>
      <c r="S64" s="4">
        <v>108</v>
      </c>
      <c r="T64" s="4">
        <v>410</v>
      </c>
      <c r="U64" s="4">
        <v>526</v>
      </c>
      <c r="V64" s="4">
        <v>281</v>
      </c>
      <c r="W64" s="4">
        <v>194</v>
      </c>
      <c r="X64" s="4">
        <v>72</v>
      </c>
      <c r="Y64" s="4">
        <v>36</v>
      </c>
      <c r="Z64" s="4">
        <v>173</v>
      </c>
      <c r="AA64" s="3">
        <v>2390</v>
      </c>
      <c r="AB64" s="3">
        <v>17</v>
      </c>
      <c r="AC64" s="3">
        <v>2</v>
      </c>
      <c r="AD64" s="2">
        <v>-1.1000000000000001</v>
      </c>
      <c r="AE64" s="2">
        <v>113.6</v>
      </c>
      <c r="AF64" s="2">
        <v>114.5</v>
      </c>
      <c r="AG64" s="2">
        <v>-0.9</v>
      </c>
      <c r="AH64" s="2">
        <v>19.3</v>
      </c>
      <c r="AI64" s="2">
        <v>1.43</v>
      </c>
      <c r="AJ64" s="2">
        <v>19</v>
      </c>
      <c r="AK64" s="2">
        <v>4.8</v>
      </c>
      <c r="AL64" s="2">
        <v>19</v>
      </c>
      <c r="AM64" s="2">
        <v>11.7</v>
      </c>
      <c r="AN64" s="2">
        <v>13.3</v>
      </c>
      <c r="AO64" s="2">
        <v>55</v>
      </c>
      <c r="AP64" s="2">
        <v>60.5</v>
      </c>
      <c r="AQ64" s="2">
        <v>22.8</v>
      </c>
      <c r="AR64" s="2">
        <v>99.86</v>
      </c>
      <c r="AS64" s="2">
        <v>12.6</v>
      </c>
      <c r="AT64" s="2">
        <v>4479</v>
      </c>
      <c r="AU64" s="53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6"/>
    </row>
    <row r="65" spans="1:69" ht="13.2">
      <c r="A65" s="1" t="s">
        <v>152</v>
      </c>
      <c r="B65" s="1" t="s">
        <v>153</v>
      </c>
      <c r="C65" s="24" t="str">
        <f>VLOOKUP(B65,Equipe!$A$1:$B$31,2,FALSE)</f>
        <v>Denver Nuggets</v>
      </c>
      <c r="D65" s="2">
        <v>24</v>
      </c>
      <c r="E65" s="2">
        <v>79</v>
      </c>
      <c r="F65" s="2">
        <v>48</v>
      </c>
      <c r="G65" s="2">
        <v>31</v>
      </c>
      <c r="H65" s="2">
        <v>33.9</v>
      </c>
      <c r="I65" s="3">
        <v>1217</v>
      </c>
      <c r="J65" s="4">
        <v>474</v>
      </c>
      <c r="K65" s="4">
        <v>822</v>
      </c>
      <c r="L65" s="3">
        <v>58</v>
      </c>
      <c r="M65" s="4">
        <v>87</v>
      </c>
      <c r="N65" s="4">
        <v>221</v>
      </c>
      <c r="O65" s="3">
        <v>39.700000000000003</v>
      </c>
      <c r="P65" s="3">
        <v>174</v>
      </c>
      <c r="Q65" s="3">
        <v>213</v>
      </c>
      <c r="R65" s="3">
        <v>82.7</v>
      </c>
      <c r="S65" s="4">
        <v>95</v>
      </c>
      <c r="T65" s="4">
        <v>308</v>
      </c>
      <c r="U65" s="4">
        <v>411</v>
      </c>
      <c r="V65" s="4">
        <v>205</v>
      </c>
      <c r="W65" s="4">
        <v>79</v>
      </c>
      <c r="X65" s="4">
        <v>87</v>
      </c>
      <c r="Y65" s="4">
        <v>40</v>
      </c>
      <c r="Z65" s="4">
        <v>174</v>
      </c>
      <c r="AA65" s="3">
        <v>2299</v>
      </c>
      <c r="AB65" s="3">
        <v>6</v>
      </c>
      <c r="AC65" s="3">
        <v>0</v>
      </c>
      <c r="AD65" s="2">
        <v>6.1</v>
      </c>
      <c r="AE65" s="2">
        <v>122.7</v>
      </c>
      <c r="AF65" s="2">
        <v>114.5</v>
      </c>
      <c r="AG65" s="2">
        <v>8.1999999999999993</v>
      </c>
      <c r="AH65" s="2">
        <v>9.6</v>
      </c>
      <c r="AI65" s="2">
        <v>2.5299999999999998</v>
      </c>
      <c r="AJ65" s="2">
        <v>17.100000000000001</v>
      </c>
      <c r="AK65" s="2">
        <v>3.9</v>
      </c>
      <c r="AL65" s="2">
        <v>10.9</v>
      </c>
      <c r="AM65" s="2">
        <v>7.7</v>
      </c>
      <c r="AN65" s="2">
        <v>6.8</v>
      </c>
      <c r="AO65" s="2">
        <v>63.4</v>
      </c>
      <c r="AP65" s="2">
        <v>66.5</v>
      </c>
      <c r="AQ65" s="2">
        <v>15.5</v>
      </c>
      <c r="AR65" s="2">
        <v>101.04</v>
      </c>
      <c r="AS65" s="2">
        <v>9.6</v>
      </c>
      <c r="AT65" s="2">
        <v>5639</v>
      </c>
      <c r="AU65" s="53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6"/>
    </row>
    <row r="66" spans="1:69" ht="13.2">
      <c r="A66" s="1" t="s">
        <v>158</v>
      </c>
      <c r="B66" s="1" t="s">
        <v>159</v>
      </c>
      <c r="C66" s="24" t="str">
        <f>VLOOKUP(B66,Equipe!$A$1:$B$31,2,FALSE)</f>
        <v>San Antonio Spurs</v>
      </c>
      <c r="D66" s="2">
        <v>20</v>
      </c>
      <c r="E66" s="2">
        <v>81</v>
      </c>
      <c r="F66" s="2">
        <v>33</v>
      </c>
      <c r="G66" s="2">
        <v>48</v>
      </c>
      <c r="H66" s="2">
        <v>26.7</v>
      </c>
      <c r="I66" s="3">
        <v>1191</v>
      </c>
      <c r="J66" s="4">
        <v>421</v>
      </c>
      <c r="K66" s="4">
        <v>988</v>
      </c>
      <c r="L66" s="3">
        <v>42.8</v>
      </c>
      <c r="M66" s="4">
        <v>97</v>
      </c>
      <c r="N66" s="4">
        <v>332</v>
      </c>
      <c r="O66" s="3">
        <v>28.5</v>
      </c>
      <c r="P66" s="3">
        <v>251</v>
      </c>
      <c r="Q66" s="3">
        <v>340</v>
      </c>
      <c r="R66" s="3">
        <v>72.400000000000006</v>
      </c>
      <c r="S66" s="4">
        <v>89</v>
      </c>
      <c r="T66" s="4">
        <v>211</v>
      </c>
      <c r="U66" s="4">
        <v>300</v>
      </c>
      <c r="V66" s="4">
        <v>332</v>
      </c>
      <c r="W66" s="4">
        <v>178</v>
      </c>
      <c r="X66" s="4">
        <v>73</v>
      </c>
      <c r="Y66" s="4">
        <v>24</v>
      </c>
      <c r="Z66" s="4">
        <v>162</v>
      </c>
      <c r="AA66" s="3">
        <v>2155</v>
      </c>
      <c r="AB66" s="3">
        <v>6</v>
      </c>
      <c r="AC66" s="3">
        <v>0</v>
      </c>
      <c r="AD66" s="2">
        <v>-3</v>
      </c>
      <c r="AE66" s="2">
        <v>111.8</v>
      </c>
      <c r="AF66" s="2">
        <v>116.6</v>
      </c>
      <c r="AG66" s="2">
        <v>-4.7</v>
      </c>
      <c r="AH66" s="2">
        <v>23.1</v>
      </c>
      <c r="AI66" s="2">
        <v>1.88</v>
      </c>
      <c r="AJ66" s="2">
        <v>20.100000000000001</v>
      </c>
      <c r="AK66" s="2">
        <v>3.9</v>
      </c>
      <c r="AL66" s="2">
        <v>9.1999999999999993</v>
      </c>
      <c r="AM66" s="2">
        <v>6.6</v>
      </c>
      <c r="AN66" s="2">
        <v>10.7</v>
      </c>
      <c r="AO66" s="2">
        <v>47.6</v>
      </c>
      <c r="AP66" s="2">
        <v>52.2</v>
      </c>
      <c r="AQ66" s="2">
        <v>25.3</v>
      </c>
      <c r="AR66" s="2">
        <v>101.89</v>
      </c>
      <c r="AS66" s="2">
        <v>8.6999999999999993</v>
      </c>
      <c r="AT66" s="2">
        <v>4580</v>
      </c>
      <c r="AU66" s="53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6"/>
    </row>
    <row r="67" spans="1:69" ht="13.2">
      <c r="A67" s="1" t="s">
        <v>156</v>
      </c>
      <c r="B67" s="1" t="s">
        <v>157</v>
      </c>
      <c r="C67" s="24" t="str">
        <f>VLOOKUP(B67,Equipe!$A$1:$B$31,2,FALSE)</f>
        <v>Orlando Magic</v>
      </c>
      <c r="D67" s="2">
        <v>22</v>
      </c>
      <c r="E67" s="2">
        <v>46</v>
      </c>
      <c r="F67" s="2">
        <v>21</v>
      </c>
      <c r="G67" s="2">
        <v>25</v>
      </c>
      <c r="H67" s="2">
        <v>34.4</v>
      </c>
      <c r="I67" s="3">
        <v>1191</v>
      </c>
      <c r="J67" s="4">
        <v>414</v>
      </c>
      <c r="K67" s="4">
        <v>911</v>
      </c>
      <c r="L67" s="3">
        <v>45.2</v>
      </c>
      <c r="M67" s="4">
        <v>87</v>
      </c>
      <c r="N67" s="4">
        <v>271</v>
      </c>
      <c r="O67" s="3">
        <v>32</v>
      </c>
      <c r="P67" s="3">
        <v>281</v>
      </c>
      <c r="Q67" s="3">
        <v>386</v>
      </c>
      <c r="R67" s="3">
        <v>72.7</v>
      </c>
      <c r="S67" s="4">
        <v>51</v>
      </c>
      <c r="T67" s="4">
        <v>294</v>
      </c>
      <c r="U67" s="4">
        <v>345</v>
      </c>
      <c r="V67" s="4">
        <v>221</v>
      </c>
      <c r="W67" s="4">
        <v>138</v>
      </c>
      <c r="X67" s="4">
        <v>37</v>
      </c>
      <c r="Y67" s="4">
        <v>28</v>
      </c>
      <c r="Z67" s="4">
        <v>97</v>
      </c>
      <c r="AA67" s="3">
        <v>1992</v>
      </c>
      <c r="AB67" s="3">
        <v>11</v>
      </c>
      <c r="AC67" s="3">
        <v>0</v>
      </c>
      <c r="AD67" s="2">
        <v>-0.5</v>
      </c>
      <c r="AE67" s="2">
        <v>109.1</v>
      </c>
      <c r="AF67" s="2">
        <v>109.6</v>
      </c>
      <c r="AG67" s="2">
        <v>-0.6</v>
      </c>
      <c r="AH67" s="2">
        <v>26.2</v>
      </c>
      <c r="AI67" s="2">
        <v>1.61</v>
      </c>
      <c r="AJ67" s="2">
        <v>15.3</v>
      </c>
      <c r="AK67" s="2">
        <v>3.1</v>
      </c>
      <c r="AL67" s="2">
        <v>19.2</v>
      </c>
      <c r="AM67" s="2">
        <v>10.8</v>
      </c>
      <c r="AN67" s="2">
        <v>9.5</v>
      </c>
      <c r="AO67" s="2">
        <v>50</v>
      </c>
      <c r="AP67" s="2">
        <v>55.1</v>
      </c>
      <c r="AQ67" s="2">
        <v>33</v>
      </c>
      <c r="AR67" s="2">
        <v>97.29</v>
      </c>
      <c r="AS67" s="2">
        <v>15.7</v>
      </c>
      <c r="AT67" s="2">
        <v>3204</v>
      </c>
      <c r="AU67" s="53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6"/>
    </row>
    <row r="68" spans="1:69" ht="13.2">
      <c r="A68" s="1" t="s">
        <v>160</v>
      </c>
      <c r="B68" s="1" t="s">
        <v>161</v>
      </c>
      <c r="C68" s="24" t="str">
        <f>VLOOKUP(B68,Equipe!$A$1:$B$31,2,FALSE)</f>
        <v>Charlotte Hornets</v>
      </c>
      <c r="D68" s="2">
        <v>23</v>
      </c>
      <c r="E68" s="2">
        <v>47</v>
      </c>
      <c r="F68" s="2">
        <v>16</v>
      </c>
      <c r="G68" s="2">
        <v>31</v>
      </c>
      <c r="H68" s="2">
        <v>32</v>
      </c>
      <c r="I68" s="3">
        <v>1184</v>
      </c>
      <c r="J68" s="4">
        <v>404</v>
      </c>
      <c r="K68" s="4">
        <v>1001</v>
      </c>
      <c r="L68" s="3">
        <v>40.5</v>
      </c>
      <c r="M68" s="4">
        <v>179</v>
      </c>
      <c r="N68" s="4">
        <v>526</v>
      </c>
      <c r="O68" s="3">
        <v>33.9</v>
      </c>
      <c r="P68" s="3">
        <v>193</v>
      </c>
      <c r="Q68" s="3">
        <v>230</v>
      </c>
      <c r="R68" s="3">
        <v>84.3</v>
      </c>
      <c r="S68" s="4">
        <v>47</v>
      </c>
      <c r="T68" s="4">
        <v>183</v>
      </c>
      <c r="U68" s="4">
        <v>230</v>
      </c>
      <c r="V68" s="4">
        <v>348</v>
      </c>
      <c r="W68" s="4">
        <v>169</v>
      </c>
      <c r="X68" s="4">
        <v>52</v>
      </c>
      <c r="Y68" s="4">
        <v>14</v>
      </c>
      <c r="Z68" s="4">
        <v>155</v>
      </c>
      <c r="AA68" s="3">
        <v>2016</v>
      </c>
      <c r="AB68" s="3">
        <v>13</v>
      </c>
      <c r="AC68" s="3">
        <v>0</v>
      </c>
      <c r="AD68" s="2">
        <v>-2.8</v>
      </c>
      <c r="AE68" s="2">
        <v>112.7</v>
      </c>
      <c r="AF68" s="2">
        <v>116.5</v>
      </c>
      <c r="AG68" s="2">
        <v>-3.9</v>
      </c>
      <c r="AH68" s="2">
        <v>39</v>
      </c>
      <c r="AI68" s="2">
        <v>2.0699999999999998</v>
      </c>
      <c r="AJ68" s="2">
        <v>21.5</v>
      </c>
      <c r="AK68" s="2">
        <v>2.8</v>
      </c>
      <c r="AL68" s="2">
        <v>12.1</v>
      </c>
      <c r="AM68" s="2">
        <v>7.2</v>
      </c>
      <c r="AN68" s="2">
        <v>10.4</v>
      </c>
      <c r="AO68" s="2">
        <v>49.4</v>
      </c>
      <c r="AP68" s="2">
        <v>53.6</v>
      </c>
      <c r="AQ68" s="2">
        <v>34.200000000000003</v>
      </c>
      <c r="AR68" s="2">
        <v>101.33</v>
      </c>
      <c r="AS68" s="2">
        <v>12.7</v>
      </c>
      <c r="AT68" s="2">
        <v>3173</v>
      </c>
      <c r="AU68" s="53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6"/>
    </row>
    <row r="69" spans="1:69" ht="13.2">
      <c r="A69" s="1" t="s">
        <v>162</v>
      </c>
      <c r="B69" s="1" t="s">
        <v>163</v>
      </c>
      <c r="C69" s="24" t="str">
        <f>VLOOKUP(B69,Equipe!$A$1:$B$31,2,FALSE)</f>
        <v>New Orleans Pelicans</v>
      </c>
      <c r="D69" s="2">
        <v>33</v>
      </c>
      <c r="E69" s="2">
        <v>56</v>
      </c>
      <c r="F69" s="2">
        <v>17</v>
      </c>
      <c r="G69" s="2">
        <v>39</v>
      </c>
      <c r="H69" s="2">
        <v>32.700000000000003</v>
      </c>
      <c r="I69" s="3">
        <v>1182</v>
      </c>
      <c r="J69" s="4">
        <v>442</v>
      </c>
      <c r="K69" s="4">
        <v>1002</v>
      </c>
      <c r="L69" s="3">
        <v>44.4</v>
      </c>
      <c r="M69" s="4">
        <v>174</v>
      </c>
      <c r="N69" s="4">
        <v>459</v>
      </c>
      <c r="O69" s="3">
        <v>37.299999999999997</v>
      </c>
      <c r="P69" s="3">
        <v>123</v>
      </c>
      <c r="Q69" s="3">
        <v>174</v>
      </c>
      <c r="R69" s="3">
        <v>71.7</v>
      </c>
      <c r="S69" s="4">
        <v>45</v>
      </c>
      <c r="T69" s="4">
        <v>168</v>
      </c>
      <c r="U69" s="4">
        <v>213</v>
      </c>
      <c r="V69" s="4">
        <v>230</v>
      </c>
      <c r="W69" s="4">
        <v>106</v>
      </c>
      <c r="X69" s="4">
        <v>45</v>
      </c>
      <c r="Y69" s="4">
        <v>22</v>
      </c>
      <c r="Z69" s="4">
        <v>123</v>
      </c>
      <c r="AA69" s="3">
        <v>1882</v>
      </c>
      <c r="AB69" s="3">
        <v>0</v>
      </c>
      <c r="AC69" s="3">
        <v>0</v>
      </c>
      <c r="AD69" s="2">
        <v>-5</v>
      </c>
      <c r="AE69" s="2">
        <v>112.3</v>
      </c>
      <c r="AF69" s="2">
        <v>119.4</v>
      </c>
      <c r="AG69" s="2">
        <v>-7.1</v>
      </c>
      <c r="AH69" s="2">
        <v>19.2</v>
      </c>
      <c r="AI69" s="2">
        <v>2.14</v>
      </c>
      <c r="AJ69" s="2">
        <v>16.100000000000001</v>
      </c>
      <c r="AK69" s="2">
        <v>2.2000000000000002</v>
      </c>
      <c r="AL69" s="2">
        <v>9.1</v>
      </c>
      <c r="AM69" s="2">
        <v>5.6</v>
      </c>
      <c r="AN69" s="2">
        <v>7.5</v>
      </c>
      <c r="AO69" s="2">
        <v>53</v>
      </c>
      <c r="AP69" s="2">
        <v>55</v>
      </c>
      <c r="AQ69" s="2">
        <v>26.6</v>
      </c>
      <c r="AR69" s="2">
        <v>101.56</v>
      </c>
      <c r="AS69" s="2">
        <v>9.6999999999999993</v>
      </c>
      <c r="AT69" s="2">
        <v>3874</v>
      </c>
      <c r="AU69" s="53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6"/>
    </row>
    <row r="70" spans="1:69" ht="13.2">
      <c r="A70" s="1" t="s">
        <v>164</v>
      </c>
      <c r="B70" s="1" t="s">
        <v>165</v>
      </c>
      <c r="C70" s="24" t="str">
        <f>VLOOKUP(B70,Equipe!$A$1:$B$31,2,FALSE)</f>
        <v>Memphis Grizzlies</v>
      </c>
      <c r="D70" s="2">
        <v>25</v>
      </c>
      <c r="E70" s="2">
        <v>50</v>
      </c>
      <c r="F70" s="2">
        <v>30</v>
      </c>
      <c r="G70" s="2">
        <v>20</v>
      </c>
      <c r="H70" s="2">
        <v>30.4</v>
      </c>
      <c r="I70" s="3">
        <v>1160</v>
      </c>
      <c r="J70" s="4">
        <v>405</v>
      </c>
      <c r="K70" s="4">
        <v>890</v>
      </c>
      <c r="L70" s="3">
        <v>45.4</v>
      </c>
      <c r="M70" s="4">
        <v>90</v>
      </c>
      <c r="N70" s="4">
        <v>285</v>
      </c>
      <c r="O70" s="3">
        <v>30.9</v>
      </c>
      <c r="P70" s="3">
        <v>265</v>
      </c>
      <c r="Q70" s="3">
        <v>320</v>
      </c>
      <c r="R70" s="3">
        <v>82.4</v>
      </c>
      <c r="S70" s="4">
        <v>35</v>
      </c>
      <c r="T70" s="4">
        <v>170</v>
      </c>
      <c r="U70" s="4">
        <v>205</v>
      </c>
      <c r="V70" s="4">
        <v>365</v>
      </c>
      <c r="W70" s="4">
        <v>185</v>
      </c>
      <c r="X70" s="4">
        <v>60</v>
      </c>
      <c r="Y70" s="4">
        <v>10</v>
      </c>
      <c r="Z70" s="4">
        <v>115</v>
      </c>
      <c r="AA70" s="3">
        <v>1985</v>
      </c>
      <c r="AB70" s="3">
        <v>13</v>
      </c>
      <c r="AC70" s="3">
        <v>1</v>
      </c>
      <c r="AD70" s="2">
        <v>4.5</v>
      </c>
      <c r="AE70" s="2">
        <v>116.4</v>
      </c>
      <c r="AF70" s="2">
        <v>109.6</v>
      </c>
      <c r="AG70" s="2">
        <v>6.8</v>
      </c>
      <c r="AH70" s="2">
        <v>35.5</v>
      </c>
      <c r="AI70" s="2">
        <v>1.97</v>
      </c>
      <c r="AJ70" s="2">
        <v>23.1</v>
      </c>
      <c r="AK70" s="2">
        <v>2.1</v>
      </c>
      <c r="AL70" s="2">
        <v>10.1</v>
      </c>
      <c r="AM70" s="2">
        <v>6.2</v>
      </c>
      <c r="AN70" s="2">
        <v>11.8</v>
      </c>
      <c r="AO70" s="2">
        <v>50.4</v>
      </c>
      <c r="AP70" s="2">
        <v>56.3</v>
      </c>
      <c r="AQ70" s="2">
        <v>31.2</v>
      </c>
      <c r="AR70" s="2">
        <v>105.74</v>
      </c>
      <c r="AS70" s="2">
        <v>14.1</v>
      </c>
      <c r="AT70" s="2">
        <v>3346</v>
      </c>
      <c r="AU70" s="53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6"/>
    </row>
    <row r="71" spans="1:69" ht="13.2">
      <c r="A71" s="1" t="s">
        <v>168</v>
      </c>
      <c r="B71" s="1" t="s">
        <v>169</v>
      </c>
      <c r="C71" s="24" t="str">
        <f>VLOOKUP(B71,Equipe!$A$1:$B$31,2,FALSE)</f>
        <v>Utah Jazz</v>
      </c>
      <c r="D71" s="2">
        <v>26</v>
      </c>
      <c r="E71" s="2">
        <v>63</v>
      </c>
      <c r="F71" s="2">
        <v>14</v>
      </c>
      <c r="G71" s="2">
        <v>49</v>
      </c>
      <c r="H71" s="2">
        <v>27.9</v>
      </c>
      <c r="I71" s="3">
        <v>1159</v>
      </c>
      <c r="J71" s="4">
        <v>416</v>
      </c>
      <c r="K71" s="4">
        <v>869</v>
      </c>
      <c r="L71" s="3">
        <v>48</v>
      </c>
      <c r="M71" s="4">
        <v>107</v>
      </c>
      <c r="N71" s="4">
        <v>271</v>
      </c>
      <c r="O71" s="3">
        <v>40.6</v>
      </c>
      <c r="P71" s="3">
        <v>214</v>
      </c>
      <c r="Q71" s="3">
        <v>252</v>
      </c>
      <c r="R71" s="3">
        <v>86.5</v>
      </c>
      <c r="S71" s="4">
        <v>63</v>
      </c>
      <c r="T71" s="4">
        <v>113</v>
      </c>
      <c r="U71" s="4">
        <v>170</v>
      </c>
      <c r="V71" s="4">
        <v>265</v>
      </c>
      <c r="W71" s="4">
        <v>158</v>
      </c>
      <c r="X71" s="4">
        <v>44</v>
      </c>
      <c r="Y71" s="4">
        <v>6</v>
      </c>
      <c r="Z71" s="4">
        <v>145</v>
      </c>
      <c r="AA71" s="3">
        <v>1758</v>
      </c>
      <c r="AB71" s="3">
        <v>2</v>
      </c>
      <c r="AC71" s="3">
        <v>0</v>
      </c>
      <c r="AD71" s="2">
        <v>-4.5</v>
      </c>
      <c r="AE71" s="2">
        <v>110.4</v>
      </c>
      <c r="AF71" s="2">
        <v>117.9</v>
      </c>
      <c r="AG71" s="2">
        <v>-7.5</v>
      </c>
      <c r="AH71" s="2">
        <v>24.6</v>
      </c>
      <c r="AI71" s="2">
        <v>1.65</v>
      </c>
      <c r="AJ71" s="2">
        <v>18.899999999999999</v>
      </c>
      <c r="AK71" s="2">
        <v>3.3</v>
      </c>
      <c r="AL71" s="2">
        <v>6</v>
      </c>
      <c r="AM71" s="2">
        <v>4.7</v>
      </c>
      <c r="AN71" s="2">
        <v>11.5</v>
      </c>
      <c r="AO71" s="2">
        <v>54.3</v>
      </c>
      <c r="AP71" s="2">
        <v>59.3</v>
      </c>
      <c r="AQ71" s="2">
        <v>26.4</v>
      </c>
      <c r="AR71" s="2">
        <v>101.38</v>
      </c>
      <c r="AS71" s="2">
        <v>10.6</v>
      </c>
      <c r="AT71" s="2">
        <v>3709</v>
      </c>
      <c r="AU71" s="53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6"/>
    </row>
    <row r="72" spans="1:69" ht="13.2">
      <c r="A72" s="1" t="s">
        <v>166</v>
      </c>
      <c r="B72" s="1" t="s">
        <v>167</v>
      </c>
      <c r="C72" s="24" t="str">
        <f>VLOOKUP(B72,Equipe!$A$1:$B$31,2,FALSE)</f>
        <v>Indiana Pacers</v>
      </c>
      <c r="D72" s="2">
        <v>22</v>
      </c>
      <c r="E72" s="2">
        <v>72</v>
      </c>
      <c r="F72" s="2">
        <v>43</v>
      </c>
      <c r="G72" s="2">
        <v>29</v>
      </c>
      <c r="H72" s="2">
        <v>29.9</v>
      </c>
      <c r="I72" s="3">
        <v>1159</v>
      </c>
      <c r="J72" s="4">
        <v>389</v>
      </c>
      <c r="K72" s="4">
        <v>850</v>
      </c>
      <c r="L72" s="3">
        <v>45.8</v>
      </c>
      <c r="M72" s="4">
        <v>101</v>
      </c>
      <c r="N72" s="4">
        <v>288</v>
      </c>
      <c r="O72" s="3">
        <v>34</v>
      </c>
      <c r="P72" s="3">
        <v>274</v>
      </c>
      <c r="Q72" s="3">
        <v>331</v>
      </c>
      <c r="R72" s="3">
        <v>83.1</v>
      </c>
      <c r="S72" s="4">
        <v>86</v>
      </c>
      <c r="T72" s="4">
        <v>295</v>
      </c>
      <c r="U72" s="4">
        <v>382</v>
      </c>
      <c r="V72" s="4">
        <v>137</v>
      </c>
      <c r="W72" s="4">
        <v>137</v>
      </c>
      <c r="X72" s="4">
        <v>50</v>
      </c>
      <c r="Y72" s="4">
        <v>22</v>
      </c>
      <c r="Z72" s="4">
        <v>166</v>
      </c>
      <c r="AA72" s="3">
        <v>1901</v>
      </c>
      <c r="AB72" s="3">
        <v>8</v>
      </c>
      <c r="AC72" s="3">
        <v>0</v>
      </c>
      <c r="AD72" s="2">
        <v>1.3</v>
      </c>
      <c r="AE72" s="2">
        <v>113.8</v>
      </c>
      <c r="AF72" s="2">
        <v>112.2</v>
      </c>
      <c r="AG72" s="2">
        <v>1.6</v>
      </c>
      <c r="AH72" s="2">
        <v>9</v>
      </c>
      <c r="AI72" s="2">
        <v>1.01</v>
      </c>
      <c r="AJ72" s="2">
        <v>10.7</v>
      </c>
      <c r="AK72" s="2">
        <v>4.0999999999999996</v>
      </c>
      <c r="AL72" s="2">
        <v>13.3</v>
      </c>
      <c r="AM72" s="2">
        <v>8.8000000000000007</v>
      </c>
      <c r="AN72" s="2">
        <v>10.6</v>
      </c>
      <c r="AO72" s="2">
        <v>51.6</v>
      </c>
      <c r="AP72" s="2">
        <v>57.9</v>
      </c>
      <c r="AQ72" s="2">
        <v>22.2</v>
      </c>
      <c r="AR72" s="2">
        <v>101.52</v>
      </c>
      <c r="AS72" s="2">
        <v>9.1999999999999993</v>
      </c>
      <c r="AT72" s="2">
        <v>4556</v>
      </c>
      <c r="AU72" s="53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6"/>
    </row>
    <row r="73" spans="1:69" ht="13.2">
      <c r="A73" s="1" t="s">
        <v>170</v>
      </c>
      <c r="B73" s="1" t="s">
        <v>171</v>
      </c>
      <c r="C73" s="24" t="str">
        <f>VLOOKUP(B73,Equipe!$A$1:$B$31,2,FALSE)</f>
        <v>Boston Celtics</v>
      </c>
      <c r="D73" s="2">
        <v>27</v>
      </c>
      <c r="E73" s="2">
        <v>80</v>
      </c>
      <c r="F73" s="2">
        <v>59</v>
      </c>
      <c r="G73" s="2">
        <v>21</v>
      </c>
      <c r="H73" s="2">
        <v>28.4</v>
      </c>
      <c r="I73" s="3">
        <v>1144</v>
      </c>
      <c r="J73" s="4">
        <v>408</v>
      </c>
      <c r="K73" s="4">
        <v>864</v>
      </c>
      <c r="L73" s="3">
        <v>47.2</v>
      </c>
      <c r="M73" s="4">
        <v>256</v>
      </c>
      <c r="N73" s="4">
        <v>624</v>
      </c>
      <c r="O73" s="3">
        <v>40.700000000000003</v>
      </c>
      <c r="P73" s="3">
        <v>72</v>
      </c>
      <c r="Q73" s="3">
        <v>88</v>
      </c>
      <c r="R73" s="3">
        <v>84.5</v>
      </c>
      <c r="S73" s="4">
        <v>104</v>
      </c>
      <c r="T73" s="4">
        <v>208</v>
      </c>
      <c r="U73" s="4">
        <v>304</v>
      </c>
      <c r="V73" s="4">
        <v>280</v>
      </c>
      <c r="W73" s="4">
        <v>80</v>
      </c>
      <c r="X73" s="4">
        <v>72</v>
      </c>
      <c r="Y73" s="4">
        <v>16</v>
      </c>
      <c r="Z73" s="4">
        <v>120</v>
      </c>
      <c r="AA73" s="3">
        <v>2096</v>
      </c>
      <c r="AB73" s="3">
        <v>5</v>
      </c>
      <c r="AC73" s="3">
        <v>0</v>
      </c>
      <c r="AD73" s="2">
        <v>5.4</v>
      </c>
      <c r="AE73" s="2">
        <v>118.4</v>
      </c>
      <c r="AF73" s="2">
        <v>108.9</v>
      </c>
      <c r="AG73" s="2">
        <v>9.5</v>
      </c>
      <c r="AH73" s="2">
        <v>18.399999999999999</v>
      </c>
      <c r="AI73" s="2">
        <v>3.36</v>
      </c>
      <c r="AJ73" s="2">
        <v>22.1</v>
      </c>
      <c r="AK73" s="2">
        <v>4.2</v>
      </c>
      <c r="AL73" s="2">
        <v>8.6999999999999993</v>
      </c>
      <c r="AM73" s="2">
        <v>6.5</v>
      </c>
      <c r="AN73" s="2">
        <v>6.6</v>
      </c>
      <c r="AO73" s="2">
        <v>62</v>
      </c>
      <c r="AP73" s="2">
        <v>63.3</v>
      </c>
      <c r="AQ73" s="2">
        <v>18.600000000000001</v>
      </c>
      <c r="AR73" s="2">
        <v>96.45</v>
      </c>
      <c r="AS73" s="2">
        <v>11.6</v>
      </c>
      <c r="AT73" s="2">
        <v>4561</v>
      </c>
      <c r="AU73" s="53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6"/>
    </row>
    <row r="74" spans="1:69" ht="13.2">
      <c r="A74" s="1" t="s">
        <v>172</v>
      </c>
      <c r="B74" s="1" t="s">
        <v>173</v>
      </c>
      <c r="C74" s="24" t="str">
        <f>VLOOKUP(B74,Equipe!$A$1:$B$31,2,FALSE)</f>
        <v>Minnesota Timberwolves</v>
      </c>
      <c r="D74" s="2">
        <v>25</v>
      </c>
      <c r="E74" s="2">
        <v>80</v>
      </c>
      <c r="F74" s="2">
        <v>47</v>
      </c>
      <c r="G74" s="2">
        <v>33</v>
      </c>
      <c r="H74" s="2">
        <v>27.5</v>
      </c>
      <c r="I74" s="3">
        <v>1136</v>
      </c>
      <c r="J74" s="4">
        <v>424</v>
      </c>
      <c r="K74" s="4">
        <v>920</v>
      </c>
      <c r="L74" s="3">
        <v>46.2</v>
      </c>
      <c r="M74" s="4">
        <v>176</v>
      </c>
      <c r="N74" s="4">
        <v>464</v>
      </c>
      <c r="O74" s="3">
        <v>37.9</v>
      </c>
      <c r="P74" s="3">
        <v>112</v>
      </c>
      <c r="Q74" s="3">
        <v>144</v>
      </c>
      <c r="R74" s="3">
        <v>77.599999999999994</v>
      </c>
      <c r="S74" s="4">
        <v>96</v>
      </c>
      <c r="T74" s="4">
        <v>392</v>
      </c>
      <c r="U74" s="4">
        <v>480</v>
      </c>
      <c r="V74" s="4">
        <v>184</v>
      </c>
      <c r="W74" s="4">
        <v>112</v>
      </c>
      <c r="X74" s="4">
        <v>56</v>
      </c>
      <c r="Y74" s="4">
        <v>72</v>
      </c>
      <c r="Z74" s="4">
        <v>192</v>
      </c>
      <c r="AA74" s="3">
        <v>2264</v>
      </c>
      <c r="AB74" s="3">
        <v>10</v>
      </c>
      <c r="AC74" s="3">
        <v>0</v>
      </c>
      <c r="AD74" s="2">
        <v>4.3</v>
      </c>
      <c r="AE74" s="2">
        <v>116.2</v>
      </c>
      <c r="AF74" s="2">
        <v>108.8</v>
      </c>
      <c r="AG74" s="2">
        <v>7.4</v>
      </c>
      <c r="AH74" s="2">
        <v>12.3</v>
      </c>
      <c r="AI74" s="2">
        <v>1.68</v>
      </c>
      <c r="AJ74" s="2">
        <v>14.2</v>
      </c>
      <c r="AK74" s="2">
        <v>4.0999999999999996</v>
      </c>
      <c r="AL74" s="2">
        <v>17.100000000000001</v>
      </c>
      <c r="AM74" s="2">
        <v>10.6</v>
      </c>
      <c r="AN74" s="2">
        <v>8.5</v>
      </c>
      <c r="AO74" s="2">
        <v>55.6</v>
      </c>
      <c r="AP74" s="2">
        <v>57.7</v>
      </c>
      <c r="AQ74" s="2">
        <v>21</v>
      </c>
      <c r="AR74" s="2">
        <v>99.34</v>
      </c>
      <c r="AS74" s="2">
        <v>11</v>
      </c>
      <c r="AT74" s="2">
        <v>4554</v>
      </c>
      <c r="AU74" s="53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6"/>
    </row>
    <row r="75" spans="1:69" ht="13.2">
      <c r="A75" s="1" t="s">
        <v>174</v>
      </c>
      <c r="B75" s="1" t="s">
        <v>175</v>
      </c>
      <c r="C75" s="24" t="str">
        <f>VLOOKUP(B75,Equipe!$A$1:$B$31,2,FALSE)</f>
        <v>Utah Jazz</v>
      </c>
      <c r="D75" s="2">
        <v>21</v>
      </c>
      <c r="E75" s="2">
        <v>67</v>
      </c>
      <c r="F75" s="2">
        <v>13</v>
      </c>
      <c r="G75" s="2">
        <v>54</v>
      </c>
      <c r="H75" s="2">
        <v>31.5</v>
      </c>
      <c r="I75" s="3">
        <v>1126</v>
      </c>
      <c r="J75" s="4">
        <v>362</v>
      </c>
      <c r="K75" s="4">
        <v>918</v>
      </c>
      <c r="L75" s="3">
        <v>39.1</v>
      </c>
      <c r="M75" s="4">
        <v>174</v>
      </c>
      <c r="N75" s="4">
        <v>509</v>
      </c>
      <c r="O75" s="3">
        <v>34.299999999999997</v>
      </c>
      <c r="P75" s="3">
        <v>235</v>
      </c>
      <c r="Q75" s="3">
        <v>288</v>
      </c>
      <c r="R75" s="3">
        <v>81.8</v>
      </c>
      <c r="S75" s="4">
        <v>27</v>
      </c>
      <c r="T75" s="4">
        <v>228</v>
      </c>
      <c r="U75" s="4">
        <v>255</v>
      </c>
      <c r="V75" s="4">
        <v>375</v>
      </c>
      <c r="W75" s="4">
        <v>181</v>
      </c>
      <c r="X75" s="4">
        <v>47</v>
      </c>
      <c r="Y75" s="4">
        <v>7</v>
      </c>
      <c r="Z75" s="4">
        <v>114</v>
      </c>
      <c r="AA75" s="3">
        <v>1977</v>
      </c>
      <c r="AB75" s="3">
        <v>4</v>
      </c>
      <c r="AC75" s="3">
        <v>0</v>
      </c>
      <c r="AD75" s="2">
        <v>-7.6</v>
      </c>
      <c r="AE75" s="2">
        <v>110.1</v>
      </c>
      <c r="AF75" s="2">
        <v>122</v>
      </c>
      <c r="AG75" s="2">
        <v>-11.9</v>
      </c>
      <c r="AH75" s="2">
        <v>27.2</v>
      </c>
      <c r="AI75" s="2">
        <v>2.06</v>
      </c>
      <c r="AJ75" s="2">
        <v>23.6</v>
      </c>
      <c r="AK75" s="2">
        <v>1.2</v>
      </c>
      <c r="AL75" s="2">
        <v>10.4</v>
      </c>
      <c r="AM75" s="2">
        <v>5.8</v>
      </c>
      <c r="AN75" s="2">
        <v>11.5</v>
      </c>
      <c r="AO75" s="2">
        <v>48.5</v>
      </c>
      <c r="AP75" s="2">
        <v>53.9</v>
      </c>
      <c r="AQ75" s="2">
        <v>23.7</v>
      </c>
      <c r="AR75" s="2">
        <v>101.25</v>
      </c>
      <c r="AS75" s="2">
        <v>9.3000000000000007</v>
      </c>
      <c r="AT75" s="2">
        <v>4454</v>
      </c>
      <c r="AU75" s="53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6"/>
    </row>
    <row r="76" spans="1:69" ht="13.2">
      <c r="A76" s="1" t="s">
        <v>176</v>
      </c>
      <c r="B76" s="1" t="s">
        <v>177</v>
      </c>
      <c r="C76" s="24" t="str">
        <f>VLOOKUP(B76,Equipe!$A$1:$B$31,2,FALSE)</f>
        <v>New Orleans Pelicans</v>
      </c>
      <c r="D76" s="2">
        <v>24</v>
      </c>
      <c r="E76" s="2">
        <v>53</v>
      </c>
      <c r="F76" s="2">
        <v>14</v>
      </c>
      <c r="G76" s="2">
        <v>39</v>
      </c>
      <c r="H76" s="2">
        <v>35</v>
      </c>
      <c r="I76" s="3">
        <v>1124</v>
      </c>
      <c r="J76" s="4">
        <v>382</v>
      </c>
      <c r="K76" s="4">
        <v>837</v>
      </c>
      <c r="L76" s="3">
        <v>45.4</v>
      </c>
      <c r="M76" s="4">
        <v>159</v>
      </c>
      <c r="N76" s="4">
        <v>440</v>
      </c>
      <c r="O76" s="3">
        <v>36.1</v>
      </c>
      <c r="P76" s="3">
        <v>201</v>
      </c>
      <c r="Q76" s="3">
        <v>228</v>
      </c>
      <c r="R76" s="3">
        <v>88.7</v>
      </c>
      <c r="S76" s="4">
        <v>48</v>
      </c>
      <c r="T76" s="4">
        <v>223</v>
      </c>
      <c r="U76" s="4">
        <v>270</v>
      </c>
      <c r="V76" s="4">
        <v>186</v>
      </c>
      <c r="W76" s="4">
        <v>101</v>
      </c>
      <c r="X76" s="4">
        <v>58</v>
      </c>
      <c r="Y76" s="4">
        <v>37</v>
      </c>
      <c r="Z76" s="4">
        <v>111</v>
      </c>
      <c r="AA76" s="3">
        <v>1908</v>
      </c>
      <c r="AB76" s="3">
        <v>2</v>
      </c>
      <c r="AC76" s="3">
        <v>0</v>
      </c>
      <c r="AD76" s="2">
        <v>-7.2</v>
      </c>
      <c r="AE76" s="2">
        <v>109</v>
      </c>
      <c r="AF76" s="2">
        <v>118.7</v>
      </c>
      <c r="AG76" s="2">
        <v>-9.6999999999999993</v>
      </c>
      <c r="AH76" s="2">
        <v>15.7</v>
      </c>
      <c r="AI76" s="2">
        <v>1.83</v>
      </c>
      <c r="AJ76" s="2">
        <v>15.4</v>
      </c>
      <c r="AK76" s="2">
        <v>2.4</v>
      </c>
      <c r="AL76" s="2">
        <v>11.7</v>
      </c>
      <c r="AM76" s="2">
        <v>6.9</v>
      </c>
      <c r="AN76" s="2">
        <v>8.4</v>
      </c>
      <c r="AO76" s="2">
        <v>54.8</v>
      </c>
      <c r="AP76" s="2">
        <v>59.8</v>
      </c>
      <c r="AQ76" s="2">
        <v>22.9</v>
      </c>
      <c r="AR76" s="2">
        <v>102.03</v>
      </c>
      <c r="AS76" s="2">
        <v>11</v>
      </c>
      <c r="AT76" s="2">
        <v>3941</v>
      </c>
      <c r="AU76" s="53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6"/>
    </row>
    <row r="77" spans="1:69" ht="13.2">
      <c r="A77" s="1" t="s">
        <v>178</v>
      </c>
      <c r="B77" s="1" t="s">
        <v>179</v>
      </c>
      <c r="C77" s="24" t="str">
        <f>VLOOKUP(B77,Equipe!$A$1:$B$31,2,FALSE)</f>
        <v>Indiana Pacers</v>
      </c>
      <c r="D77" s="2">
        <v>29</v>
      </c>
      <c r="E77" s="2">
        <v>72</v>
      </c>
      <c r="F77" s="2">
        <v>44</v>
      </c>
      <c r="G77" s="2">
        <v>28</v>
      </c>
      <c r="H77" s="2">
        <v>30.2</v>
      </c>
      <c r="I77" s="3">
        <v>1123</v>
      </c>
      <c r="J77" s="4">
        <v>389</v>
      </c>
      <c r="K77" s="4">
        <v>814</v>
      </c>
      <c r="L77" s="3">
        <v>48.1</v>
      </c>
      <c r="M77" s="4">
        <v>158</v>
      </c>
      <c r="N77" s="4">
        <v>396</v>
      </c>
      <c r="O77" s="3">
        <v>39.6</v>
      </c>
      <c r="P77" s="3">
        <v>187</v>
      </c>
      <c r="Q77" s="3">
        <v>238</v>
      </c>
      <c r="R77" s="3">
        <v>77.3</v>
      </c>
      <c r="S77" s="4">
        <v>94</v>
      </c>
      <c r="T77" s="4">
        <v>382</v>
      </c>
      <c r="U77" s="4">
        <v>468</v>
      </c>
      <c r="V77" s="4">
        <v>108</v>
      </c>
      <c r="W77" s="4">
        <v>122</v>
      </c>
      <c r="X77" s="4">
        <v>58</v>
      </c>
      <c r="Y77" s="4">
        <v>144</v>
      </c>
      <c r="Z77" s="4">
        <v>180</v>
      </c>
      <c r="AA77" s="3">
        <v>2326</v>
      </c>
      <c r="AB77" s="3">
        <v>13</v>
      </c>
      <c r="AC77" s="3">
        <v>0</v>
      </c>
      <c r="AD77" s="2">
        <v>2.8</v>
      </c>
      <c r="AE77" s="2">
        <v>116.1</v>
      </c>
      <c r="AF77" s="2">
        <v>111.5</v>
      </c>
      <c r="AG77" s="2">
        <v>4.7</v>
      </c>
      <c r="AH77" s="2">
        <v>7.2</v>
      </c>
      <c r="AI77" s="2">
        <v>0.9</v>
      </c>
      <c r="AJ77" s="2">
        <v>9.6999999999999993</v>
      </c>
      <c r="AK77" s="2">
        <v>4.3</v>
      </c>
      <c r="AL77" s="2">
        <v>16.899999999999999</v>
      </c>
      <c r="AM77" s="2">
        <v>10.9</v>
      </c>
      <c r="AN77" s="2">
        <v>10.7</v>
      </c>
      <c r="AO77" s="2">
        <v>57.7</v>
      </c>
      <c r="AP77" s="2">
        <v>61.2</v>
      </c>
      <c r="AQ77" s="2">
        <v>20.7</v>
      </c>
      <c r="AR77" s="2">
        <v>100.19</v>
      </c>
      <c r="AS77" s="2">
        <v>10.3</v>
      </c>
      <c r="AT77" s="2">
        <v>4533</v>
      </c>
      <c r="AU77" s="53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6"/>
    </row>
    <row r="78" spans="1:69" ht="13.2">
      <c r="A78" s="1" t="s">
        <v>180</v>
      </c>
      <c r="B78" s="1" t="s">
        <v>181</v>
      </c>
      <c r="C78" s="24" t="str">
        <f>VLOOKUP(B78,Equipe!$A$1:$B$31,2,FALSE)</f>
        <v>Sacramento Kings</v>
      </c>
      <c r="D78" s="2">
        <v>27</v>
      </c>
      <c r="E78" s="2">
        <v>65</v>
      </c>
      <c r="F78" s="2">
        <v>36</v>
      </c>
      <c r="G78" s="2">
        <v>29</v>
      </c>
      <c r="H78" s="2">
        <v>31.6</v>
      </c>
      <c r="I78" s="3">
        <v>1118</v>
      </c>
      <c r="J78" s="4">
        <v>410</v>
      </c>
      <c r="K78" s="4">
        <v>936</v>
      </c>
      <c r="L78" s="3">
        <v>43.9</v>
      </c>
      <c r="M78" s="4">
        <v>137</v>
      </c>
      <c r="N78" s="4">
        <v>429</v>
      </c>
      <c r="O78" s="3">
        <v>32.5</v>
      </c>
      <c r="P78" s="3">
        <v>156</v>
      </c>
      <c r="Q78" s="3">
        <v>176</v>
      </c>
      <c r="R78" s="3">
        <v>86.5</v>
      </c>
      <c r="S78" s="4">
        <v>33</v>
      </c>
      <c r="T78" s="4">
        <v>215</v>
      </c>
      <c r="U78" s="4">
        <v>247</v>
      </c>
      <c r="V78" s="4">
        <v>364</v>
      </c>
      <c r="W78" s="4">
        <v>156</v>
      </c>
      <c r="X78" s="4">
        <v>59</v>
      </c>
      <c r="Y78" s="4">
        <v>39</v>
      </c>
      <c r="Z78" s="4">
        <v>156</v>
      </c>
      <c r="AA78" s="3">
        <v>2093</v>
      </c>
      <c r="AB78" s="3">
        <v>4</v>
      </c>
      <c r="AC78" s="3">
        <v>0</v>
      </c>
      <c r="AD78" s="2">
        <v>1.8</v>
      </c>
      <c r="AE78" s="2">
        <v>117</v>
      </c>
      <c r="AF78" s="2">
        <v>114.5</v>
      </c>
      <c r="AG78" s="2">
        <v>2.5</v>
      </c>
      <c r="AH78" s="2">
        <v>24.6</v>
      </c>
      <c r="AI78" s="2">
        <v>2.2799999999999998</v>
      </c>
      <c r="AJ78" s="2">
        <v>23.6</v>
      </c>
      <c r="AK78" s="2">
        <v>1.4</v>
      </c>
      <c r="AL78" s="2">
        <v>10.4</v>
      </c>
      <c r="AM78" s="2">
        <v>5.9</v>
      </c>
      <c r="AN78" s="2">
        <v>10.4</v>
      </c>
      <c r="AO78" s="2">
        <v>51.3</v>
      </c>
      <c r="AP78" s="2">
        <v>54.9</v>
      </c>
      <c r="AQ78" s="2">
        <v>23.6</v>
      </c>
      <c r="AR78" s="2">
        <v>101.33</v>
      </c>
      <c r="AS78" s="2">
        <v>9.9</v>
      </c>
      <c r="AT78" s="2">
        <v>4339</v>
      </c>
      <c r="AU78" s="53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6"/>
    </row>
    <row r="79" spans="1:69" ht="13.2">
      <c r="A79" s="1" t="s">
        <v>182</v>
      </c>
      <c r="B79" s="1" t="s">
        <v>183</v>
      </c>
      <c r="C79" s="24" t="str">
        <f>VLOOKUP(B79,Equipe!$A$1:$B$31,2,FALSE)</f>
        <v>San Antonio Spurs</v>
      </c>
      <c r="D79" s="2">
        <v>21</v>
      </c>
      <c r="E79" s="2">
        <v>46</v>
      </c>
      <c r="F79" s="2">
        <v>21</v>
      </c>
      <c r="G79" s="2">
        <v>25</v>
      </c>
      <c r="H79" s="2">
        <v>33.200000000000003</v>
      </c>
      <c r="I79" s="3">
        <v>1118</v>
      </c>
      <c r="J79" s="4">
        <v>409</v>
      </c>
      <c r="K79" s="4">
        <v>856</v>
      </c>
      <c r="L79" s="3">
        <v>47.6</v>
      </c>
      <c r="M79" s="4">
        <v>143</v>
      </c>
      <c r="N79" s="4">
        <v>405</v>
      </c>
      <c r="O79" s="3">
        <v>35.200000000000003</v>
      </c>
      <c r="P79" s="3">
        <v>156</v>
      </c>
      <c r="Q79" s="3">
        <v>189</v>
      </c>
      <c r="R79" s="3">
        <v>83.6</v>
      </c>
      <c r="S79" s="4">
        <v>83</v>
      </c>
      <c r="T79" s="4">
        <v>423</v>
      </c>
      <c r="U79" s="4">
        <v>506</v>
      </c>
      <c r="V79" s="4">
        <v>170</v>
      </c>
      <c r="W79" s="4">
        <v>147</v>
      </c>
      <c r="X79" s="4">
        <v>51</v>
      </c>
      <c r="Y79" s="4">
        <v>175</v>
      </c>
      <c r="Z79" s="4">
        <v>106</v>
      </c>
      <c r="AA79" s="3">
        <v>2512</v>
      </c>
      <c r="AB79" s="3">
        <v>28</v>
      </c>
      <c r="AC79" s="3">
        <v>1</v>
      </c>
      <c r="AD79" s="2">
        <v>2.2000000000000002</v>
      </c>
      <c r="AE79" s="2">
        <v>112.5</v>
      </c>
      <c r="AF79" s="2">
        <v>110</v>
      </c>
      <c r="AG79" s="2">
        <v>2.5</v>
      </c>
      <c r="AH79" s="2">
        <v>18.399999999999999</v>
      </c>
      <c r="AI79" s="2">
        <v>1.1299999999999999</v>
      </c>
      <c r="AJ79" s="2">
        <v>13.4</v>
      </c>
      <c r="AK79" s="2">
        <v>5.4</v>
      </c>
      <c r="AL79" s="2">
        <v>25.5</v>
      </c>
      <c r="AM79" s="2">
        <v>15.9</v>
      </c>
      <c r="AN79" s="2">
        <v>11.9</v>
      </c>
      <c r="AO79" s="2">
        <v>55.9</v>
      </c>
      <c r="AP79" s="2">
        <v>59.4</v>
      </c>
      <c r="AQ79" s="2">
        <v>30</v>
      </c>
      <c r="AR79" s="2">
        <v>101</v>
      </c>
      <c r="AS79" s="2">
        <v>16.8</v>
      </c>
      <c r="AT79" s="2">
        <v>3223</v>
      </c>
      <c r="AU79" s="53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6"/>
    </row>
    <row r="80" spans="1:69" ht="13.2">
      <c r="A80" s="1" t="s">
        <v>184</v>
      </c>
      <c r="B80" s="1" t="s">
        <v>185</v>
      </c>
      <c r="C80" s="24" t="str">
        <f>VLOOKUP(B80,Equipe!$A$1:$B$31,2,FALSE)</f>
        <v>Cleveland Cavaliers</v>
      </c>
      <c r="D80" s="2">
        <v>27</v>
      </c>
      <c r="E80" s="2">
        <v>82</v>
      </c>
      <c r="F80" s="2">
        <v>64</v>
      </c>
      <c r="G80" s="2">
        <v>18</v>
      </c>
      <c r="H80" s="2">
        <v>28</v>
      </c>
      <c r="I80" s="3">
        <v>1107</v>
      </c>
      <c r="J80" s="4">
        <v>451</v>
      </c>
      <c r="K80" s="4">
        <v>640</v>
      </c>
      <c r="L80" s="3">
        <v>70.599999999999994</v>
      </c>
      <c r="M80" s="3">
        <v>0</v>
      </c>
      <c r="N80" s="4">
        <v>8</v>
      </c>
      <c r="O80" s="3">
        <v>0</v>
      </c>
      <c r="P80" s="3">
        <v>197</v>
      </c>
      <c r="Q80" s="3">
        <v>279</v>
      </c>
      <c r="R80" s="3">
        <v>71.8</v>
      </c>
      <c r="S80" s="4">
        <v>213</v>
      </c>
      <c r="T80" s="4">
        <v>582</v>
      </c>
      <c r="U80" s="4">
        <v>795</v>
      </c>
      <c r="V80" s="4">
        <v>156</v>
      </c>
      <c r="W80" s="4">
        <v>98</v>
      </c>
      <c r="X80" s="4">
        <v>74</v>
      </c>
      <c r="Y80" s="4">
        <v>74</v>
      </c>
      <c r="Z80" s="4">
        <v>123</v>
      </c>
      <c r="AA80" s="3">
        <v>2649</v>
      </c>
      <c r="AB80" s="3">
        <v>40</v>
      </c>
      <c r="AC80" s="3">
        <v>0</v>
      </c>
      <c r="AD80" s="2">
        <v>6.3</v>
      </c>
      <c r="AE80" s="2">
        <v>121.9</v>
      </c>
      <c r="AF80" s="2">
        <v>111.3</v>
      </c>
      <c r="AG80" s="2">
        <v>10.5</v>
      </c>
      <c r="AH80" s="2">
        <v>9.1</v>
      </c>
      <c r="AI80" s="2">
        <v>1.63</v>
      </c>
      <c r="AJ80" s="2">
        <v>15.5</v>
      </c>
      <c r="AK80" s="2">
        <v>9.5</v>
      </c>
      <c r="AL80" s="2">
        <v>23.8</v>
      </c>
      <c r="AM80" s="2">
        <v>16.899999999999999</v>
      </c>
      <c r="AN80" s="2">
        <v>9.5</v>
      </c>
      <c r="AO80" s="2">
        <v>70.599999999999994</v>
      </c>
      <c r="AP80" s="2">
        <v>72.400000000000006</v>
      </c>
      <c r="AQ80" s="2">
        <v>15.6</v>
      </c>
      <c r="AR80" s="2">
        <v>101.43</v>
      </c>
      <c r="AS80" s="2">
        <v>14.8</v>
      </c>
      <c r="AT80" s="2">
        <v>4853</v>
      </c>
      <c r="AU80" s="53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6"/>
    </row>
    <row r="81" spans="1:69" ht="13.2">
      <c r="A81" s="1" t="s">
        <v>186</v>
      </c>
      <c r="B81" s="1" t="s">
        <v>187</v>
      </c>
      <c r="C81" s="24" t="str">
        <f>VLOOKUP(B81,Equipe!$A$1:$B$31,2,FALSE)</f>
        <v>Philadelphia 76ers</v>
      </c>
      <c r="D81" s="2">
        <v>25</v>
      </c>
      <c r="E81" s="2">
        <v>75</v>
      </c>
      <c r="F81" s="2">
        <v>29</v>
      </c>
      <c r="G81" s="2">
        <v>46</v>
      </c>
      <c r="H81" s="2">
        <v>26.8</v>
      </c>
      <c r="I81" s="3">
        <v>1095</v>
      </c>
      <c r="J81" s="4">
        <v>383</v>
      </c>
      <c r="K81" s="4">
        <v>825</v>
      </c>
      <c r="L81" s="3">
        <v>46.7</v>
      </c>
      <c r="M81" s="4">
        <v>165</v>
      </c>
      <c r="N81" s="4">
        <v>420</v>
      </c>
      <c r="O81" s="3">
        <v>38.5</v>
      </c>
      <c r="P81" s="3">
        <v>165</v>
      </c>
      <c r="Q81" s="3">
        <v>218</v>
      </c>
      <c r="R81" s="3">
        <v>75.7</v>
      </c>
      <c r="S81" s="4">
        <v>60</v>
      </c>
      <c r="T81" s="4">
        <v>263</v>
      </c>
      <c r="U81" s="4">
        <v>323</v>
      </c>
      <c r="V81" s="4">
        <v>225</v>
      </c>
      <c r="W81" s="4">
        <v>143</v>
      </c>
      <c r="X81" s="4">
        <v>75</v>
      </c>
      <c r="Y81" s="4">
        <v>23</v>
      </c>
      <c r="Z81" s="4">
        <v>135</v>
      </c>
      <c r="AA81" s="3">
        <v>1973</v>
      </c>
      <c r="AB81" s="3">
        <v>4</v>
      </c>
      <c r="AC81" s="3">
        <v>0</v>
      </c>
      <c r="AD81" s="2">
        <v>-3.5</v>
      </c>
      <c r="AE81" s="2">
        <v>111.9</v>
      </c>
      <c r="AF81" s="2">
        <v>118.1</v>
      </c>
      <c r="AG81" s="2">
        <v>-6.2</v>
      </c>
      <c r="AH81" s="2">
        <v>17.2</v>
      </c>
      <c r="AI81" s="2">
        <v>1.62</v>
      </c>
      <c r="AJ81" s="2">
        <v>17.899999999999999</v>
      </c>
      <c r="AK81" s="2">
        <v>2.8</v>
      </c>
      <c r="AL81" s="2">
        <v>12.6</v>
      </c>
      <c r="AM81" s="2">
        <v>7.7</v>
      </c>
      <c r="AN81" s="2">
        <v>11</v>
      </c>
      <c r="AO81" s="2">
        <v>56.5</v>
      </c>
      <c r="AP81" s="2">
        <v>59.5</v>
      </c>
      <c r="AQ81" s="2">
        <v>21.8</v>
      </c>
      <c r="AR81" s="2">
        <v>100.7</v>
      </c>
      <c r="AS81" s="2">
        <v>10.5</v>
      </c>
      <c r="AT81" s="2">
        <v>4223</v>
      </c>
      <c r="AU81" s="53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6"/>
    </row>
    <row r="82" spans="1:69" ht="13.2">
      <c r="A82" s="1" t="s">
        <v>188</v>
      </c>
      <c r="B82" s="1" t="s">
        <v>189</v>
      </c>
      <c r="C82" s="24" t="str">
        <f>VLOOKUP(B82,Equipe!$A$1:$B$31,2,FALSE)</f>
        <v>Cleveland Cavaliers</v>
      </c>
      <c r="D82" s="2">
        <v>27</v>
      </c>
      <c r="E82" s="2">
        <v>64</v>
      </c>
      <c r="F82" s="2">
        <v>38</v>
      </c>
      <c r="G82" s="2">
        <v>26</v>
      </c>
      <c r="H82" s="2">
        <v>27.2</v>
      </c>
      <c r="I82" s="3">
        <v>1088</v>
      </c>
      <c r="J82" s="4">
        <v>358</v>
      </c>
      <c r="K82" s="4">
        <v>762</v>
      </c>
      <c r="L82" s="3">
        <v>47</v>
      </c>
      <c r="M82" s="4">
        <v>160</v>
      </c>
      <c r="N82" s="4">
        <v>390</v>
      </c>
      <c r="O82" s="3">
        <v>40.5</v>
      </c>
      <c r="P82" s="3">
        <v>218</v>
      </c>
      <c r="Q82" s="3">
        <v>256</v>
      </c>
      <c r="R82" s="3">
        <v>84.6</v>
      </c>
      <c r="S82" s="4">
        <v>45</v>
      </c>
      <c r="T82" s="4">
        <v>211</v>
      </c>
      <c r="U82" s="4">
        <v>256</v>
      </c>
      <c r="V82" s="4">
        <v>90</v>
      </c>
      <c r="W82" s="4">
        <v>83</v>
      </c>
      <c r="X82" s="4">
        <v>51</v>
      </c>
      <c r="Y82" s="4">
        <v>13</v>
      </c>
      <c r="Z82" s="4">
        <v>154</v>
      </c>
      <c r="AA82" s="3">
        <v>1645</v>
      </c>
      <c r="AB82" s="3">
        <v>2</v>
      </c>
      <c r="AC82" s="3">
        <v>0</v>
      </c>
      <c r="AD82" s="2">
        <v>1.4</v>
      </c>
      <c r="AE82" s="2">
        <v>115.9</v>
      </c>
      <c r="AF82" s="2">
        <v>113.9</v>
      </c>
      <c r="AG82" s="2">
        <v>2</v>
      </c>
      <c r="AH82" s="2">
        <v>7.7</v>
      </c>
      <c r="AI82" s="2">
        <v>1.1200000000000001</v>
      </c>
      <c r="AJ82" s="2">
        <v>8.6999999999999993</v>
      </c>
      <c r="AK82" s="2">
        <v>2.4</v>
      </c>
      <c r="AL82" s="2">
        <v>11.7</v>
      </c>
      <c r="AM82" s="2">
        <v>7.1</v>
      </c>
      <c r="AN82" s="2">
        <v>7.8</v>
      </c>
      <c r="AO82" s="2">
        <v>57.3</v>
      </c>
      <c r="AP82" s="2">
        <v>62.3</v>
      </c>
      <c r="AQ82" s="2">
        <v>22.1</v>
      </c>
      <c r="AR82" s="2">
        <v>104.77</v>
      </c>
      <c r="AS82" s="2">
        <v>10.1</v>
      </c>
      <c r="AT82" s="2">
        <v>3803</v>
      </c>
      <c r="AU82" s="53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6"/>
    </row>
    <row r="83" spans="1:69" ht="13.2">
      <c r="A83" s="1" t="s">
        <v>190</v>
      </c>
      <c r="B83" s="1" t="s">
        <v>191</v>
      </c>
      <c r="C83" s="24" t="str">
        <f>VLOOKUP(B83,Equipe!$A$1:$B$31,2,FALSE)</f>
        <v>Miami Heat</v>
      </c>
      <c r="D83" s="2">
        <v>30</v>
      </c>
      <c r="E83" s="2">
        <v>60</v>
      </c>
      <c r="F83" s="2">
        <v>27</v>
      </c>
      <c r="G83" s="2">
        <v>33</v>
      </c>
      <c r="H83" s="2">
        <v>30.7</v>
      </c>
      <c r="I83" s="3">
        <v>1080</v>
      </c>
      <c r="J83" s="4">
        <v>378</v>
      </c>
      <c r="K83" s="4">
        <v>840</v>
      </c>
      <c r="L83" s="3">
        <v>44.8</v>
      </c>
      <c r="M83" s="4">
        <v>132</v>
      </c>
      <c r="N83" s="4">
        <v>348</v>
      </c>
      <c r="O83" s="3">
        <v>37.4</v>
      </c>
      <c r="P83" s="3">
        <v>198</v>
      </c>
      <c r="Q83" s="3">
        <v>258</v>
      </c>
      <c r="R83" s="3">
        <v>76.3</v>
      </c>
      <c r="S83" s="4">
        <v>90</v>
      </c>
      <c r="T83" s="4">
        <v>180</v>
      </c>
      <c r="U83" s="4">
        <v>270</v>
      </c>
      <c r="V83" s="4">
        <v>156</v>
      </c>
      <c r="W83" s="4">
        <v>102</v>
      </c>
      <c r="X83" s="4">
        <v>60</v>
      </c>
      <c r="Y83" s="4">
        <v>48</v>
      </c>
      <c r="Z83" s="4">
        <v>102</v>
      </c>
      <c r="AA83" s="3">
        <v>1866</v>
      </c>
      <c r="AB83" s="3">
        <v>3</v>
      </c>
      <c r="AC83" s="3">
        <v>0</v>
      </c>
      <c r="AD83" s="2">
        <v>-1.7</v>
      </c>
      <c r="AE83" s="2">
        <v>109.4</v>
      </c>
      <c r="AF83" s="2">
        <v>111.7</v>
      </c>
      <c r="AG83" s="2">
        <v>-2.2999999999999998</v>
      </c>
      <c r="AH83" s="2">
        <v>13.7</v>
      </c>
      <c r="AI83" s="2">
        <v>1.6</v>
      </c>
      <c r="AJ83" s="2">
        <v>13.1</v>
      </c>
      <c r="AK83" s="2">
        <v>4.5</v>
      </c>
      <c r="AL83" s="2">
        <v>9.5</v>
      </c>
      <c r="AM83" s="2">
        <v>6.9</v>
      </c>
      <c r="AN83" s="2">
        <v>8.1999999999999993</v>
      </c>
      <c r="AO83" s="2">
        <v>52.6</v>
      </c>
      <c r="AP83" s="2">
        <v>56.6</v>
      </c>
      <c r="AQ83" s="2">
        <v>23.8</v>
      </c>
      <c r="AR83" s="2">
        <v>99.96</v>
      </c>
      <c r="AS83" s="2">
        <v>10.5</v>
      </c>
      <c r="AT83" s="2">
        <v>3831</v>
      </c>
      <c r="AU83" s="53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6"/>
    </row>
    <row r="84" spans="1:69" ht="13.2">
      <c r="A84" s="1" t="s">
        <v>192</v>
      </c>
      <c r="B84" s="1" t="s">
        <v>193</v>
      </c>
      <c r="C84" s="24" t="str">
        <f>VLOOKUP(B84,Equipe!$A$1:$B$31,2,FALSE)</f>
        <v>Atlanta Hawks</v>
      </c>
      <c r="D84" s="2">
        <v>22</v>
      </c>
      <c r="E84" s="2">
        <v>76</v>
      </c>
      <c r="F84" s="2">
        <v>37</v>
      </c>
      <c r="G84" s="2">
        <v>39</v>
      </c>
      <c r="H84" s="2">
        <v>33.799999999999997</v>
      </c>
      <c r="I84" s="3">
        <v>1072</v>
      </c>
      <c r="J84" s="4">
        <v>456</v>
      </c>
      <c r="K84" s="4">
        <v>920</v>
      </c>
      <c r="L84" s="3">
        <v>49.3</v>
      </c>
      <c r="M84" s="4">
        <v>84</v>
      </c>
      <c r="N84" s="4">
        <v>236</v>
      </c>
      <c r="O84" s="3">
        <v>34</v>
      </c>
      <c r="P84" s="3">
        <v>84</v>
      </c>
      <c r="Q84" s="3">
        <v>137</v>
      </c>
      <c r="R84" s="3">
        <v>59.3</v>
      </c>
      <c r="S84" s="4">
        <v>122</v>
      </c>
      <c r="T84" s="4">
        <v>327</v>
      </c>
      <c r="U84" s="4">
        <v>448</v>
      </c>
      <c r="V84" s="4">
        <v>334</v>
      </c>
      <c r="W84" s="4">
        <v>152</v>
      </c>
      <c r="X84" s="4">
        <v>228</v>
      </c>
      <c r="Y84" s="4">
        <v>53</v>
      </c>
      <c r="Z84" s="4">
        <v>175</v>
      </c>
      <c r="AA84" s="3">
        <v>2812</v>
      </c>
      <c r="AB84" s="3">
        <v>9</v>
      </c>
      <c r="AC84" s="3">
        <v>0</v>
      </c>
      <c r="AD84" s="2">
        <v>-0.9</v>
      </c>
      <c r="AE84" s="2">
        <v>113.3</v>
      </c>
      <c r="AF84" s="2">
        <v>114.2</v>
      </c>
      <c r="AG84" s="2">
        <v>-0.9</v>
      </c>
      <c r="AH84" s="2">
        <v>17.399999999999999</v>
      </c>
      <c r="AI84" s="2">
        <v>2.15</v>
      </c>
      <c r="AJ84" s="2">
        <v>22.6</v>
      </c>
      <c r="AK84" s="2">
        <v>4.5999999999999996</v>
      </c>
      <c r="AL84" s="2">
        <v>12.7</v>
      </c>
      <c r="AM84" s="2">
        <v>8.5</v>
      </c>
      <c r="AN84" s="2">
        <v>10.5</v>
      </c>
      <c r="AO84" s="2">
        <v>53.6</v>
      </c>
      <c r="AP84" s="2">
        <v>54.5</v>
      </c>
      <c r="AQ84" s="2">
        <v>17.8</v>
      </c>
      <c r="AR84" s="2">
        <v>104.17</v>
      </c>
      <c r="AS84" s="2">
        <v>9.9</v>
      </c>
      <c r="AT84" s="2">
        <v>5574</v>
      </c>
      <c r="AU84" s="53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6"/>
    </row>
    <row r="85" spans="1:69" ht="13.2">
      <c r="A85" s="1" t="s">
        <v>194</v>
      </c>
      <c r="B85" s="1" t="s">
        <v>195</v>
      </c>
      <c r="C85" s="24" t="str">
        <f>VLOOKUP(B85,Equipe!$A$1:$B$31,2,FALSE)</f>
        <v>Brooklyn Nets</v>
      </c>
      <c r="D85" s="2">
        <v>29</v>
      </c>
      <c r="E85" s="2">
        <v>57</v>
      </c>
      <c r="F85" s="2">
        <v>21</v>
      </c>
      <c r="G85" s="2">
        <v>36</v>
      </c>
      <c r="H85" s="2">
        <v>31.6</v>
      </c>
      <c r="I85" s="3">
        <v>1072</v>
      </c>
      <c r="J85" s="4">
        <v>353</v>
      </c>
      <c r="K85" s="4">
        <v>747</v>
      </c>
      <c r="L85" s="3">
        <v>47.5</v>
      </c>
      <c r="M85" s="4">
        <v>160</v>
      </c>
      <c r="N85" s="4">
        <v>410</v>
      </c>
      <c r="O85" s="3">
        <v>39</v>
      </c>
      <c r="P85" s="3">
        <v>200</v>
      </c>
      <c r="Q85" s="3">
        <v>222</v>
      </c>
      <c r="R85" s="3">
        <v>89.3</v>
      </c>
      <c r="S85" s="4">
        <v>51</v>
      </c>
      <c r="T85" s="4">
        <v>194</v>
      </c>
      <c r="U85" s="4">
        <v>245</v>
      </c>
      <c r="V85" s="4">
        <v>194</v>
      </c>
      <c r="W85" s="4">
        <v>97</v>
      </c>
      <c r="X85" s="4">
        <v>51</v>
      </c>
      <c r="Y85" s="4">
        <v>23</v>
      </c>
      <c r="Z85" s="4">
        <v>103</v>
      </c>
      <c r="AA85" s="3">
        <v>1790</v>
      </c>
      <c r="AB85" s="3">
        <v>2</v>
      </c>
      <c r="AC85" s="3">
        <v>0</v>
      </c>
      <c r="AD85" s="2">
        <v>-3.5</v>
      </c>
      <c r="AE85" s="2">
        <v>110.9</v>
      </c>
      <c r="AF85" s="2">
        <v>116.7</v>
      </c>
      <c r="AG85" s="2">
        <v>-5.8</v>
      </c>
      <c r="AH85" s="2">
        <v>17.899999999999999</v>
      </c>
      <c r="AI85" s="2">
        <v>1.96</v>
      </c>
      <c r="AJ85" s="2">
        <v>17.2</v>
      </c>
      <c r="AK85" s="2">
        <v>3</v>
      </c>
      <c r="AL85" s="2">
        <v>11.3</v>
      </c>
      <c r="AM85" s="2">
        <v>7</v>
      </c>
      <c r="AN85" s="2">
        <v>8.8000000000000007</v>
      </c>
      <c r="AO85" s="2">
        <v>58.2</v>
      </c>
      <c r="AP85" s="2">
        <v>63.2</v>
      </c>
      <c r="AQ85" s="2">
        <v>22.4</v>
      </c>
      <c r="AR85" s="2">
        <v>97.41</v>
      </c>
      <c r="AS85" s="2">
        <v>12.4</v>
      </c>
      <c r="AT85" s="2">
        <v>3657</v>
      </c>
      <c r="AU85" s="53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6"/>
    </row>
    <row r="86" spans="1:69" ht="13.2">
      <c r="A86" s="1" t="s">
        <v>196</v>
      </c>
      <c r="B86" s="1" t="s">
        <v>197</v>
      </c>
      <c r="C86" s="24" t="str">
        <f>VLOOKUP(B86,Equipe!$A$1:$B$31,2,FALSE)</f>
        <v>Houston Rockets</v>
      </c>
      <c r="D86" s="2">
        <v>29</v>
      </c>
      <c r="E86" s="2">
        <v>75</v>
      </c>
      <c r="F86" s="2">
        <v>49</v>
      </c>
      <c r="G86" s="2">
        <v>26</v>
      </c>
      <c r="H86" s="2">
        <v>31.8</v>
      </c>
      <c r="I86" s="3">
        <v>1050</v>
      </c>
      <c r="J86" s="4">
        <v>383</v>
      </c>
      <c r="K86" s="4">
        <v>893</v>
      </c>
      <c r="L86" s="3">
        <v>42.9</v>
      </c>
      <c r="M86" s="4">
        <v>188</v>
      </c>
      <c r="N86" s="4">
        <v>473</v>
      </c>
      <c r="O86" s="3">
        <v>39.700000000000003</v>
      </c>
      <c r="P86" s="3">
        <v>98</v>
      </c>
      <c r="Q86" s="3">
        <v>120</v>
      </c>
      <c r="R86" s="3">
        <v>81.8</v>
      </c>
      <c r="S86" s="4">
        <v>75</v>
      </c>
      <c r="T86" s="4">
        <v>203</v>
      </c>
      <c r="U86" s="4">
        <v>278</v>
      </c>
      <c r="V86" s="4">
        <v>128</v>
      </c>
      <c r="W86" s="4">
        <v>75</v>
      </c>
      <c r="X86" s="4">
        <v>60</v>
      </c>
      <c r="Y86" s="4">
        <v>15</v>
      </c>
      <c r="Z86" s="4">
        <v>240</v>
      </c>
      <c r="AA86" s="3">
        <v>1725</v>
      </c>
      <c r="AB86" s="3">
        <v>0</v>
      </c>
      <c r="AC86" s="3">
        <v>0</v>
      </c>
      <c r="AD86" s="2">
        <v>2.8</v>
      </c>
      <c r="AE86" s="2">
        <v>113.5</v>
      </c>
      <c r="AF86" s="2">
        <v>108.8</v>
      </c>
      <c r="AG86" s="2">
        <v>4.7</v>
      </c>
      <c r="AH86" s="2">
        <v>7.6</v>
      </c>
      <c r="AI86" s="2">
        <v>1.68</v>
      </c>
      <c r="AJ86" s="2">
        <v>11.1</v>
      </c>
      <c r="AK86" s="2">
        <v>2.8</v>
      </c>
      <c r="AL86" s="2">
        <v>8.1</v>
      </c>
      <c r="AM86" s="2">
        <v>5.4</v>
      </c>
      <c r="AN86" s="2">
        <v>6.6</v>
      </c>
      <c r="AO86" s="2">
        <v>53.3</v>
      </c>
      <c r="AP86" s="2">
        <v>55.5</v>
      </c>
      <c r="AQ86" s="2">
        <v>17.600000000000001</v>
      </c>
      <c r="AR86" s="2">
        <v>98.94</v>
      </c>
      <c r="AS86" s="2">
        <v>6.7</v>
      </c>
      <c r="AT86" s="2">
        <v>4913</v>
      </c>
      <c r="AU86" s="53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6"/>
    </row>
    <row r="87" spans="1:69" ht="13.2">
      <c r="A87" s="1" t="s">
        <v>198</v>
      </c>
      <c r="B87" s="1" t="s">
        <v>199</v>
      </c>
      <c r="C87" s="24" t="str">
        <f>VLOOKUP(B87,Equipe!$A$1:$B$31,2,FALSE)</f>
        <v>New York Knicks</v>
      </c>
      <c r="D87" s="2">
        <v>30</v>
      </c>
      <c r="E87" s="2">
        <v>77</v>
      </c>
      <c r="F87" s="2">
        <v>48</v>
      </c>
      <c r="G87" s="2">
        <v>29</v>
      </c>
      <c r="H87" s="2">
        <v>37.6</v>
      </c>
      <c r="I87" s="3">
        <v>1047</v>
      </c>
      <c r="J87" s="4">
        <v>400</v>
      </c>
      <c r="K87" s="4">
        <v>770</v>
      </c>
      <c r="L87" s="3">
        <v>52.5</v>
      </c>
      <c r="M87" s="4">
        <v>85</v>
      </c>
      <c r="N87" s="4">
        <v>254</v>
      </c>
      <c r="O87" s="3">
        <v>33.299999999999997</v>
      </c>
      <c r="P87" s="3">
        <v>162</v>
      </c>
      <c r="Q87" s="3">
        <v>208</v>
      </c>
      <c r="R87" s="3">
        <v>77.599999999999994</v>
      </c>
      <c r="S87" s="4">
        <v>162</v>
      </c>
      <c r="T87" s="4">
        <v>578</v>
      </c>
      <c r="U87" s="4">
        <v>739</v>
      </c>
      <c r="V87" s="4">
        <v>454</v>
      </c>
      <c r="W87" s="4">
        <v>162</v>
      </c>
      <c r="X87" s="4">
        <v>116</v>
      </c>
      <c r="Y87" s="4">
        <v>31</v>
      </c>
      <c r="Z87" s="4">
        <v>200</v>
      </c>
      <c r="AA87" s="3">
        <v>2895</v>
      </c>
      <c r="AB87" s="3">
        <v>34</v>
      </c>
      <c r="AC87" s="3">
        <v>9</v>
      </c>
      <c r="AD87" s="2">
        <v>2.6</v>
      </c>
      <c r="AE87" s="2">
        <v>117.9</v>
      </c>
      <c r="AF87" s="2">
        <v>114.3</v>
      </c>
      <c r="AG87" s="2">
        <v>3.6</v>
      </c>
      <c r="AH87" s="2">
        <v>20.6</v>
      </c>
      <c r="AI87" s="2">
        <v>2.87</v>
      </c>
      <c r="AJ87" s="2">
        <v>30.8</v>
      </c>
      <c r="AK87" s="2">
        <v>5.7</v>
      </c>
      <c r="AL87" s="2">
        <v>20.3</v>
      </c>
      <c r="AM87" s="2">
        <v>13</v>
      </c>
      <c r="AN87" s="2">
        <v>10.8</v>
      </c>
      <c r="AO87" s="2">
        <v>57.9</v>
      </c>
      <c r="AP87" s="2">
        <v>61.1</v>
      </c>
      <c r="AQ87" s="2">
        <v>15.1</v>
      </c>
      <c r="AR87" s="2">
        <v>97.79</v>
      </c>
      <c r="AS87" s="2">
        <v>11.9</v>
      </c>
      <c r="AT87" s="2">
        <v>5898</v>
      </c>
      <c r="AU87" s="53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6"/>
    </row>
    <row r="88" spans="1:69" ht="13.2">
      <c r="A88" s="1" t="s">
        <v>200</v>
      </c>
      <c r="B88" s="1" t="s">
        <v>201</v>
      </c>
      <c r="C88" s="24" t="str">
        <f>VLOOKUP(B88,Equipe!$A$1:$B$31,2,FALSE)</f>
        <v>San Antonio Spurs</v>
      </c>
      <c r="D88" s="2">
        <v>24</v>
      </c>
      <c r="E88" s="2">
        <v>64</v>
      </c>
      <c r="F88" s="2">
        <v>24</v>
      </c>
      <c r="G88" s="2">
        <v>40</v>
      </c>
      <c r="H88" s="2">
        <v>31</v>
      </c>
      <c r="I88" s="3">
        <v>1043</v>
      </c>
      <c r="J88" s="4">
        <v>397</v>
      </c>
      <c r="K88" s="4">
        <v>890</v>
      </c>
      <c r="L88" s="3">
        <v>44.3</v>
      </c>
      <c r="M88" s="4">
        <v>160</v>
      </c>
      <c r="N88" s="4">
        <v>429</v>
      </c>
      <c r="O88" s="3">
        <v>36.799999999999997</v>
      </c>
      <c r="P88" s="3">
        <v>96</v>
      </c>
      <c r="Q88" s="3">
        <v>122</v>
      </c>
      <c r="R88" s="3">
        <v>79.2</v>
      </c>
      <c r="S88" s="4">
        <v>32</v>
      </c>
      <c r="T88" s="4">
        <v>224</v>
      </c>
      <c r="U88" s="4">
        <v>256</v>
      </c>
      <c r="V88" s="4">
        <v>186</v>
      </c>
      <c r="W88" s="4">
        <v>90</v>
      </c>
      <c r="X88" s="4">
        <v>83</v>
      </c>
      <c r="Y88" s="4">
        <v>32</v>
      </c>
      <c r="Z88" s="4">
        <v>109</v>
      </c>
      <c r="AA88" s="3">
        <v>1882</v>
      </c>
      <c r="AB88" s="3">
        <v>2</v>
      </c>
      <c r="AC88" s="3">
        <v>0</v>
      </c>
      <c r="AD88" s="2">
        <v>-4.0999999999999996</v>
      </c>
      <c r="AE88" s="2">
        <v>111.9</v>
      </c>
      <c r="AF88" s="2">
        <v>118.1</v>
      </c>
      <c r="AG88" s="2">
        <v>-6.2</v>
      </c>
      <c r="AH88" s="2">
        <v>13.9</v>
      </c>
      <c r="AI88" s="2">
        <v>2.08</v>
      </c>
      <c r="AJ88" s="2">
        <v>15.2</v>
      </c>
      <c r="AK88" s="2">
        <v>1.6</v>
      </c>
      <c r="AL88" s="2">
        <v>10.7</v>
      </c>
      <c r="AM88" s="2">
        <v>6.2</v>
      </c>
      <c r="AN88" s="2">
        <v>7.3</v>
      </c>
      <c r="AO88" s="2">
        <v>53.2</v>
      </c>
      <c r="AP88" s="2">
        <v>55.3</v>
      </c>
      <c r="AQ88" s="2">
        <v>21.7</v>
      </c>
      <c r="AR88" s="2">
        <v>100.8</v>
      </c>
      <c r="AS88" s="2">
        <v>9.1999999999999993</v>
      </c>
      <c r="AT88" s="2">
        <v>4163</v>
      </c>
      <c r="AU88" s="53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6"/>
    </row>
    <row r="89" spans="1:69" ht="13.2">
      <c r="A89" s="1" t="s">
        <v>202</v>
      </c>
      <c r="B89" s="1" t="s">
        <v>203</v>
      </c>
      <c r="C89" s="24" t="str">
        <f>VLOOKUP(B89,Equipe!$A$1:$B$31,2,FALSE)</f>
        <v>Milwaukee Bucks</v>
      </c>
      <c r="D89" s="2">
        <v>37</v>
      </c>
      <c r="E89" s="2">
        <v>80</v>
      </c>
      <c r="F89" s="2">
        <v>47</v>
      </c>
      <c r="G89" s="2">
        <v>33</v>
      </c>
      <c r="H89" s="2">
        <v>31.8</v>
      </c>
      <c r="I89" s="3">
        <v>1040</v>
      </c>
      <c r="J89" s="4">
        <v>392</v>
      </c>
      <c r="K89" s="4">
        <v>776</v>
      </c>
      <c r="L89" s="3">
        <v>50.9</v>
      </c>
      <c r="M89" s="4">
        <v>136</v>
      </c>
      <c r="N89" s="4">
        <v>376</v>
      </c>
      <c r="O89" s="3">
        <v>37.299999999999997</v>
      </c>
      <c r="P89" s="3">
        <v>112</v>
      </c>
      <c r="Q89" s="3">
        <v>136</v>
      </c>
      <c r="R89" s="3">
        <v>82.6</v>
      </c>
      <c r="S89" s="4">
        <v>112</v>
      </c>
      <c r="T89" s="4">
        <v>288</v>
      </c>
      <c r="U89" s="4">
        <v>400</v>
      </c>
      <c r="V89" s="4">
        <v>144</v>
      </c>
      <c r="W89" s="4">
        <v>88</v>
      </c>
      <c r="X89" s="4">
        <v>48</v>
      </c>
      <c r="Y89" s="4">
        <v>152</v>
      </c>
      <c r="Z89" s="4">
        <v>168</v>
      </c>
      <c r="AA89" s="3">
        <v>2248</v>
      </c>
      <c r="AB89" s="3">
        <v>4</v>
      </c>
      <c r="AC89" s="3">
        <v>0</v>
      </c>
      <c r="AD89" s="2">
        <v>1.7</v>
      </c>
      <c r="AE89" s="2">
        <v>114.8</v>
      </c>
      <c r="AF89" s="2">
        <v>112.7</v>
      </c>
      <c r="AG89" s="2">
        <v>2.2000000000000002</v>
      </c>
      <c r="AH89" s="2">
        <v>7.8</v>
      </c>
      <c r="AI89" s="2">
        <v>1.7</v>
      </c>
      <c r="AJ89" s="2">
        <v>13.5</v>
      </c>
      <c r="AK89" s="2">
        <v>4.5999999999999996</v>
      </c>
      <c r="AL89" s="2">
        <v>10.7</v>
      </c>
      <c r="AM89" s="2">
        <v>7.8</v>
      </c>
      <c r="AN89" s="2">
        <v>7.9</v>
      </c>
      <c r="AO89" s="2">
        <v>59.9</v>
      </c>
      <c r="AP89" s="2">
        <v>62.4</v>
      </c>
      <c r="AQ89" s="2">
        <v>15.7</v>
      </c>
      <c r="AR89" s="2">
        <v>100.24</v>
      </c>
      <c r="AS89" s="2">
        <v>8.6999999999999993</v>
      </c>
      <c r="AT89" s="2">
        <v>5325</v>
      </c>
      <c r="AU89" s="53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6"/>
    </row>
    <row r="90" spans="1:69" ht="13.2">
      <c r="A90" s="1" t="s">
        <v>204</v>
      </c>
      <c r="B90" s="1" t="s">
        <v>205</v>
      </c>
      <c r="C90" s="24" t="str">
        <f>VLOOKUP(B90,Equipe!$A$1:$B$31,2,FALSE)</f>
        <v>Chicago Bulls</v>
      </c>
      <c r="D90" s="2">
        <v>22</v>
      </c>
      <c r="E90" s="2">
        <v>70</v>
      </c>
      <c r="F90" s="2">
        <v>33</v>
      </c>
      <c r="G90" s="2">
        <v>37</v>
      </c>
      <c r="H90" s="2">
        <v>30.2</v>
      </c>
      <c r="I90" s="3">
        <v>1022</v>
      </c>
      <c r="J90" s="4">
        <v>371</v>
      </c>
      <c r="K90" s="4">
        <v>798</v>
      </c>
      <c r="L90" s="3">
        <v>46.5</v>
      </c>
      <c r="M90" s="4">
        <v>105</v>
      </c>
      <c r="N90" s="4">
        <v>280</v>
      </c>
      <c r="O90" s="3">
        <v>37.799999999999997</v>
      </c>
      <c r="P90" s="3">
        <v>175</v>
      </c>
      <c r="Q90" s="3">
        <v>224</v>
      </c>
      <c r="R90" s="3">
        <v>78.099999999999994</v>
      </c>
      <c r="S90" s="4">
        <v>126</v>
      </c>
      <c r="T90" s="4">
        <v>441</v>
      </c>
      <c r="U90" s="4">
        <v>567</v>
      </c>
      <c r="V90" s="4">
        <v>504</v>
      </c>
      <c r="W90" s="4">
        <v>203</v>
      </c>
      <c r="X90" s="4">
        <v>84</v>
      </c>
      <c r="Y90" s="4">
        <v>42</v>
      </c>
      <c r="Z90" s="4">
        <v>119</v>
      </c>
      <c r="AA90" s="3">
        <v>2639</v>
      </c>
      <c r="AB90" s="3">
        <v>30</v>
      </c>
      <c r="AC90" s="3">
        <v>7</v>
      </c>
      <c r="AD90" s="2">
        <v>-1</v>
      </c>
      <c r="AE90" s="2">
        <v>113.1</v>
      </c>
      <c r="AF90" s="2">
        <v>114.4</v>
      </c>
      <c r="AG90" s="2">
        <v>-1.4</v>
      </c>
      <c r="AH90" s="2">
        <v>32.200000000000003</v>
      </c>
      <c r="AI90" s="2">
        <v>2.4900000000000002</v>
      </c>
      <c r="AJ90" s="2">
        <v>31.4</v>
      </c>
      <c r="AK90" s="2">
        <v>5.9</v>
      </c>
      <c r="AL90" s="2">
        <v>19.2</v>
      </c>
      <c r="AM90" s="2">
        <v>12.7</v>
      </c>
      <c r="AN90" s="2">
        <v>12.6</v>
      </c>
      <c r="AO90" s="2">
        <v>53.1</v>
      </c>
      <c r="AP90" s="2">
        <v>57</v>
      </c>
      <c r="AQ90" s="2">
        <v>21.4</v>
      </c>
      <c r="AR90" s="2">
        <v>104.47</v>
      </c>
      <c r="AS90" s="2">
        <v>13</v>
      </c>
      <c r="AT90" s="2">
        <v>4605</v>
      </c>
      <c r="AU90" s="53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6"/>
    </row>
    <row r="91" spans="1:69" ht="13.2">
      <c r="A91" s="1" t="s">
        <v>206</v>
      </c>
      <c r="B91" s="1" t="s">
        <v>207</v>
      </c>
      <c r="C91" s="24" t="str">
        <f>VLOOKUP(B91,Equipe!$A$1:$B$31,2,FALSE)</f>
        <v>San Antonio Spurs</v>
      </c>
      <c r="D91" s="2">
        <v>33</v>
      </c>
      <c r="E91" s="2">
        <v>82</v>
      </c>
      <c r="F91" s="2">
        <v>34</v>
      </c>
      <c r="G91" s="2">
        <v>48</v>
      </c>
      <c r="H91" s="2">
        <v>27.2</v>
      </c>
      <c r="I91" s="3">
        <v>1009</v>
      </c>
      <c r="J91" s="4">
        <v>344</v>
      </c>
      <c r="K91" s="4">
        <v>681</v>
      </c>
      <c r="L91" s="3">
        <v>50.8</v>
      </c>
      <c r="M91" s="4">
        <v>156</v>
      </c>
      <c r="N91" s="4">
        <v>361</v>
      </c>
      <c r="O91" s="3">
        <v>43.3</v>
      </c>
      <c r="P91" s="3">
        <v>164</v>
      </c>
      <c r="Q91" s="3">
        <v>197</v>
      </c>
      <c r="R91" s="3">
        <v>80.900000000000006</v>
      </c>
      <c r="S91" s="4">
        <v>98</v>
      </c>
      <c r="T91" s="4">
        <v>213</v>
      </c>
      <c r="U91" s="4">
        <v>312</v>
      </c>
      <c r="V91" s="4">
        <v>139</v>
      </c>
      <c r="W91" s="4">
        <v>49</v>
      </c>
      <c r="X91" s="4">
        <v>41</v>
      </c>
      <c r="Y91" s="4">
        <v>16</v>
      </c>
      <c r="Z91" s="4">
        <v>74</v>
      </c>
      <c r="AA91" s="3">
        <v>1697</v>
      </c>
      <c r="AB91" s="3">
        <v>1</v>
      </c>
      <c r="AC91" s="3">
        <v>0</v>
      </c>
      <c r="AD91" s="2">
        <v>-0.3</v>
      </c>
      <c r="AE91" s="2">
        <v>114.5</v>
      </c>
      <c r="AF91" s="2">
        <v>115.6</v>
      </c>
      <c r="AG91" s="2">
        <v>-1.2</v>
      </c>
      <c r="AH91" s="2">
        <v>8.5</v>
      </c>
      <c r="AI91" s="2">
        <v>2.72</v>
      </c>
      <c r="AJ91" s="2">
        <v>14.2</v>
      </c>
      <c r="AK91" s="2">
        <v>4.2</v>
      </c>
      <c r="AL91" s="2">
        <v>9.1</v>
      </c>
      <c r="AM91" s="2">
        <v>6.7</v>
      </c>
      <c r="AN91" s="2">
        <v>5.2</v>
      </c>
      <c r="AO91" s="2">
        <v>62.2</v>
      </c>
      <c r="AP91" s="2">
        <v>65.599999999999994</v>
      </c>
      <c r="AQ91" s="2">
        <v>15.7</v>
      </c>
      <c r="AR91" s="2">
        <v>100.08</v>
      </c>
      <c r="AS91" s="2">
        <v>9.1999999999999993</v>
      </c>
      <c r="AT91" s="2">
        <v>4662</v>
      </c>
      <c r="AU91" s="53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6"/>
    </row>
    <row r="92" spans="1:69" ht="13.2">
      <c r="A92" s="1" t="s">
        <v>208</v>
      </c>
      <c r="B92" s="1" t="s">
        <v>209</v>
      </c>
      <c r="C92" s="24" t="str">
        <f>VLOOKUP(B92,Equipe!$A$1:$B$31,2,FALSE)</f>
        <v>Dallas Mavericks</v>
      </c>
      <c r="D92" s="2">
        <v>35</v>
      </c>
      <c r="E92" s="2">
        <v>72</v>
      </c>
      <c r="F92" s="2">
        <v>33</v>
      </c>
      <c r="G92" s="2">
        <v>39</v>
      </c>
      <c r="H92" s="2">
        <v>27.3</v>
      </c>
      <c r="I92" s="3">
        <v>1008</v>
      </c>
      <c r="J92" s="4">
        <v>360</v>
      </c>
      <c r="K92" s="4">
        <v>878</v>
      </c>
      <c r="L92" s="3">
        <v>41.2</v>
      </c>
      <c r="M92" s="4">
        <v>216</v>
      </c>
      <c r="N92" s="4">
        <v>554</v>
      </c>
      <c r="O92" s="3">
        <v>39.1</v>
      </c>
      <c r="P92" s="3">
        <v>65</v>
      </c>
      <c r="Q92" s="3">
        <v>72</v>
      </c>
      <c r="R92" s="3">
        <v>90.5</v>
      </c>
      <c r="S92" s="4">
        <v>43</v>
      </c>
      <c r="T92" s="4">
        <v>202</v>
      </c>
      <c r="U92" s="4">
        <v>245</v>
      </c>
      <c r="V92" s="4">
        <v>144</v>
      </c>
      <c r="W92" s="4">
        <v>86</v>
      </c>
      <c r="X92" s="4">
        <v>50</v>
      </c>
      <c r="Y92" s="4">
        <v>29</v>
      </c>
      <c r="Z92" s="4">
        <v>79</v>
      </c>
      <c r="AA92" s="3">
        <v>1670</v>
      </c>
      <c r="AB92" s="3">
        <v>0</v>
      </c>
      <c r="AC92" s="3">
        <v>0</v>
      </c>
      <c r="AD92" s="2">
        <v>-1.1000000000000001</v>
      </c>
      <c r="AE92" s="2">
        <v>112.8</v>
      </c>
      <c r="AF92" s="2">
        <v>115.2</v>
      </c>
      <c r="AG92" s="2">
        <v>-2.4</v>
      </c>
      <c r="AH92" s="2">
        <v>10.4</v>
      </c>
      <c r="AI92" s="2">
        <v>1.65</v>
      </c>
      <c r="AJ92" s="2">
        <v>12.7</v>
      </c>
      <c r="AK92" s="2">
        <v>2.2000000000000002</v>
      </c>
      <c r="AL92" s="2">
        <v>9.6999999999999993</v>
      </c>
      <c r="AM92" s="2">
        <v>6</v>
      </c>
      <c r="AN92" s="2">
        <v>7.7</v>
      </c>
      <c r="AO92" s="2">
        <v>53.5</v>
      </c>
      <c r="AP92" s="2">
        <v>55.2</v>
      </c>
      <c r="AQ92" s="2">
        <v>21.4</v>
      </c>
      <c r="AR92" s="2">
        <v>100.53</v>
      </c>
      <c r="AS92" s="2">
        <v>8.3000000000000007</v>
      </c>
      <c r="AT92" s="2">
        <v>4123</v>
      </c>
      <c r="AU92" s="53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6"/>
    </row>
    <row r="93" spans="1:69" ht="13.2">
      <c r="A93" s="1" t="s">
        <v>212</v>
      </c>
      <c r="B93" s="1" t="s">
        <v>213</v>
      </c>
      <c r="C93" s="24" t="str">
        <f>VLOOKUP(B93,Equipe!$A$1:$B$31,2,FALSE)</f>
        <v>Minnesota Timberwolves</v>
      </c>
      <c r="D93" s="2">
        <v>24</v>
      </c>
      <c r="E93" s="2">
        <v>82</v>
      </c>
      <c r="F93" s="2">
        <v>49</v>
      </c>
      <c r="G93" s="2">
        <v>33</v>
      </c>
      <c r="H93" s="2">
        <v>31.9</v>
      </c>
      <c r="I93" s="3">
        <v>1000</v>
      </c>
      <c r="J93" s="4">
        <v>402</v>
      </c>
      <c r="K93" s="4">
        <v>836</v>
      </c>
      <c r="L93" s="3">
        <v>47.7</v>
      </c>
      <c r="M93" s="4">
        <v>98</v>
      </c>
      <c r="N93" s="4">
        <v>303</v>
      </c>
      <c r="O93" s="3">
        <v>33</v>
      </c>
      <c r="P93" s="3">
        <v>107</v>
      </c>
      <c r="Q93" s="3">
        <v>131</v>
      </c>
      <c r="R93" s="3">
        <v>81.3</v>
      </c>
      <c r="S93" s="4">
        <v>131</v>
      </c>
      <c r="T93" s="4">
        <v>344</v>
      </c>
      <c r="U93" s="4">
        <v>467</v>
      </c>
      <c r="V93" s="4">
        <v>164</v>
      </c>
      <c r="W93" s="4">
        <v>98</v>
      </c>
      <c r="X93" s="4">
        <v>107</v>
      </c>
      <c r="Y93" s="4">
        <v>74</v>
      </c>
      <c r="Z93" s="4">
        <v>221</v>
      </c>
      <c r="AA93" s="3">
        <v>2263</v>
      </c>
      <c r="AB93" s="3">
        <v>10</v>
      </c>
      <c r="AC93" s="3">
        <v>0</v>
      </c>
      <c r="AD93" s="2">
        <v>2.1</v>
      </c>
      <c r="AE93" s="2">
        <v>113.9</v>
      </c>
      <c r="AF93" s="2">
        <v>109.9</v>
      </c>
      <c r="AG93" s="2">
        <v>4</v>
      </c>
      <c r="AH93" s="2">
        <v>9.1</v>
      </c>
      <c r="AI93" s="2">
        <v>1.72</v>
      </c>
      <c r="AJ93" s="2">
        <v>14.2</v>
      </c>
      <c r="AK93" s="2">
        <v>4.8</v>
      </c>
      <c r="AL93" s="2">
        <v>12.6</v>
      </c>
      <c r="AM93" s="2">
        <v>8.6999999999999993</v>
      </c>
      <c r="AN93" s="2">
        <v>8.3000000000000007</v>
      </c>
      <c r="AO93" s="2">
        <v>53.7</v>
      </c>
      <c r="AP93" s="2">
        <v>56.2</v>
      </c>
      <c r="AQ93" s="2">
        <v>16</v>
      </c>
      <c r="AR93" s="2">
        <v>98.07</v>
      </c>
      <c r="AS93" s="2">
        <v>8.6</v>
      </c>
      <c r="AT93" s="2">
        <v>5323</v>
      </c>
      <c r="AU93" s="53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6"/>
    </row>
    <row r="94" spans="1:69" ht="13.2">
      <c r="A94" s="1" t="s">
        <v>210</v>
      </c>
      <c r="B94" s="1" t="s">
        <v>211</v>
      </c>
      <c r="C94" s="24" t="str">
        <f>VLOOKUP(B94,Equipe!$A$1:$B$31,2,FALSE)</f>
        <v>Detroit Pistons</v>
      </c>
      <c r="D94" s="2">
        <v>32</v>
      </c>
      <c r="E94" s="2">
        <v>73</v>
      </c>
      <c r="F94" s="2">
        <v>40</v>
      </c>
      <c r="G94" s="2">
        <v>33</v>
      </c>
      <c r="H94" s="2">
        <v>31.6</v>
      </c>
      <c r="I94" s="3">
        <v>1000</v>
      </c>
      <c r="J94" s="4">
        <v>387</v>
      </c>
      <c r="K94" s="4">
        <v>803</v>
      </c>
      <c r="L94" s="3">
        <v>47.7</v>
      </c>
      <c r="M94" s="4">
        <v>88</v>
      </c>
      <c r="N94" s="4">
        <v>263</v>
      </c>
      <c r="O94" s="3">
        <v>34.5</v>
      </c>
      <c r="P94" s="3">
        <v>146</v>
      </c>
      <c r="Q94" s="3">
        <v>168</v>
      </c>
      <c r="R94" s="3">
        <v>86.1</v>
      </c>
      <c r="S94" s="4">
        <v>66</v>
      </c>
      <c r="T94" s="4">
        <v>365</v>
      </c>
      <c r="U94" s="4">
        <v>431</v>
      </c>
      <c r="V94" s="4">
        <v>161</v>
      </c>
      <c r="W94" s="4">
        <v>88</v>
      </c>
      <c r="X94" s="4">
        <v>73</v>
      </c>
      <c r="Y94" s="4">
        <v>58</v>
      </c>
      <c r="Z94" s="4">
        <v>139</v>
      </c>
      <c r="AA94" s="3">
        <v>2073</v>
      </c>
      <c r="AB94" s="3">
        <v>5</v>
      </c>
      <c r="AC94" s="3">
        <v>0</v>
      </c>
      <c r="AD94" s="2">
        <v>2.6</v>
      </c>
      <c r="AE94" s="2">
        <v>114.7</v>
      </c>
      <c r="AF94" s="2">
        <v>110.8</v>
      </c>
      <c r="AG94" s="2">
        <v>3.9</v>
      </c>
      <c r="AH94" s="2">
        <v>9.5</v>
      </c>
      <c r="AI94" s="2">
        <v>1.91</v>
      </c>
      <c r="AJ94" s="2">
        <v>14.4</v>
      </c>
      <c r="AK94" s="2">
        <v>2.8</v>
      </c>
      <c r="AL94" s="2">
        <v>15.5</v>
      </c>
      <c r="AM94" s="2">
        <v>9.1999999999999993</v>
      </c>
      <c r="AN94" s="2">
        <v>7.6</v>
      </c>
      <c r="AO94" s="2">
        <v>53.4</v>
      </c>
      <c r="AP94" s="2">
        <v>57.1</v>
      </c>
      <c r="AQ94" s="2">
        <v>17.3</v>
      </c>
      <c r="AR94" s="2">
        <v>100.89</v>
      </c>
      <c r="AS94" s="2">
        <v>10</v>
      </c>
      <c r="AT94" s="2">
        <v>4845</v>
      </c>
      <c r="AU94" s="53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6"/>
    </row>
    <row r="95" spans="1:69" ht="13.2">
      <c r="A95" s="1" t="s">
        <v>214</v>
      </c>
      <c r="B95" s="1" t="s">
        <v>215</v>
      </c>
      <c r="C95" s="24" t="str">
        <f>VLOOKUP(B95,Equipe!$A$1:$B$31,2,FALSE)</f>
        <v>Denver Nuggets</v>
      </c>
      <c r="D95" s="2">
        <v>36</v>
      </c>
      <c r="E95" s="2">
        <v>75</v>
      </c>
      <c r="F95" s="2">
        <v>43</v>
      </c>
      <c r="G95" s="2">
        <v>32</v>
      </c>
      <c r="H95" s="2">
        <v>27.9</v>
      </c>
      <c r="I95" s="3">
        <v>998</v>
      </c>
      <c r="J95" s="4">
        <v>375</v>
      </c>
      <c r="K95" s="4">
        <v>833</v>
      </c>
      <c r="L95" s="3">
        <v>44.9</v>
      </c>
      <c r="M95" s="4">
        <v>98</v>
      </c>
      <c r="N95" s="4">
        <v>293</v>
      </c>
      <c r="O95" s="3">
        <v>32.299999999999997</v>
      </c>
      <c r="P95" s="3">
        <v>158</v>
      </c>
      <c r="Q95" s="3">
        <v>233</v>
      </c>
      <c r="R95" s="3">
        <v>66.099999999999994</v>
      </c>
      <c r="S95" s="4">
        <v>105</v>
      </c>
      <c r="T95" s="4">
        <v>270</v>
      </c>
      <c r="U95" s="4">
        <v>368</v>
      </c>
      <c r="V95" s="4">
        <v>458</v>
      </c>
      <c r="W95" s="4">
        <v>240</v>
      </c>
      <c r="X95" s="4">
        <v>105</v>
      </c>
      <c r="Y95" s="4">
        <v>38</v>
      </c>
      <c r="Z95" s="4">
        <v>188</v>
      </c>
      <c r="AA95" s="3">
        <v>2310</v>
      </c>
      <c r="AB95" s="3">
        <v>13</v>
      </c>
      <c r="AC95" s="3">
        <v>4</v>
      </c>
      <c r="AD95" s="2">
        <v>-0.3</v>
      </c>
      <c r="AE95" s="2">
        <v>115.7</v>
      </c>
      <c r="AF95" s="2">
        <v>116.2</v>
      </c>
      <c r="AG95" s="2">
        <v>-0.6</v>
      </c>
      <c r="AH95" s="2">
        <v>28.9</v>
      </c>
      <c r="AI95" s="2">
        <v>1.89</v>
      </c>
      <c r="AJ95" s="2">
        <v>27.9</v>
      </c>
      <c r="AK95" s="2">
        <v>5</v>
      </c>
      <c r="AL95" s="2">
        <v>11.9</v>
      </c>
      <c r="AM95" s="2">
        <v>8.6</v>
      </c>
      <c r="AN95" s="2">
        <v>14.8</v>
      </c>
      <c r="AO95" s="2">
        <v>50.5</v>
      </c>
      <c r="AP95" s="2">
        <v>53.2</v>
      </c>
      <c r="AQ95" s="2">
        <v>23</v>
      </c>
      <c r="AR95" s="2">
        <v>103.3</v>
      </c>
      <c r="AS95" s="2">
        <v>9.3000000000000007</v>
      </c>
      <c r="AT95" s="2">
        <v>4504</v>
      </c>
      <c r="AU95" s="53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6"/>
    </row>
    <row r="96" spans="1:69" ht="13.2">
      <c r="A96" s="1" t="s">
        <v>216</v>
      </c>
      <c r="B96" s="1" t="s">
        <v>217</v>
      </c>
      <c r="C96" s="24" t="str">
        <f>VLOOKUP(B96,Equipe!$A$1:$B$31,2,FALSE)</f>
        <v>Atlanta Hawks</v>
      </c>
      <c r="D96" s="2">
        <v>24</v>
      </c>
      <c r="E96" s="2">
        <v>74</v>
      </c>
      <c r="F96" s="2">
        <v>35</v>
      </c>
      <c r="G96" s="2">
        <v>39</v>
      </c>
      <c r="H96" s="2">
        <v>27.9</v>
      </c>
      <c r="I96" s="3">
        <v>992</v>
      </c>
      <c r="J96" s="4">
        <v>385</v>
      </c>
      <c r="K96" s="4">
        <v>681</v>
      </c>
      <c r="L96" s="3">
        <v>56.7</v>
      </c>
      <c r="M96" s="4">
        <v>44</v>
      </c>
      <c r="N96" s="4">
        <v>148</v>
      </c>
      <c r="O96" s="3">
        <v>32.4</v>
      </c>
      <c r="P96" s="3">
        <v>163</v>
      </c>
      <c r="Q96" s="3">
        <v>215</v>
      </c>
      <c r="R96" s="3">
        <v>75.900000000000006</v>
      </c>
      <c r="S96" s="4">
        <v>222</v>
      </c>
      <c r="T96" s="4">
        <v>437</v>
      </c>
      <c r="U96" s="4">
        <v>659</v>
      </c>
      <c r="V96" s="4">
        <v>170</v>
      </c>
      <c r="W96" s="4">
        <v>89</v>
      </c>
      <c r="X96" s="4">
        <v>67</v>
      </c>
      <c r="Y96" s="4">
        <v>67</v>
      </c>
      <c r="Z96" s="4">
        <v>192</v>
      </c>
      <c r="AA96" s="3">
        <v>2353</v>
      </c>
      <c r="AB96" s="3">
        <v>28</v>
      </c>
      <c r="AC96" s="3">
        <v>0</v>
      </c>
      <c r="AD96" s="2">
        <v>0.5</v>
      </c>
      <c r="AE96" s="2">
        <v>114.9</v>
      </c>
      <c r="AF96" s="2">
        <v>113.7</v>
      </c>
      <c r="AG96" s="2">
        <v>1.1000000000000001</v>
      </c>
      <c r="AH96" s="2">
        <v>11.3</v>
      </c>
      <c r="AI96" s="2">
        <v>1.87</v>
      </c>
      <c r="AJ96" s="2">
        <v>16.2</v>
      </c>
      <c r="AK96" s="2">
        <v>10.3</v>
      </c>
      <c r="AL96" s="2">
        <v>21.3</v>
      </c>
      <c r="AM96" s="2">
        <v>15.7</v>
      </c>
      <c r="AN96" s="2">
        <v>8.6999999999999993</v>
      </c>
      <c r="AO96" s="2">
        <v>60.2</v>
      </c>
      <c r="AP96" s="2">
        <v>63.4</v>
      </c>
      <c r="AQ96" s="2">
        <v>16.899999999999999</v>
      </c>
      <c r="AR96" s="2">
        <v>104.52</v>
      </c>
      <c r="AS96" s="2">
        <v>12.2</v>
      </c>
      <c r="AT96" s="2">
        <v>4489</v>
      </c>
      <c r="AU96" s="53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6"/>
    </row>
    <row r="97" spans="1:69" ht="13.2">
      <c r="A97" s="1" t="s">
        <v>218</v>
      </c>
      <c r="B97" s="1" t="s">
        <v>219</v>
      </c>
      <c r="C97" s="24" t="str">
        <f>VLOOKUP(B97,Equipe!$A$1:$B$31,2,FALSE)</f>
        <v>Detroit Pistons</v>
      </c>
      <c r="D97" s="2">
        <v>31</v>
      </c>
      <c r="E97" s="2">
        <v>75</v>
      </c>
      <c r="F97" s="2">
        <v>37</v>
      </c>
      <c r="G97" s="2">
        <v>38</v>
      </c>
      <c r="H97" s="2">
        <v>28.1</v>
      </c>
      <c r="I97" s="3">
        <v>983</v>
      </c>
      <c r="J97" s="4">
        <v>338</v>
      </c>
      <c r="K97" s="4">
        <v>825</v>
      </c>
      <c r="L97" s="3">
        <v>40.6</v>
      </c>
      <c r="M97" s="4">
        <v>128</v>
      </c>
      <c r="N97" s="4">
        <v>368</v>
      </c>
      <c r="O97" s="3">
        <v>34.200000000000003</v>
      </c>
      <c r="P97" s="3">
        <v>180</v>
      </c>
      <c r="Q97" s="3">
        <v>218</v>
      </c>
      <c r="R97" s="3">
        <v>83.8</v>
      </c>
      <c r="S97" s="4">
        <v>30</v>
      </c>
      <c r="T97" s="4">
        <v>173</v>
      </c>
      <c r="U97" s="4">
        <v>195</v>
      </c>
      <c r="V97" s="4">
        <v>405</v>
      </c>
      <c r="W97" s="4">
        <v>143</v>
      </c>
      <c r="X97" s="4">
        <v>68</v>
      </c>
      <c r="Y97" s="4">
        <v>15</v>
      </c>
      <c r="Z97" s="4">
        <v>180</v>
      </c>
      <c r="AA97" s="3">
        <v>1913</v>
      </c>
      <c r="AB97" s="3">
        <v>7</v>
      </c>
      <c r="AC97" s="3">
        <v>0</v>
      </c>
      <c r="AD97" s="2">
        <v>-1</v>
      </c>
      <c r="AE97" s="2">
        <v>111.8</v>
      </c>
      <c r="AF97" s="2">
        <v>112.8</v>
      </c>
      <c r="AG97" s="2">
        <v>-0.9</v>
      </c>
      <c r="AH97" s="2">
        <v>28.7</v>
      </c>
      <c r="AI97" s="2">
        <v>2.85</v>
      </c>
      <c r="AJ97" s="2">
        <v>27.6</v>
      </c>
      <c r="AK97" s="2">
        <v>1.2</v>
      </c>
      <c r="AL97" s="2">
        <v>8</v>
      </c>
      <c r="AM97" s="2">
        <v>4.5999999999999996</v>
      </c>
      <c r="AN97" s="2">
        <v>9.6999999999999993</v>
      </c>
      <c r="AO97" s="2">
        <v>48.3</v>
      </c>
      <c r="AP97" s="2">
        <v>53.1</v>
      </c>
      <c r="AQ97" s="2">
        <v>21.1</v>
      </c>
      <c r="AR97" s="2">
        <v>100.49</v>
      </c>
      <c r="AS97" s="2">
        <v>9.1</v>
      </c>
      <c r="AT97" s="2">
        <v>4393</v>
      </c>
      <c r="AU97" s="53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6"/>
    </row>
    <row r="98" spans="1:69" ht="13.2">
      <c r="A98" s="1" t="s">
        <v>220</v>
      </c>
      <c r="B98" s="1" t="s">
        <v>221</v>
      </c>
      <c r="C98" s="24" t="str">
        <f>VLOOKUP(B98,Equipe!$A$1:$B$31,2,FALSE)</f>
        <v>San Antonio Spurs</v>
      </c>
      <c r="D98" s="2">
        <v>25</v>
      </c>
      <c r="E98" s="2">
        <v>77</v>
      </c>
      <c r="F98" s="2">
        <v>31</v>
      </c>
      <c r="G98" s="2">
        <v>46</v>
      </c>
      <c r="H98" s="2">
        <v>23.9</v>
      </c>
      <c r="I98" s="3">
        <v>978</v>
      </c>
      <c r="J98" s="4">
        <v>370</v>
      </c>
      <c r="K98" s="4">
        <v>770</v>
      </c>
      <c r="L98" s="3">
        <v>48.2</v>
      </c>
      <c r="M98" s="4">
        <v>85</v>
      </c>
      <c r="N98" s="4">
        <v>277</v>
      </c>
      <c r="O98" s="3">
        <v>31.8</v>
      </c>
      <c r="P98" s="3">
        <v>146</v>
      </c>
      <c r="Q98" s="3">
        <v>193</v>
      </c>
      <c r="R98" s="3">
        <v>77.3</v>
      </c>
      <c r="S98" s="4">
        <v>116</v>
      </c>
      <c r="T98" s="4">
        <v>262</v>
      </c>
      <c r="U98" s="4">
        <v>370</v>
      </c>
      <c r="V98" s="4">
        <v>123</v>
      </c>
      <c r="W98" s="4">
        <v>77</v>
      </c>
      <c r="X98" s="4">
        <v>46</v>
      </c>
      <c r="Y98" s="4">
        <v>23</v>
      </c>
      <c r="Z98" s="4">
        <v>116</v>
      </c>
      <c r="AA98" s="3">
        <v>1748</v>
      </c>
      <c r="AB98" s="3">
        <v>3</v>
      </c>
      <c r="AC98" s="3">
        <v>0</v>
      </c>
      <c r="AD98" s="2">
        <v>-2.8</v>
      </c>
      <c r="AE98" s="2">
        <v>110.1</v>
      </c>
      <c r="AF98" s="2">
        <v>115.9</v>
      </c>
      <c r="AG98" s="2">
        <v>-5.8</v>
      </c>
      <c r="AH98" s="2">
        <v>10.5</v>
      </c>
      <c r="AI98" s="2">
        <v>1.62</v>
      </c>
      <c r="AJ98" s="2">
        <v>11.9</v>
      </c>
      <c r="AK98" s="2">
        <v>5.7</v>
      </c>
      <c r="AL98" s="2">
        <v>13.6</v>
      </c>
      <c r="AM98" s="2">
        <v>9.6</v>
      </c>
      <c r="AN98" s="2">
        <v>7.3</v>
      </c>
      <c r="AO98" s="2">
        <v>53.8</v>
      </c>
      <c r="AP98" s="2">
        <v>57.2</v>
      </c>
      <c r="AQ98" s="2">
        <v>20.7</v>
      </c>
      <c r="AR98" s="2">
        <v>102.06</v>
      </c>
      <c r="AS98" s="2">
        <v>10.3</v>
      </c>
      <c r="AT98" s="2">
        <v>3912</v>
      </c>
      <c r="AU98" s="53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6"/>
    </row>
    <row r="99" spans="1:69" ht="13.2">
      <c r="A99" s="1" t="s">
        <v>222</v>
      </c>
      <c r="B99" s="1" t="s">
        <v>223</v>
      </c>
      <c r="C99" s="24" t="str">
        <f>VLOOKUP(B99,Equipe!$A$1:$B$31,2,FALSE)</f>
        <v>Houston Rockets</v>
      </c>
      <c r="D99" s="2">
        <v>22</v>
      </c>
      <c r="E99" s="2">
        <v>69</v>
      </c>
      <c r="F99" s="2">
        <v>43</v>
      </c>
      <c r="G99" s="2">
        <v>26</v>
      </c>
      <c r="H99" s="2">
        <v>32.299999999999997</v>
      </c>
      <c r="I99" s="3">
        <v>973</v>
      </c>
      <c r="J99" s="4">
        <v>386</v>
      </c>
      <c r="K99" s="4">
        <v>697</v>
      </c>
      <c r="L99" s="3">
        <v>55.7</v>
      </c>
      <c r="M99" s="4">
        <v>28</v>
      </c>
      <c r="N99" s="4">
        <v>90</v>
      </c>
      <c r="O99" s="3">
        <v>27.5</v>
      </c>
      <c r="P99" s="3">
        <v>166</v>
      </c>
      <c r="Q99" s="3">
        <v>248</v>
      </c>
      <c r="R99" s="3">
        <v>68.400000000000006</v>
      </c>
      <c r="S99" s="4">
        <v>193</v>
      </c>
      <c r="T99" s="4">
        <v>373</v>
      </c>
      <c r="U99" s="4">
        <v>566</v>
      </c>
      <c r="V99" s="4">
        <v>262</v>
      </c>
      <c r="W99" s="4">
        <v>138</v>
      </c>
      <c r="X99" s="4">
        <v>97</v>
      </c>
      <c r="Y99" s="4">
        <v>90</v>
      </c>
      <c r="Z99" s="4">
        <v>166</v>
      </c>
      <c r="AA99" s="3">
        <v>2463</v>
      </c>
      <c r="AB99" s="3">
        <v>21</v>
      </c>
      <c r="AC99" s="3">
        <v>3</v>
      </c>
      <c r="AD99" s="2">
        <v>3.9</v>
      </c>
      <c r="AE99" s="2">
        <v>114.2</v>
      </c>
      <c r="AF99" s="2">
        <v>107.9</v>
      </c>
      <c r="AG99" s="2">
        <v>6.3</v>
      </c>
      <c r="AH99" s="2">
        <v>16.7</v>
      </c>
      <c r="AI99" s="2">
        <v>1.92</v>
      </c>
      <c r="AJ99" s="2">
        <v>21.9</v>
      </c>
      <c r="AK99" s="2">
        <v>7.8</v>
      </c>
      <c r="AL99" s="2">
        <v>15.9</v>
      </c>
      <c r="AM99" s="2">
        <v>11.8</v>
      </c>
      <c r="AN99" s="2">
        <v>11.4</v>
      </c>
      <c r="AO99" s="2">
        <v>57.5</v>
      </c>
      <c r="AP99" s="2">
        <v>60.2</v>
      </c>
      <c r="AQ99" s="2">
        <v>17.2</v>
      </c>
      <c r="AR99" s="2">
        <v>100</v>
      </c>
      <c r="AS99" s="2">
        <v>12.9</v>
      </c>
      <c r="AT99" s="2">
        <v>4626</v>
      </c>
      <c r="AU99" s="53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6"/>
    </row>
    <row r="100" spans="1:69" ht="13.2">
      <c r="A100" s="1" t="s">
        <v>224</v>
      </c>
      <c r="B100" s="1" t="s">
        <v>225</v>
      </c>
      <c r="C100" s="24" t="str">
        <f>VLOOKUP(B100,Equipe!$A$1:$B$31,2,FALSE)</f>
        <v>Golden State Warriors</v>
      </c>
      <c r="D100" s="2">
        <v>35</v>
      </c>
      <c r="E100" s="2">
        <v>55</v>
      </c>
      <c r="F100" s="2">
        <v>36</v>
      </c>
      <c r="G100" s="2">
        <v>19</v>
      </c>
      <c r="H100" s="2">
        <v>31.7</v>
      </c>
      <c r="I100" s="3">
        <v>963</v>
      </c>
      <c r="J100" s="4">
        <v>303</v>
      </c>
      <c r="K100" s="4">
        <v>600</v>
      </c>
      <c r="L100" s="3">
        <v>50.4</v>
      </c>
      <c r="M100" s="4">
        <v>33</v>
      </c>
      <c r="N100" s="4">
        <v>105</v>
      </c>
      <c r="O100" s="3">
        <v>30.8</v>
      </c>
      <c r="P100" s="3">
        <v>330</v>
      </c>
      <c r="Q100" s="3">
        <v>391</v>
      </c>
      <c r="R100" s="3">
        <v>84.2</v>
      </c>
      <c r="S100" s="4">
        <v>127</v>
      </c>
      <c r="T100" s="4">
        <v>171</v>
      </c>
      <c r="U100" s="4">
        <v>297</v>
      </c>
      <c r="V100" s="4">
        <v>297</v>
      </c>
      <c r="W100" s="4">
        <v>72</v>
      </c>
      <c r="X100" s="4">
        <v>77</v>
      </c>
      <c r="Y100" s="4">
        <v>17</v>
      </c>
      <c r="Z100" s="4">
        <v>50</v>
      </c>
      <c r="AA100" s="3">
        <v>1975</v>
      </c>
      <c r="AB100" s="3">
        <v>6</v>
      </c>
      <c r="AC100" s="3">
        <v>3</v>
      </c>
      <c r="AD100" s="2">
        <v>4.5</v>
      </c>
      <c r="AE100" s="2">
        <v>115.9</v>
      </c>
      <c r="AF100" s="2">
        <v>109.6</v>
      </c>
      <c r="AG100" s="2">
        <v>6.3</v>
      </c>
      <c r="AH100" s="2">
        <v>26</v>
      </c>
      <c r="AI100" s="2">
        <v>4.03</v>
      </c>
      <c r="AJ100" s="2">
        <v>26.2</v>
      </c>
      <c r="AK100" s="2">
        <v>7</v>
      </c>
      <c r="AL100" s="2">
        <v>10.1</v>
      </c>
      <c r="AM100" s="2">
        <v>8.5</v>
      </c>
      <c r="AN100" s="2">
        <v>6.5</v>
      </c>
      <c r="AO100" s="2">
        <v>53.1</v>
      </c>
      <c r="AP100" s="2">
        <v>62.6</v>
      </c>
      <c r="AQ100" s="2">
        <v>20.3</v>
      </c>
      <c r="AR100" s="2">
        <v>98.95</v>
      </c>
      <c r="AS100" s="2">
        <v>14.5</v>
      </c>
      <c r="AT100" s="2">
        <v>3608</v>
      </c>
      <c r="AU100" s="53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6"/>
    </row>
    <row r="101" spans="1:69" ht="13.2">
      <c r="A101" s="1" t="s">
        <v>226</v>
      </c>
      <c r="B101" s="1" t="s">
        <v>227</v>
      </c>
      <c r="C101" s="24" t="str">
        <f>VLOOKUP(B101,Equipe!$A$1:$B$31,2,FALSE)</f>
        <v>Milwaukee Bucks</v>
      </c>
      <c r="D101" s="2">
        <v>29</v>
      </c>
      <c r="E101" s="2">
        <v>65</v>
      </c>
      <c r="F101" s="2">
        <v>25</v>
      </c>
      <c r="G101" s="2">
        <v>40</v>
      </c>
      <c r="H101" s="2">
        <v>29.8</v>
      </c>
      <c r="I101" s="3">
        <v>962</v>
      </c>
      <c r="J101" s="4">
        <v>371</v>
      </c>
      <c r="K101" s="4">
        <v>845</v>
      </c>
      <c r="L101" s="3">
        <v>43.6</v>
      </c>
      <c r="M101" s="4">
        <v>98</v>
      </c>
      <c r="N101" s="4">
        <v>312</v>
      </c>
      <c r="O101" s="3">
        <v>30.7</v>
      </c>
      <c r="P101" s="3">
        <v>130</v>
      </c>
      <c r="Q101" s="3">
        <v>202</v>
      </c>
      <c r="R101" s="3">
        <v>63.4</v>
      </c>
      <c r="S101" s="4">
        <v>52</v>
      </c>
      <c r="T101" s="4">
        <v>319</v>
      </c>
      <c r="U101" s="4">
        <v>371</v>
      </c>
      <c r="V101" s="4">
        <v>150</v>
      </c>
      <c r="W101" s="4">
        <v>143</v>
      </c>
      <c r="X101" s="4">
        <v>39</v>
      </c>
      <c r="Y101" s="4">
        <v>20</v>
      </c>
      <c r="Z101" s="4">
        <v>117</v>
      </c>
      <c r="AA101" s="3">
        <v>1658</v>
      </c>
      <c r="AB101" s="3">
        <v>6</v>
      </c>
      <c r="AC101" s="3">
        <v>0</v>
      </c>
      <c r="AD101" s="2">
        <v>-6.4</v>
      </c>
      <c r="AE101" s="2">
        <v>105.8</v>
      </c>
      <c r="AF101" s="2">
        <v>116.1</v>
      </c>
      <c r="AG101" s="2">
        <v>-10.3</v>
      </c>
      <c r="AH101" s="2">
        <v>12.3</v>
      </c>
      <c r="AI101" s="2">
        <v>1.04</v>
      </c>
      <c r="AJ101" s="2">
        <v>12.3</v>
      </c>
      <c r="AK101" s="2">
        <v>2.7</v>
      </c>
      <c r="AL101" s="2">
        <v>15.5</v>
      </c>
      <c r="AM101" s="2">
        <v>9.1</v>
      </c>
      <c r="AN101" s="2">
        <v>11.8</v>
      </c>
      <c r="AO101" s="2">
        <v>49.3</v>
      </c>
      <c r="AP101" s="2">
        <v>51.4</v>
      </c>
      <c r="AQ101" s="2">
        <v>23.3</v>
      </c>
      <c r="AR101" s="2">
        <v>102.96</v>
      </c>
      <c r="AS101" s="2">
        <v>8</v>
      </c>
      <c r="AT101" s="2">
        <v>4158</v>
      </c>
      <c r="AU101" s="53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6"/>
    </row>
    <row r="102" spans="1:69" ht="13.2">
      <c r="A102" s="1" t="s">
        <v>228</v>
      </c>
      <c r="B102" s="1" t="s">
        <v>229</v>
      </c>
      <c r="C102" s="24" t="str">
        <f>VLOOKUP(B102,Equipe!$A$1:$B$31,2,FALSE)</f>
        <v>Atlanta Hawks</v>
      </c>
      <c r="D102" s="2">
        <v>20</v>
      </c>
      <c r="E102" s="2">
        <v>75</v>
      </c>
      <c r="F102" s="2">
        <v>38</v>
      </c>
      <c r="G102" s="2">
        <v>37</v>
      </c>
      <c r="H102" s="2">
        <v>24.6</v>
      </c>
      <c r="I102" s="3">
        <v>945</v>
      </c>
      <c r="J102" s="4">
        <v>360</v>
      </c>
      <c r="K102" s="4">
        <v>780</v>
      </c>
      <c r="L102" s="3">
        <v>45.8</v>
      </c>
      <c r="M102" s="4">
        <v>120</v>
      </c>
      <c r="N102" s="4">
        <v>345</v>
      </c>
      <c r="O102" s="3">
        <v>35.5</v>
      </c>
      <c r="P102" s="3">
        <v>105</v>
      </c>
      <c r="Q102" s="3">
        <v>150</v>
      </c>
      <c r="R102" s="3">
        <v>71.099999999999994</v>
      </c>
      <c r="S102" s="4">
        <v>83</v>
      </c>
      <c r="T102" s="4">
        <v>180</v>
      </c>
      <c r="U102" s="4">
        <v>270</v>
      </c>
      <c r="V102" s="4">
        <v>90</v>
      </c>
      <c r="W102" s="4">
        <v>90</v>
      </c>
      <c r="X102" s="4">
        <v>53</v>
      </c>
      <c r="Y102" s="4">
        <v>38</v>
      </c>
      <c r="Z102" s="4">
        <v>150</v>
      </c>
      <c r="AA102" s="3">
        <v>1575</v>
      </c>
      <c r="AB102" s="3">
        <v>1</v>
      </c>
      <c r="AC102" s="3">
        <v>0</v>
      </c>
      <c r="AD102" s="2">
        <v>-1.6</v>
      </c>
      <c r="AE102" s="2">
        <v>112.3</v>
      </c>
      <c r="AF102" s="2">
        <v>115</v>
      </c>
      <c r="AG102" s="2">
        <v>-2.7</v>
      </c>
      <c r="AH102" s="2">
        <v>6.8</v>
      </c>
      <c r="AI102" s="2">
        <v>1</v>
      </c>
      <c r="AJ102" s="2">
        <v>9</v>
      </c>
      <c r="AK102" s="2">
        <v>4.4000000000000004</v>
      </c>
      <c r="AL102" s="2">
        <v>9.9</v>
      </c>
      <c r="AM102" s="2">
        <v>7.1</v>
      </c>
      <c r="AN102" s="2">
        <v>9</v>
      </c>
      <c r="AO102" s="2">
        <v>53.7</v>
      </c>
      <c r="AP102" s="2">
        <v>55.8</v>
      </c>
      <c r="AQ102" s="2">
        <v>20.3</v>
      </c>
      <c r="AR102" s="2">
        <v>104.57</v>
      </c>
      <c r="AS102" s="2">
        <v>7.1</v>
      </c>
      <c r="AT102" s="2">
        <v>4011</v>
      </c>
      <c r="AU102" s="53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6"/>
    </row>
    <row r="103" spans="1:69" ht="13.2">
      <c r="A103" s="1" t="s">
        <v>230</v>
      </c>
      <c r="B103" s="1" t="s">
        <v>231</v>
      </c>
      <c r="C103" s="24" t="str">
        <f>VLOOKUP(B103,Equipe!$A$1:$B$31,2,FALSE)</f>
        <v>Sacramento Kings</v>
      </c>
      <c r="D103" s="2">
        <v>24</v>
      </c>
      <c r="E103" s="2">
        <v>76</v>
      </c>
      <c r="F103" s="2">
        <v>36</v>
      </c>
      <c r="G103" s="2">
        <v>40</v>
      </c>
      <c r="H103" s="2">
        <v>34.299999999999997</v>
      </c>
      <c r="I103" s="3">
        <v>942</v>
      </c>
      <c r="J103" s="4">
        <v>365</v>
      </c>
      <c r="K103" s="4">
        <v>821</v>
      </c>
      <c r="L103" s="3">
        <v>44.4</v>
      </c>
      <c r="M103" s="4">
        <v>152</v>
      </c>
      <c r="N103" s="4">
        <v>448</v>
      </c>
      <c r="O103" s="3">
        <v>34.299999999999997</v>
      </c>
      <c r="P103" s="3">
        <v>61</v>
      </c>
      <c r="Q103" s="3">
        <v>68</v>
      </c>
      <c r="R103" s="3">
        <v>83.3</v>
      </c>
      <c r="S103" s="4">
        <v>144</v>
      </c>
      <c r="T103" s="4">
        <v>365</v>
      </c>
      <c r="U103" s="4">
        <v>509</v>
      </c>
      <c r="V103" s="4">
        <v>106</v>
      </c>
      <c r="W103" s="4">
        <v>61</v>
      </c>
      <c r="X103" s="4">
        <v>61</v>
      </c>
      <c r="Y103" s="4">
        <v>68</v>
      </c>
      <c r="Z103" s="4">
        <v>182</v>
      </c>
      <c r="AA103" s="3">
        <v>2044</v>
      </c>
      <c r="AB103" s="3">
        <v>11</v>
      </c>
      <c r="AC103" s="3">
        <v>0</v>
      </c>
      <c r="AD103" s="2">
        <v>0.6</v>
      </c>
      <c r="AE103" s="2">
        <v>114.8</v>
      </c>
      <c r="AF103" s="2">
        <v>113.4</v>
      </c>
      <c r="AG103" s="2">
        <v>1.5</v>
      </c>
      <c r="AH103" s="2">
        <v>5.5</v>
      </c>
      <c r="AI103" s="2">
        <v>1.82</v>
      </c>
      <c r="AJ103" s="2">
        <v>10.7</v>
      </c>
      <c r="AK103" s="2">
        <v>5.6</v>
      </c>
      <c r="AL103" s="2">
        <v>13.4</v>
      </c>
      <c r="AM103" s="2">
        <v>9.5</v>
      </c>
      <c r="AN103" s="2">
        <v>5.9</v>
      </c>
      <c r="AO103" s="2">
        <v>53.8</v>
      </c>
      <c r="AP103" s="2">
        <v>55.3</v>
      </c>
      <c r="AQ103" s="2">
        <v>14.8</v>
      </c>
      <c r="AR103" s="2">
        <v>100.09</v>
      </c>
      <c r="AS103" s="2">
        <v>7.5</v>
      </c>
      <c r="AT103" s="2">
        <v>5428</v>
      </c>
      <c r="AU103" s="53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6"/>
    </row>
    <row r="104" spans="1:69" ht="13.2">
      <c r="A104" s="1" t="s">
        <v>232</v>
      </c>
      <c r="B104" s="1" t="s">
        <v>233</v>
      </c>
      <c r="C104" s="24" t="str">
        <f>VLOOKUP(B104,Equipe!$A$1:$B$31,2,FALSE)</f>
        <v>Detroit Pistons</v>
      </c>
      <c r="D104" s="2">
        <v>21</v>
      </c>
      <c r="E104" s="2">
        <v>78</v>
      </c>
      <c r="F104" s="2">
        <v>43</v>
      </c>
      <c r="G104" s="2">
        <v>35</v>
      </c>
      <c r="H104" s="2">
        <v>26.1</v>
      </c>
      <c r="I104" s="3">
        <v>920</v>
      </c>
      <c r="J104" s="4">
        <v>374</v>
      </c>
      <c r="K104" s="4">
        <v>546</v>
      </c>
      <c r="L104" s="3">
        <v>69.2</v>
      </c>
      <c r="M104" s="3">
        <v>0</v>
      </c>
      <c r="N104" s="3">
        <v>0</v>
      </c>
      <c r="O104" s="3">
        <v>0</v>
      </c>
      <c r="P104" s="3">
        <v>164</v>
      </c>
      <c r="Q104" s="3">
        <v>242</v>
      </c>
      <c r="R104" s="3">
        <v>66.900000000000006</v>
      </c>
      <c r="S104" s="4">
        <v>281</v>
      </c>
      <c r="T104" s="4">
        <v>530</v>
      </c>
      <c r="U104" s="4">
        <v>803</v>
      </c>
      <c r="V104" s="4">
        <v>211</v>
      </c>
      <c r="W104" s="4">
        <v>133</v>
      </c>
      <c r="X104" s="4">
        <v>55</v>
      </c>
      <c r="Y104" s="4">
        <v>86</v>
      </c>
      <c r="Z104" s="4">
        <v>250</v>
      </c>
      <c r="AA104" s="3">
        <v>2496</v>
      </c>
      <c r="AB104" s="3">
        <v>41</v>
      </c>
      <c r="AC104" s="3">
        <v>0</v>
      </c>
      <c r="AD104" s="2">
        <v>0.5</v>
      </c>
      <c r="AE104" s="2">
        <v>115.5</v>
      </c>
      <c r="AF104" s="2">
        <v>114</v>
      </c>
      <c r="AG104" s="2">
        <v>1.5</v>
      </c>
      <c r="AH104" s="2">
        <v>14.1</v>
      </c>
      <c r="AI104" s="2">
        <v>1.54</v>
      </c>
      <c r="AJ104" s="2">
        <v>21</v>
      </c>
      <c r="AK104" s="2">
        <v>13.7</v>
      </c>
      <c r="AL104" s="2">
        <v>25.9</v>
      </c>
      <c r="AM104" s="2">
        <v>19.899999999999999</v>
      </c>
      <c r="AN104" s="2">
        <v>13.6</v>
      </c>
      <c r="AO104" s="2">
        <v>69.2</v>
      </c>
      <c r="AP104" s="2">
        <v>70.3</v>
      </c>
      <c r="AQ104" s="2">
        <v>16.100000000000001</v>
      </c>
      <c r="AR104" s="2">
        <v>101.29</v>
      </c>
      <c r="AS104" s="2">
        <v>14</v>
      </c>
      <c r="AT104" s="2">
        <v>4278</v>
      </c>
      <c r="AU104" s="53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6"/>
    </row>
    <row r="105" spans="1:69" ht="13.2">
      <c r="A105" s="1" t="s">
        <v>234</v>
      </c>
      <c r="B105" s="1" t="s">
        <v>235</v>
      </c>
      <c r="C105" s="24" t="str">
        <f>VLOOKUP(B105,Equipe!$A$1:$B$31,2,FALSE)</f>
        <v>Oklahoma City Thunder</v>
      </c>
      <c r="D105" s="2">
        <v>26</v>
      </c>
      <c r="E105" s="2">
        <v>76</v>
      </c>
      <c r="F105" s="2">
        <v>62</v>
      </c>
      <c r="G105" s="2">
        <v>14</v>
      </c>
      <c r="H105" s="2">
        <v>22.9</v>
      </c>
      <c r="I105" s="3">
        <v>912</v>
      </c>
      <c r="J105" s="4">
        <v>357</v>
      </c>
      <c r="K105" s="4">
        <v>730</v>
      </c>
      <c r="L105" s="3">
        <v>48.8</v>
      </c>
      <c r="M105" s="4">
        <v>129</v>
      </c>
      <c r="N105" s="4">
        <v>342</v>
      </c>
      <c r="O105" s="3">
        <v>38.299999999999997</v>
      </c>
      <c r="P105" s="3">
        <v>76</v>
      </c>
      <c r="Q105" s="3">
        <v>91</v>
      </c>
      <c r="R105" s="3">
        <v>83.1</v>
      </c>
      <c r="S105" s="4">
        <v>84</v>
      </c>
      <c r="T105" s="4">
        <v>213</v>
      </c>
      <c r="U105" s="4">
        <v>296</v>
      </c>
      <c r="V105" s="4">
        <v>137</v>
      </c>
      <c r="W105" s="4">
        <v>68</v>
      </c>
      <c r="X105" s="4">
        <v>61</v>
      </c>
      <c r="Y105" s="4">
        <v>15</v>
      </c>
      <c r="Z105" s="4">
        <v>99</v>
      </c>
      <c r="AA105" s="3">
        <v>1634</v>
      </c>
      <c r="AB105" s="3">
        <v>2</v>
      </c>
      <c r="AC105" s="3">
        <v>0</v>
      </c>
      <c r="AD105" s="2">
        <v>6.8</v>
      </c>
      <c r="AE105" s="2">
        <v>120.7</v>
      </c>
      <c r="AF105" s="2">
        <v>106.6</v>
      </c>
      <c r="AG105" s="2">
        <v>14.2</v>
      </c>
      <c r="AH105" s="2">
        <v>10.199999999999999</v>
      </c>
      <c r="AI105" s="2">
        <v>1.94</v>
      </c>
      <c r="AJ105" s="2">
        <v>13.8</v>
      </c>
      <c r="AK105" s="2">
        <v>4.5999999999999996</v>
      </c>
      <c r="AL105" s="2">
        <v>11.3</v>
      </c>
      <c r="AM105" s="2">
        <v>8.1</v>
      </c>
      <c r="AN105" s="2">
        <v>7.1</v>
      </c>
      <c r="AO105" s="2">
        <v>57.7</v>
      </c>
      <c r="AP105" s="2">
        <v>59.6</v>
      </c>
      <c r="AQ105" s="2">
        <v>20</v>
      </c>
      <c r="AR105" s="2">
        <v>101.91</v>
      </c>
      <c r="AS105" s="2">
        <v>10.5</v>
      </c>
      <c r="AT105" s="2">
        <v>3698</v>
      </c>
      <c r="AU105" s="53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6"/>
    </row>
    <row r="106" spans="1:69" ht="13.2">
      <c r="A106" s="1" t="s">
        <v>236</v>
      </c>
      <c r="B106" s="1" t="s">
        <v>237</v>
      </c>
      <c r="C106" s="24" t="str">
        <f>VLOOKUP(B106,Equipe!$A$1:$B$31,2,FALSE)</f>
        <v>Dallas Mavericks</v>
      </c>
      <c r="D106" s="2">
        <v>27</v>
      </c>
      <c r="E106" s="2">
        <v>69</v>
      </c>
      <c r="F106" s="2">
        <v>32</v>
      </c>
      <c r="G106" s="2">
        <v>37</v>
      </c>
      <c r="H106" s="2">
        <v>27.8</v>
      </c>
      <c r="I106" s="3">
        <v>911</v>
      </c>
      <c r="J106" s="4">
        <v>359</v>
      </c>
      <c r="K106" s="4">
        <v>711</v>
      </c>
      <c r="L106" s="3">
        <v>50.8</v>
      </c>
      <c r="M106" s="4">
        <v>62</v>
      </c>
      <c r="N106" s="4">
        <v>221</v>
      </c>
      <c r="O106" s="3">
        <v>27.5</v>
      </c>
      <c r="P106" s="3">
        <v>131</v>
      </c>
      <c r="Q106" s="3">
        <v>159</v>
      </c>
      <c r="R106" s="3">
        <v>81.3</v>
      </c>
      <c r="S106" s="4">
        <v>76</v>
      </c>
      <c r="T106" s="4">
        <v>255</v>
      </c>
      <c r="U106" s="4">
        <v>331</v>
      </c>
      <c r="V106" s="4">
        <v>207</v>
      </c>
      <c r="W106" s="4">
        <v>110</v>
      </c>
      <c r="X106" s="4">
        <v>69</v>
      </c>
      <c r="Y106" s="4">
        <v>14</v>
      </c>
      <c r="Z106" s="4">
        <v>110</v>
      </c>
      <c r="AA106" s="3">
        <v>1753</v>
      </c>
      <c r="AB106" s="3">
        <v>6</v>
      </c>
      <c r="AC106" s="3">
        <v>0</v>
      </c>
      <c r="AD106" s="2">
        <v>-2</v>
      </c>
      <c r="AE106" s="2">
        <v>111.5</v>
      </c>
      <c r="AF106" s="2">
        <v>114.7</v>
      </c>
      <c r="AG106" s="2">
        <v>-3.2</v>
      </c>
      <c r="AH106" s="2">
        <v>16.100000000000001</v>
      </c>
      <c r="AI106" s="2">
        <v>1.86</v>
      </c>
      <c r="AJ106" s="2">
        <v>18.899999999999999</v>
      </c>
      <c r="AK106" s="2">
        <v>4</v>
      </c>
      <c r="AL106" s="2">
        <v>12.5</v>
      </c>
      <c r="AM106" s="2">
        <v>8.4</v>
      </c>
      <c r="AN106" s="2">
        <v>10.199999999999999</v>
      </c>
      <c r="AO106" s="2">
        <v>55.1</v>
      </c>
      <c r="AP106" s="2">
        <v>58.4</v>
      </c>
      <c r="AQ106" s="2">
        <v>19.7</v>
      </c>
      <c r="AR106" s="2">
        <v>101.27</v>
      </c>
      <c r="AS106" s="2">
        <v>10.5</v>
      </c>
      <c r="AT106" s="2">
        <v>4046</v>
      </c>
      <c r="AU106" s="53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6"/>
    </row>
    <row r="107" spans="1:69" ht="13.2">
      <c r="A107" s="1" t="s">
        <v>238</v>
      </c>
      <c r="B107" s="1" t="s">
        <v>239</v>
      </c>
      <c r="C107" s="24" t="str">
        <f>VLOOKUP(B107,Equipe!$A$1:$B$31,2,FALSE)</f>
        <v>Golden State Warriors</v>
      </c>
      <c r="D107" s="2">
        <v>32</v>
      </c>
      <c r="E107" s="2">
        <v>82</v>
      </c>
      <c r="F107" s="2">
        <v>48</v>
      </c>
      <c r="G107" s="2">
        <v>34</v>
      </c>
      <c r="H107" s="2">
        <v>22.7</v>
      </c>
      <c r="I107" s="3">
        <v>910</v>
      </c>
      <c r="J107" s="4">
        <v>328</v>
      </c>
      <c r="K107" s="4">
        <v>787</v>
      </c>
      <c r="L107" s="3">
        <v>41.7</v>
      </c>
      <c r="M107" s="4">
        <v>205</v>
      </c>
      <c r="N107" s="4">
        <v>549</v>
      </c>
      <c r="O107" s="3">
        <v>37</v>
      </c>
      <c r="P107" s="3">
        <v>49</v>
      </c>
      <c r="Q107" s="3">
        <v>66</v>
      </c>
      <c r="R107" s="3">
        <v>82.8</v>
      </c>
      <c r="S107" s="4">
        <v>49</v>
      </c>
      <c r="T107" s="4">
        <v>213</v>
      </c>
      <c r="U107" s="4">
        <v>262</v>
      </c>
      <c r="V107" s="4">
        <v>131</v>
      </c>
      <c r="W107" s="4">
        <v>90</v>
      </c>
      <c r="X107" s="4">
        <v>66</v>
      </c>
      <c r="Y107" s="4">
        <v>25</v>
      </c>
      <c r="Z107" s="4">
        <v>131</v>
      </c>
      <c r="AA107" s="3">
        <v>1615</v>
      </c>
      <c r="AB107" s="3">
        <v>0</v>
      </c>
      <c r="AC107" s="3">
        <v>0</v>
      </c>
      <c r="AD107" s="2">
        <v>1.7</v>
      </c>
      <c r="AE107" s="2">
        <v>112.3</v>
      </c>
      <c r="AF107" s="2">
        <v>110.1</v>
      </c>
      <c r="AG107" s="2">
        <v>2.2000000000000002</v>
      </c>
      <c r="AH107" s="2">
        <v>10.6</v>
      </c>
      <c r="AI107" s="2">
        <v>1.47</v>
      </c>
      <c r="AJ107" s="2">
        <v>13</v>
      </c>
      <c r="AK107" s="2">
        <v>2.5</v>
      </c>
      <c r="AL107" s="2">
        <v>11.1</v>
      </c>
      <c r="AM107" s="2">
        <v>6.6</v>
      </c>
      <c r="AN107" s="2">
        <v>8.8000000000000007</v>
      </c>
      <c r="AO107" s="2">
        <v>54.6</v>
      </c>
      <c r="AP107" s="2">
        <v>56</v>
      </c>
      <c r="AQ107" s="2">
        <v>19.600000000000001</v>
      </c>
      <c r="AR107" s="2">
        <v>100.82</v>
      </c>
      <c r="AS107" s="2">
        <v>8.5</v>
      </c>
      <c r="AT107" s="2">
        <v>3937</v>
      </c>
      <c r="AU107" s="53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6"/>
    </row>
    <row r="108" spans="1:69" ht="13.2">
      <c r="A108" s="8" t="s">
        <v>240</v>
      </c>
      <c r="B108" s="1" t="s">
        <v>241</v>
      </c>
      <c r="C108" s="24" t="str">
        <f>VLOOKUP(B108,Equipe!$A$1:$B$31,2,FALSE)</f>
        <v>Philadelphia 76ers</v>
      </c>
      <c r="D108" s="2">
        <v>29</v>
      </c>
      <c r="E108" s="2">
        <v>60</v>
      </c>
      <c r="F108" s="2">
        <v>21</v>
      </c>
      <c r="G108" s="2">
        <v>39</v>
      </c>
      <c r="H108" s="2">
        <v>34.6</v>
      </c>
      <c r="I108" s="3">
        <v>906</v>
      </c>
      <c r="J108" s="4">
        <v>348</v>
      </c>
      <c r="K108" s="4">
        <v>744</v>
      </c>
      <c r="L108" s="3">
        <v>47</v>
      </c>
      <c r="M108" s="4">
        <v>72</v>
      </c>
      <c r="N108" s="4">
        <v>240</v>
      </c>
      <c r="O108" s="3">
        <v>29.3</v>
      </c>
      <c r="P108" s="3">
        <v>138</v>
      </c>
      <c r="Q108" s="3">
        <v>186</v>
      </c>
      <c r="R108" s="3">
        <v>75.099999999999994</v>
      </c>
      <c r="S108" s="4">
        <v>96</v>
      </c>
      <c r="T108" s="4">
        <v>270</v>
      </c>
      <c r="U108" s="4">
        <v>366</v>
      </c>
      <c r="V108" s="4">
        <v>108</v>
      </c>
      <c r="W108" s="4">
        <v>78</v>
      </c>
      <c r="X108" s="4">
        <v>90</v>
      </c>
      <c r="Y108" s="4">
        <v>30</v>
      </c>
      <c r="Z108" s="4">
        <v>180</v>
      </c>
      <c r="AA108" s="3">
        <v>1794</v>
      </c>
      <c r="AB108" s="3">
        <v>10</v>
      </c>
      <c r="AC108" s="3">
        <v>0</v>
      </c>
      <c r="AD108" s="2">
        <v>-4.3</v>
      </c>
      <c r="AE108" s="2">
        <v>110.7</v>
      </c>
      <c r="AF108" s="2">
        <v>116.4</v>
      </c>
      <c r="AG108" s="2">
        <v>-5.7</v>
      </c>
      <c r="AH108" s="2">
        <v>7.9</v>
      </c>
      <c r="AI108" s="2">
        <v>1.35</v>
      </c>
      <c r="AJ108" s="2">
        <v>10.7</v>
      </c>
      <c r="AK108" s="2">
        <v>4.5999999999999996</v>
      </c>
      <c r="AL108" s="2">
        <v>14</v>
      </c>
      <c r="AM108" s="2">
        <v>9.1</v>
      </c>
      <c r="AN108" s="2">
        <v>8</v>
      </c>
      <c r="AO108" s="2">
        <v>51.8</v>
      </c>
      <c r="AP108" s="2">
        <v>55.1</v>
      </c>
      <c r="AQ108" s="2">
        <v>18.600000000000001</v>
      </c>
      <c r="AR108" s="2">
        <v>98.68</v>
      </c>
      <c r="AS108" s="2">
        <v>8.4</v>
      </c>
      <c r="AT108" s="2">
        <v>4266</v>
      </c>
      <c r="AU108" s="53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6"/>
    </row>
    <row r="109" spans="1:69" ht="13.2">
      <c r="A109" s="1" t="s">
        <v>242</v>
      </c>
      <c r="B109" s="1" t="s">
        <v>243</v>
      </c>
      <c r="C109" s="24" t="str">
        <f>VLOOKUP(B109,Equipe!$A$1:$B$31,2,FALSE)</f>
        <v>Phoenix Suns</v>
      </c>
      <c r="D109" s="2">
        <v>31</v>
      </c>
      <c r="E109" s="2">
        <v>53</v>
      </c>
      <c r="F109" s="2">
        <v>22</v>
      </c>
      <c r="G109" s="2">
        <v>31</v>
      </c>
      <c r="H109" s="2">
        <v>32.1</v>
      </c>
      <c r="I109" s="3">
        <v>901</v>
      </c>
      <c r="J109" s="4">
        <v>345</v>
      </c>
      <c r="K109" s="4">
        <v>694</v>
      </c>
      <c r="L109" s="3">
        <v>49.7</v>
      </c>
      <c r="M109" s="4">
        <v>101</v>
      </c>
      <c r="N109" s="4">
        <v>265</v>
      </c>
      <c r="O109" s="3">
        <v>38.6</v>
      </c>
      <c r="P109" s="3">
        <v>111</v>
      </c>
      <c r="Q109" s="3">
        <v>138</v>
      </c>
      <c r="R109" s="3">
        <v>80.3</v>
      </c>
      <c r="S109" s="4">
        <v>32</v>
      </c>
      <c r="T109" s="4">
        <v>143</v>
      </c>
      <c r="U109" s="4">
        <v>175</v>
      </c>
      <c r="V109" s="4">
        <v>196</v>
      </c>
      <c r="W109" s="4">
        <v>101</v>
      </c>
      <c r="X109" s="4">
        <v>58</v>
      </c>
      <c r="Y109" s="4">
        <v>27</v>
      </c>
      <c r="Z109" s="4">
        <v>138</v>
      </c>
      <c r="AA109" s="3">
        <v>1564</v>
      </c>
      <c r="AB109" s="3">
        <v>1</v>
      </c>
      <c r="AC109" s="3">
        <v>0</v>
      </c>
      <c r="AD109" s="2">
        <v>-5.2</v>
      </c>
      <c r="AE109" s="2">
        <v>110.6</v>
      </c>
      <c r="AF109" s="2">
        <v>118.6</v>
      </c>
      <c r="AG109" s="2">
        <v>-8</v>
      </c>
      <c r="AH109" s="2">
        <v>17.7</v>
      </c>
      <c r="AI109" s="2">
        <v>1.97</v>
      </c>
      <c r="AJ109" s="2">
        <v>18.600000000000001</v>
      </c>
      <c r="AK109" s="2">
        <v>2.1</v>
      </c>
      <c r="AL109" s="2">
        <v>8.3000000000000007</v>
      </c>
      <c r="AM109" s="2">
        <v>5.4</v>
      </c>
      <c r="AN109" s="2">
        <v>9.4</v>
      </c>
      <c r="AO109" s="2">
        <v>57.1</v>
      </c>
      <c r="AP109" s="2">
        <v>59.8</v>
      </c>
      <c r="AQ109" s="2">
        <v>21.9</v>
      </c>
      <c r="AR109" s="2">
        <v>100.02</v>
      </c>
      <c r="AS109" s="2">
        <v>9.3000000000000007</v>
      </c>
      <c r="AT109" s="2">
        <v>3552</v>
      </c>
      <c r="AU109" s="53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6"/>
    </row>
    <row r="110" spans="1:69" ht="13.2">
      <c r="A110" s="1" t="s">
        <v>244</v>
      </c>
      <c r="B110" s="1" t="s">
        <v>245</v>
      </c>
      <c r="C110" s="24" t="str">
        <f>VLOOKUP(B110,Equipe!$A$1:$B$31,2,FALSE)</f>
        <v>Utah Jazz</v>
      </c>
      <c r="D110" s="2">
        <v>28</v>
      </c>
      <c r="E110" s="2">
        <v>47</v>
      </c>
      <c r="F110" s="2">
        <v>9</v>
      </c>
      <c r="G110" s="2">
        <v>38</v>
      </c>
      <c r="H110" s="2">
        <v>31.4</v>
      </c>
      <c r="I110" s="3">
        <v>893</v>
      </c>
      <c r="J110" s="4">
        <v>296</v>
      </c>
      <c r="K110" s="4">
        <v>700</v>
      </c>
      <c r="L110" s="3">
        <v>42.3</v>
      </c>
      <c r="M110" s="4">
        <v>136</v>
      </c>
      <c r="N110" s="4">
        <v>400</v>
      </c>
      <c r="O110" s="3">
        <v>34.6</v>
      </c>
      <c r="P110" s="3">
        <v>160</v>
      </c>
      <c r="Q110" s="3">
        <v>183</v>
      </c>
      <c r="R110" s="3">
        <v>87.6</v>
      </c>
      <c r="S110" s="4">
        <v>71</v>
      </c>
      <c r="T110" s="4">
        <v>207</v>
      </c>
      <c r="U110" s="4">
        <v>277</v>
      </c>
      <c r="V110" s="4">
        <v>71</v>
      </c>
      <c r="W110" s="4">
        <v>66</v>
      </c>
      <c r="X110" s="4">
        <v>33</v>
      </c>
      <c r="Y110" s="4">
        <v>19</v>
      </c>
      <c r="Z110" s="4">
        <v>80</v>
      </c>
      <c r="AA110" s="3">
        <v>1415</v>
      </c>
      <c r="AB110" s="3">
        <v>5</v>
      </c>
      <c r="AC110" s="3">
        <v>0</v>
      </c>
      <c r="AD110" s="2">
        <v>-4</v>
      </c>
      <c r="AE110" s="2">
        <v>111.4</v>
      </c>
      <c r="AF110" s="2">
        <v>117.5</v>
      </c>
      <c r="AG110" s="2">
        <v>-6.1</v>
      </c>
      <c r="AH110" s="2">
        <v>7.4</v>
      </c>
      <c r="AI110" s="2">
        <v>1.06</v>
      </c>
      <c r="AJ110" s="2">
        <v>7.7</v>
      </c>
      <c r="AK110" s="2">
        <v>4.5999999999999996</v>
      </c>
      <c r="AL110" s="2">
        <v>13.4</v>
      </c>
      <c r="AM110" s="2">
        <v>9</v>
      </c>
      <c r="AN110" s="2">
        <v>7.2</v>
      </c>
      <c r="AO110" s="2">
        <v>52.1</v>
      </c>
      <c r="AP110" s="2">
        <v>57.1</v>
      </c>
      <c r="AQ110" s="2">
        <v>23.1</v>
      </c>
      <c r="AR110" s="2">
        <v>101.64</v>
      </c>
      <c r="AS110" s="2">
        <v>10.3</v>
      </c>
      <c r="AT110" s="2">
        <v>3127</v>
      </c>
      <c r="AU110" s="53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6"/>
    </row>
    <row r="111" spans="1:69" ht="13.2">
      <c r="A111" s="1" t="s">
        <v>246</v>
      </c>
      <c r="B111" s="1" t="s">
        <v>247</v>
      </c>
      <c r="C111" s="24" t="str">
        <f>VLOOKUP(B111,Equipe!$A$1:$B$31,2,FALSE)</f>
        <v>Portland Trail Blazers</v>
      </c>
      <c r="D111" s="2">
        <v>25</v>
      </c>
      <c r="E111" s="2">
        <v>78</v>
      </c>
      <c r="F111" s="2">
        <v>33</v>
      </c>
      <c r="G111" s="2">
        <v>45</v>
      </c>
      <c r="H111" s="2">
        <v>32.700000000000003</v>
      </c>
      <c r="I111" s="3">
        <v>881</v>
      </c>
      <c r="J111" s="4">
        <v>328</v>
      </c>
      <c r="K111" s="4">
        <v>718</v>
      </c>
      <c r="L111" s="3">
        <v>45.8</v>
      </c>
      <c r="M111" s="4">
        <v>133</v>
      </c>
      <c r="N111" s="4">
        <v>359</v>
      </c>
      <c r="O111" s="3">
        <v>37.5</v>
      </c>
      <c r="P111" s="3">
        <v>94</v>
      </c>
      <c r="Q111" s="3">
        <v>125</v>
      </c>
      <c r="R111" s="3">
        <v>72.2</v>
      </c>
      <c r="S111" s="4">
        <v>172</v>
      </c>
      <c r="T111" s="4">
        <v>281</v>
      </c>
      <c r="U111" s="4">
        <v>452</v>
      </c>
      <c r="V111" s="4">
        <v>172</v>
      </c>
      <c r="W111" s="4">
        <v>109</v>
      </c>
      <c r="X111" s="4">
        <v>117</v>
      </c>
      <c r="Y111" s="4">
        <v>47</v>
      </c>
      <c r="Z111" s="4">
        <v>226</v>
      </c>
      <c r="AA111" s="3">
        <v>2075</v>
      </c>
      <c r="AB111" s="3">
        <v>4</v>
      </c>
      <c r="AC111" s="3">
        <v>0</v>
      </c>
      <c r="AD111" s="2">
        <v>-1.5</v>
      </c>
      <c r="AE111" s="2">
        <v>111.5</v>
      </c>
      <c r="AF111" s="2">
        <v>113.3</v>
      </c>
      <c r="AG111" s="2">
        <v>-1.8</v>
      </c>
      <c r="AH111" s="2">
        <v>9.6</v>
      </c>
      <c r="AI111" s="2">
        <v>1.61</v>
      </c>
      <c r="AJ111" s="2">
        <v>16.600000000000001</v>
      </c>
      <c r="AK111" s="2">
        <v>6.3</v>
      </c>
      <c r="AL111" s="2">
        <v>11</v>
      </c>
      <c r="AM111" s="2">
        <v>8.6</v>
      </c>
      <c r="AN111" s="2">
        <v>10.3</v>
      </c>
      <c r="AO111" s="2">
        <v>55.2</v>
      </c>
      <c r="AP111" s="2">
        <v>57.2</v>
      </c>
      <c r="AQ111" s="2">
        <v>14.3</v>
      </c>
      <c r="AR111" s="2">
        <v>99.38</v>
      </c>
      <c r="AS111" s="2">
        <v>7.6</v>
      </c>
      <c r="AT111" s="2">
        <v>5267</v>
      </c>
      <c r="AU111" s="53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6"/>
    </row>
    <row r="112" spans="1:69" ht="13.2">
      <c r="A112" s="1" t="s">
        <v>248</v>
      </c>
      <c r="B112" s="1" t="s">
        <v>249</v>
      </c>
      <c r="C112" s="24" t="str">
        <f>VLOOKUP(B112,Equipe!$A$1:$B$31,2,FALSE)</f>
        <v>Cleveland Cavaliers</v>
      </c>
      <c r="D112" s="2">
        <v>27</v>
      </c>
      <c r="E112" s="2">
        <v>70</v>
      </c>
      <c r="F112" s="2">
        <v>55</v>
      </c>
      <c r="G112" s="2">
        <v>15</v>
      </c>
      <c r="H112" s="2">
        <v>19.899999999999999</v>
      </c>
      <c r="I112" s="3">
        <v>875</v>
      </c>
      <c r="J112" s="4">
        <v>322</v>
      </c>
      <c r="K112" s="4">
        <v>616</v>
      </c>
      <c r="L112" s="3">
        <v>51.6</v>
      </c>
      <c r="M112" s="4">
        <v>112</v>
      </c>
      <c r="N112" s="4">
        <v>252</v>
      </c>
      <c r="O112" s="3">
        <v>43.9</v>
      </c>
      <c r="P112" s="3">
        <v>126</v>
      </c>
      <c r="Q112" s="3">
        <v>147</v>
      </c>
      <c r="R112" s="3">
        <v>87.2</v>
      </c>
      <c r="S112" s="4">
        <v>49</v>
      </c>
      <c r="T112" s="4">
        <v>126</v>
      </c>
      <c r="U112" s="4">
        <v>175</v>
      </c>
      <c r="V112" s="4">
        <v>238</v>
      </c>
      <c r="W112" s="4">
        <v>91</v>
      </c>
      <c r="X112" s="4">
        <v>77</v>
      </c>
      <c r="Y112" s="3">
        <v>0</v>
      </c>
      <c r="Z112" s="4">
        <v>105</v>
      </c>
      <c r="AA112" s="3">
        <v>1589</v>
      </c>
      <c r="AB112" s="3">
        <v>0</v>
      </c>
      <c r="AC112" s="3">
        <v>0</v>
      </c>
      <c r="AD112" s="2">
        <v>4.3</v>
      </c>
      <c r="AE112" s="9">
        <v>120.3</v>
      </c>
      <c r="AF112" s="9">
        <v>110.4</v>
      </c>
      <c r="AG112" s="9">
        <v>9.9</v>
      </c>
      <c r="AH112" s="9">
        <v>24.1</v>
      </c>
      <c r="AI112" s="9">
        <v>2.58</v>
      </c>
      <c r="AJ112" s="9">
        <v>23.5</v>
      </c>
      <c r="AK112" s="9">
        <v>3.6</v>
      </c>
      <c r="AL112" s="9">
        <v>8.3000000000000007</v>
      </c>
      <c r="AM112" s="9">
        <v>6</v>
      </c>
      <c r="AN112" s="9">
        <v>9.1</v>
      </c>
      <c r="AO112" s="9">
        <v>60.6</v>
      </c>
      <c r="AP112" s="9">
        <v>64.3</v>
      </c>
      <c r="AQ112" s="9">
        <v>22.9</v>
      </c>
      <c r="AR112" s="9">
        <v>101.92</v>
      </c>
      <c r="AS112" s="9">
        <v>13.4</v>
      </c>
      <c r="AT112" s="9">
        <v>2960</v>
      </c>
      <c r="AU112" s="53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10"/>
    </row>
    <row r="113" spans="1:69" ht="13.2">
      <c r="A113" s="1" t="s">
        <v>250</v>
      </c>
      <c r="B113" s="1" t="s">
        <v>251</v>
      </c>
      <c r="C113" s="24" t="str">
        <f>VLOOKUP(B113,Equipe!$A$1:$B$31,2,FALSE)</f>
        <v>Washington Wizards</v>
      </c>
      <c r="D113" s="2">
        <v>20</v>
      </c>
      <c r="E113" s="2">
        <v>67</v>
      </c>
      <c r="F113" s="2">
        <v>13</v>
      </c>
      <c r="G113" s="2">
        <v>54</v>
      </c>
      <c r="H113" s="2">
        <v>27.1</v>
      </c>
      <c r="I113" s="3">
        <v>871</v>
      </c>
      <c r="J113" s="4">
        <v>328</v>
      </c>
      <c r="K113" s="4">
        <v>831</v>
      </c>
      <c r="L113" s="3">
        <v>39.4</v>
      </c>
      <c r="M113" s="4">
        <v>107</v>
      </c>
      <c r="N113" s="4">
        <v>342</v>
      </c>
      <c r="O113" s="3">
        <v>30.8</v>
      </c>
      <c r="P113" s="3">
        <v>114</v>
      </c>
      <c r="Q113" s="3">
        <v>168</v>
      </c>
      <c r="R113" s="3">
        <v>67.900000000000006</v>
      </c>
      <c r="S113" s="4">
        <v>127</v>
      </c>
      <c r="T113" s="4">
        <v>308</v>
      </c>
      <c r="U113" s="4">
        <v>436</v>
      </c>
      <c r="V113" s="4">
        <v>161</v>
      </c>
      <c r="W113" s="4">
        <v>114</v>
      </c>
      <c r="X113" s="4">
        <v>47</v>
      </c>
      <c r="Y113" s="4">
        <v>101</v>
      </c>
      <c r="Z113" s="4">
        <v>147</v>
      </c>
      <c r="AA113" s="3">
        <v>1956</v>
      </c>
      <c r="AB113" s="3">
        <v>10</v>
      </c>
      <c r="AC113" s="3">
        <v>0</v>
      </c>
      <c r="AD113" s="2">
        <v>-8.1</v>
      </c>
      <c r="AE113" s="2">
        <v>102.7</v>
      </c>
      <c r="AF113" s="2">
        <v>116.4</v>
      </c>
      <c r="AG113" s="2">
        <v>-13.7</v>
      </c>
      <c r="AH113" s="2">
        <v>13.9</v>
      </c>
      <c r="AI113" s="2">
        <v>1.41</v>
      </c>
      <c r="AJ113" s="2">
        <v>13.7</v>
      </c>
      <c r="AK113" s="2">
        <v>6</v>
      </c>
      <c r="AL113" s="2">
        <v>15.8</v>
      </c>
      <c r="AM113" s="2">
        <v>10.8</v>
      </c>
      <c r="AN113" s="2">
        <v>9.6999999999999993</v>
      </c>
      <c r="AO113" s="2">
        <v>45.7</v>
      </c>
      <c r="AP113" s="2">
        <v>48.2</v>
      </c>
      <c r="AQ113" s="2">
        <v>23</v>
      </c>
      <c r="AR113" s="2">
        <v>104.3</v>
      </c>
      <c r="AS113" s="2">
        <v>8.4</v>
      </c>
      <c r="AT113" s="2">
        <v>3939</v>
      </c>
      <c r="AU113" s="53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6"/>
    </row>
    <row r="114" spans="1:69" ht="13.2">
      <c r="A114" s="1" t="s">
        <v>252</v>
      </c>
      <c r="B114" s="1" t="s">
        <v>253</v>
      </c>
      <c r="C114" s="24" t="str">
        <f>VLOOKUP(B114,Equipe!$A$1:$B$31,2,FALSE)</f>
        <v>Dallas Mavericks</v>
      </c>
      <c r="D114" s="2">
        <v>32</v>
      </c>
      <c r="E114" s="2">
        <v>79</v>
      </c>
      <c r="F114" s="2">
        <v>37</v>
      </c>
      <c r="G114" s="2">
        <v>42</v>
      </c>
      <c r="H114" s="2">
        <v>27</v>
      </c>
      <c r="I114" s="3">
        <v>869</v>
      </c>
      <c r="J114" s="4">
        <v>284</v>
      </c>
      <c r="K114" s="4">
        <v>679</v>
      </c>
      <c r="L114" s="3">
        <v>41.6</v>
      </c>
      <c r="M114" s="4">
        <v>111</v>
      </c>
      <c r="N114" s="4">
        <v>324</v>
      </c>
      <c r="O114" s="3">
        <v>33.4</v>
      </c>
      <c r="P114" s="3">
        <v>198</v>
      </c>
      <c r="Q114" s="3">
        <v>245</v>
      </c>
      <c r="R114" s="3">
        <v>80.2</v>
      </c>
      <c r="S114" s="4">
        <v>16</v>
      </c>
      <c r="T114" s="4">
        <v>190</v>
      </c>
      <c r="U114" s="4">
        <v>205</v>
      </c>
      <c r="V114" s="4">
        <v>348</v>
      </c>
      <c r="W114" s="4">
        <v>103</v>
      </c>
      <c r="X114" s="4">
        <v>71</v>
      </c>
      <c r="Y114" s="4">
        <v>16</v>
      </c>
      <c r="Z114" s="4">
        <v>119</v>
      </c>
      <c r="AA114" s="3">
        <v>1809</v>
      </c>
      <c r="AB114" s="3">
        <v>5</v>
      </c>
      <c r="AC114" s="3">
        <v>0</v>
      </c>
      <c r="AD114" s="2">
        <v>-2.8</v>
      </c>
      <c r="AE114" s="2">
        <v>110.1</v>
      </c>
      <c r="AF114" s="2">
        <v>115.1</v>
      </c>
      <c r="AG114" s="2">
        <v>-5</v>
      </c>
      <c r="AH114" s="2">
        <v>22.8</v>
      </c>
      <c r="AI114" s="2">
        <v>3.42</v>
      </c>
      <c r="AJ114" s="2">
        <v>28.3</v>
      </c>
      <c r="AK114" s="2">
        <v>0.8</v>
      </c>
      <c r="AL114" s="2">
        <v>8.6</v>
      </c>
      <c r="AM114" s="2">
        <v>4.8</v>
      </c>
      <c r="AN114" s="2">
        <v>8.3000000000000007</v>
      </c>
      <c r="AO114" s="2">
        <v>49.6</v>
      </c>
      <c r="AP114" s="2">
        <v>55.3</v>
      </c>
      <c r="AQ114" s="2">
        <v>17.5</v>
      </c>
      <c r="AR114" s="2">
        <v>101.4</v>
      </c>
      <c r="AS114" s="2">
        <v>8.9</v>
      </c>
      <c r="AT114" s="2">
        <v>4515</v>
      </c>
      <c r="AU114" s="53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6"/>
    </row>
    <row r="115" spans="1:69" ht="13.2">
      <c r="A115" s="1" t="s">
        <v>254</v>
      </c>
      <c r="B115" s="1" t="s">
        <v>255</v>
      </c>
      <c r="C115" s="24" t="str">
        <f>VLOOKUP(B115,Equipe!$A$1:$B$31,2,FALSE)</f>
        <v>Minnesota Timberwolves</v>
      </c>
      <c r="D115" s="2">
        <v>32</v>
      </c>
      <c r="E115" s="2">
        <v>72</v>
      </c>
      <c r="F115" s="2">
        <v>43</v>
      </c>
      <c r="G115" s="2">
        <v>29</v>
      </c>
      <c r="H115" s="2">
        <v>33.200000000000003</v>
      </c>
      <c r="I115" s="3">
        <v>864</v>
      </c>
      <c r="J115" s="4">
        <v>338</v>
      </c>
      <c r="K115" s="4">
        <v>511</v>
      </c>
      <c r="L115" s="3">
        <v>66.900000000000006</v>
      </c>
      <c r="M115" s="3">
        <v>0</v>
      </c>
      <c r="N115" s="3">
        <v>0</v>
      </c>
      <c r="O115" s="3">
        <v>0</v>
      </c>
      <c r="P115" s="3">
        <v>187</v>
      </c>
      <c r="Q115" s="3">
        <v>274</v>
      </c>
      <c r="R115" s="3">
        <v>67.400000000000006</v>
      </c>
      <c r="S115" s="4">
        <v>266</v>
      </c>
      <c r="T115" s="4">
        <v>518</v>
      </c>
      <c r="U115" s="4">
        <v>785</v>
      </c>
      <c r="V115" s="4">
        <v>130</v>
      </c>
      <c r="W115" s="4">
        <v>86</v>
      </c>
      <c r="X115" s="4">
        <v>58</v>
      </c>
      <c r="Y115" s="4">
        <v>101</v>
      </c>
      <c r="Z115" s="4">
        <v>180</v>
      </c>
      <c r="AA115" s="3">
        <v>2390</v>
      </c>
      <c r="AB115" s="3">
        <v>36</v>
      </c>
      <c r="AC115" s="3">
        <v>0</v>
      </c>
      <c r="AD115" s="2">
        <v>4.5</v>
      </c>
      <c r="AE115" s="2">
        <v>114.3</v>
      </c>
      <c r="AF115" s="2">
        <v>107.6</v>
      </c>
      <c r="AG115" s="2">
        <v>6.7</v>
      </c>
      <c r="AH115" s="2">
        <v>7.5</v>
      </c>
      <c r="AI115" s="2">
        <v>1.43</v>
      </c>
      <c r="AJ115" s="2">
        <v>14.9</v>
      </c>
      <c r="AK115" s="2">
        <v>11.1</v>
      </c>
      <c r="AL115" s="2">
        <v>21</v>
      </c>
      <c r="AM115" s="2">
        <v>16.100000000000001</v>
      </c>
      <c r="AN115" s="2">
        <v>10.5</v>
      </c>
      <c r="AO115" s="2">
        <v>66.900000000000006</v>
      </c>
      <c r="AP115" s="2">
        <v>68.7</v>
      </c>
      <c r="AQ115" s="2">
        <v>12.9</v>
      </c>
      <c r="AR115" s="2">
        <v>97.63</v>
      </c>
      <c r="AS115" s="2">
        <v>12.6</v>
      </c>
      <c r="AT115" s="2">
        <v>4858</v>
      </c>
      <c r="AU115" s="53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6"/>
    </row>
    <row r="116" spans="1:69" ht="13.2">
      <c r="A116" s="8" t="s">
        <v>256</v>
      </c>
      <c r="B116" s="1" t="s">
        <v>257</v>
      </c>
      <c r="C116" s="24" t="str">
        <f>VLOOKUP(B116,Equipe!$A$1:$B$31,2,FALSE)</f>
        <v>Detroit Pistons</v>
      </c>
      <c r="D116" s="2">
        <v>33</v>
      </c>
      <c r="E116" s="2">
        <v>77</v>
      </c>
      <c r="F116" s="2">
        <v>41</v>
      </c>
      <c r="G116" s="2">
        <v>36</v>
      </c>
      <c r="H116" s="2">
        <v>28</v>
      </c>
      <c r="I116" s="3">
        <v>847</v>
      </c>
      <c r="J116" s="4">
        <v>277</v>
      </c>
      <c r="K116" s="4">
        <v>678</v>
      </c>
      <c r="L116" s="3">
        <v>40.6</v>
      </c>
      <c r="M116" s="4">
        <v>169</v>
      </c>
      <c r="N116" s="4">
        <v>454</v>
      </c>
      <c r="O116" s="3">
        <v>36.799999999999997</v>
      </c>
      <c r="P116" s="3">
        <v>123</v>
      </c>
      <c r="Q116" s="3">
        <v>146</v>
      </c>
      <c r="R116" s="3">
        <v>85.5</v>
      </c>
      <c r="S116" s="4">
        <v>15</v>
      </c>
      <c r="T116" s="4">
        <v>162</v>
      </c>
      <c r="U116" s="4">
        <v>185</v>
      </c>
      <c r="V116" s="4">
        <v>123</v>
      </c>
      <c r="W116" s="4">
        <v>46</v>
      </c>
      <c r="X116" s="4">
        <v>39</v>
      </c>
      <c r="Y116" s="4">
        <v>8</v>
      </c>
      <c r="Z116" s="4">
        <v>92</v>
      </c>
      <c r="AA116" s="3">
        <v>1332</v>
      </c>
      <c r="AB116" s="3">
        <v>0</v>
      </c>
      <c r="AC116" s="3">
        <v>0</v>
      </c>
      <c r="AD116" s="2">
        <v>0.3</v>
      </c>
      <c r="AE116" s="2">
        <v>113.8</v>
      </c>
      <c r="AF116" s="2">
        <v>114.2</v>
      </c>
      <c r="AG116" s="2">
        <v>-0.5</v>
      </c>
      <c r="AH116" s="2">
        <v>7.4</v>
      </c>
      <c r="AI116" s="2">
        <v>2.56</v>
      </c>
      <c r="AJ116" s="2">
        <v>13.6</v>
      </c>
      <c r="AK116" s="2">
        <v>0.8</v>
      </c>
      <c r="AL116" s="2">
        <v>7.5</v>
      </c>
      <c r="AM116" s="2">
        <v>4.2</v>
      </c>
      <c r="AN116" s="2">
        <v>5.3</v>
      </c>
      <c r="AO116" s="2">
        <v>52.9</v>
      </c>
      <c r="AP116" s="2">
        <v>56.7</v>
      </c>
      <c r="AQ116" s="2">
        <v>15.1</v>
      </c>
      <c r="AR116" s="2">
        <v>100.66</v>
      </c>
      <c r="AS116" s="2">
        <v>6.6</v>
      </c>
      <c r="AT116" s="2">
        <v>4535</v>
      </c>
      <c r="AU116" s="53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6"/>
    </row>
    <row r="117" spans="1:69" ht="13.2">
      <c r="A117" s="1" t="s">
        <v>258</v>
      </c>
      <c r="B117" s="1" t="s">
        <v>259</v>
      </c>
      <c r="C117" s="24" t="str">
        <f>VLOOKUP(B117,Equipe!$A$1:$B$31,2,FALSE)</f>
        <v>Houston Rockets</v>
      </c>
      <c r="D117" s="2">
        <v>31</v>
      </c>
      <c r="E117" s="2">
        <v>60</v>
      </c>
      <c r="F117" s="2">
        <v>41</v>
      </c>
      <c r="G117" s="2">
        <v>19</v>
      </c>
      <c r="H117" s="2">
        <v>35.200000000000003</v>
      </c>
      <c r="I117" s="3">
        <v>846</v>
      </c>
      <c r="J117" s="4">
        <v>288</v>
      </c>
      <c r="K117" s="4">
        <v>762</v>
      </c>
      <c r="L117" s="3">
        <v>37.799999999999997</v>
      </c>
      <c r="M117" s="4">
        <v>162</v>
      </c>
      <c r="N117" s="4">
        <v>462</v>
      </c>
      <c r="O117" s="3">
        <v>34.5</v>
      </c>
      <c r="P117" s="3">
        <v>114</v>
      </c>
      <c r="Q117" s="3">
        <v>138</v>
      </c>
      <c r="R117" s="3">
        <v>81</v>
      </c>
      <c r="S117" s="4">
        <v>30</v>
      </c>
      <c r="T117" s="4">
        <v>192</v>
      </c>
      <c r="U117" s="4">
        <v>222</v>
      </c>
      <c r="V117" s="4">
        <v>336</v>
      </c>
      <c r="W117" s="4">
        <v>90</v>
      </c>
      <c r="X117" s="4">
        <v>96</v>
      </c>
      <c r="Y117" s="4">
        <v>24</v>
      </c>
      <c r="Z117" s="4">
        <v>138</v>
      </c>
      <c r="AA117" s="3">
        <v>1878</v>
      </c>
      <c r="AB117" s="3">
        <v>4</v>
      </c>
      <c r="AC117" s="3">
        <v>0</v>
      </c>
      <c r="AD117" s="2">
        <v>4.4000000000000004</v>
      </c>
      <c r="AE117" s="2">
        <v>115</v>
      </c>
      <c r="AF117" s="2">
        <v>108.8</v>
      </c>
      <c r="AG117" s="2">
        <v>6.2</v>
      </c>
      <c r="AH117" s="2">
        <v>21.7</v>
      </c>
      <c r="AI117" s="2">
        <v>3.83</v>
      </c>
      <c r="AJ117" s="2">
        <v>27</v>
      </c>
      <c r="AK117" s="2">
        <v>1.4</v>
      </c>
      <c r="AL117" s="2">
        <v>8.9</v>
      </c>
      <c r="AM117" s="2">
        <v>4.9000000000000004</v>
      </c>
      <c r="AN117" s="2">
        <v>7.1</v>
      </c>
      <c r="AO117" s="2">
        <v>48.3</v>
      </c>
      <c r="AP117" s="2">
        <v>51.5</v>
      </c>
      <c r="AQ117" s="2">
        <v>17.600000000000001</v>
      </c>
      <c r="AR117" s="2">
        <v>98.18</v>
      </c>
      <c r="AS117" s="2">
        <v>9.3000000000000007</v>
      </c>
      <c r="AT117" s="2">
        <v>4316</v>
      </c>
      <c r="AU117" s="53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6"/>
    </row>
    <row r="118" spans="1:69" ht="13.2">
      <c r="A118" s="1" t="s">
        <v>260</v>
      </c>
      <c r="B118" s="1" t="s">
        <v>261</v>
      </c>
      <c r="C118" s="24" t="str">
        <f>VLOOKUP(B118,Equipe!$A$1:$B$31,2,FALSE)</f>
        <v>Sacramento Kings</v>
      </c>
      <c r="D118" s="2">
        <v>33</v>
      </c>
      <c r="E118" s="2">
        <v>81</v>
      </c>
      <c r="F118" s="2">
        <v>23</v>
      </c>
      <c r="G118" s="2">
        <v>58</v>
      </c>
      <c r="H118" s="2">
        <v>18.8</v>
      </c>
      <c r="I118" s="3">
        <v>842</v>
      </c>
      <c r="J118" s="4">
        <v>348</v>
      </c>
      <c r="K118" s="4">
        <v>624</v>
      </c>
      <c r="L118" s="3">
        <v>55</v>
      </c>
      <c r="M118" s="4">
        <v>8</v>
      </c>
      <c r="N118" s="4">
        <v>41</v>
      </c>
      <c r="O118" s="3">
        <v>21.6</v>
      </c>
      <c r="P118" s="3">
        <v>146</v>
      </c>
      <c r="Q118" s="3">
        <v>162</v>
      </c>
      <c r="R118" s="3">
        <v>87.9</v>
      </c>
      <c r="S118" s="4">
        <v>186</v>
      </c>
      <c r="T118" s="4">
        <v>437</v>
      </c>
      <c r="U118" s="4">
        <v>624</v>
      </c>
      <c r="V118" s="4">
        <v>162</v>
      </c>
      <c r="W118" s="4">
        <v>122</v>
      </c>
      <c r="X118" s="4">
        <v>41</v>
      </c>
      <c r="Y118" s="4">
        <v>49</v>
      </c>
      <c r="Z118" s="4">
        <v>178</v>
      </c>
      <c r="AA118" s="3">
        <v>1968</v>
      </c>
      <c r="AB118" s="3">
        <v>21</v>
      </c>
      <c r="AC118" s="3">
        <v>0</v>
      </c>
      <c r="AD118" s="2">
        <v>-3.8</v>
      </c>
      <c r="AE118" s="2">
        <v>109.2</v>
      </c>
      <c r="AF118" s="2">
        <v>118.8</v>
      </c>
      <c r="AG118" s="2">
        <v>-9.6</v>
      </c>
      <c r="AH118" s="2">
        <v>17.100000000000001</v>
      </c>
      <c r="AI118" s="2">
        <v>1.37</v>
      </c>
      <c r="AJ118" s="2">
        <v>16.600000000000001</v>
      </c>
      <c r="AK118" s="2">
        <v>12.2</v>
      </c>
      <c r="AL118" s="2">
        <v>28.6</v>
      </c>
      <c r="AM118" s="2">
        <v>20.3</v>
      </c>
      <c r="AN118" s="2">
        <v>12.2</v>
      </c>
      <c r="AO118" s="2">
        <v>55.7</v>
      </c>
      <c r="AP118" s="2">
        <v>60.2</v>
      </c>
      <c r="AQ118" s="2">
        <v>22.2</v>
      </c>
      <c r="AR118" s="2">
        <v>101.28</v>
      </c>
      <c r="AS118" s="2">
        <v>14.7</v>
      </c>
      <c r="AT118" s="2">
        <v>3217</v>
      </c>
      <c r="AU118" s="53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6"/>
    </row>
    <row r="119" spans="1:69" ht="13.2">
      <c r="A119" s="1" t="s">
        <v>264</v>
      </c>
      <c r="B119" s="1" t="s">
        <v>265</v>
      </c>
      <c r="C119" s="24" t="str">
        <f>VLOOKUP(B119,Equipe!$A$1:$B$31,2,FALSE)</f>
        <v>Portland Trail Blazers</v>
      </c>
      <c r="D119" s="2">
        <v>21</v>
      </c>
      <c r="E119" s="2">
        <v>66</v>
      </c>
      <c r="F119" s="2">
        <v>30</v>
      </c>
      <c r="G119" s="2">
        <v>36</v>
      </c>
      <c r="H119" s="2">
        <v>26.7</v>
      </c>
      <c r="I119" s="3">
        <v>838</v>
      </c>
      <c r="J119" s="4">
        <v>284</v>
      </c>
      <c r="K119" s="4">
        <v>686</v>
      </c>
      <c r="L119" s="3">
        <v>41.9</v>
      </c>
      <c r="M119" s="4">
        <v>106</v>
      </c>
      <c r="N119" s="4">
        <v>297</v>
      </c>
      <c r="O119" s="3">
        <v>35.4</v>
      </c>
      <c r="P119" s="3">
        <v>158</v>
      </c>
      <c r="Q119" s="3">
        <v>205</v>
      </c>
      <c r="R119" s="3">
        <v>76.7</v>
      </c>
      <c r="S119" s="4">
        <v>53</v>
      </c>
      <c r="T119" s="4">
        <v>145</v>
      </c>
      <c r="U119" s="4">
        <v>198</v>
      </c>
      <c r="V119" s="4">
        <v>337</v>
      </c>
      <c r="W119" s="4">
        <v>178</v>
      </c>
      <c r="X119" s="4">
        <v>66</v>
      </c>
      <c r="Y119" s="4">
        <v>13</v>
      </c>
      <c r="Z119" s="4">
        <v>178</v>
      </c>
      <c r="AA119" s="3">
        <v>1643</v>
      </c>
      <c r="AB119" s="3">
        <v>2</v>
      </c>
      <c r="AC119" s="3">
        <v>0</v>
      </c>
      <c r="AD119" s="2">
        <v>-0.6</v>
      </c>
      <c r="AE119" s="2">
        <v>112.5</v>
      </c>
      <c r="AF119" s="2">
        <v>113.7</v>
      </c>
      <c r="AG119" s="2">
        <v>-1.3</v>
      </c>
      <c r="AH119" s="2">
        <v>27.4</v>
      </c>
      <c r="AI119" s="2">
        <v>1.89</v>
      </c>
      <c r="AJ119" s="2">
        <v>25.9</v>
      </c>
      <c r="AK119" s="2">
        <v>2.8</v>
      </c>
      <c r="AL119" s="2">
        <v>8.3000000000000007</v>
      </c>
      <c r="AM119" s="2">
        <v>5.4</v>
      </c>
      <c r="AN119" s="2">
        <v>13.7</v>
      </c>
      <c r="AO119" s="2">
        <v>49.6</v>
      </c>
      <c r="AP119" s="2">
        <v>54</v>
      </c>
      <c r="AQ119" s="2">
        <v>22</v>
      </c>
      <c r="AR119" s="2">
        <v>100.99</v>
      </c>
      <c r="AS119" s="2">
        <v>8.4</v>
      </c>
      <c r="AT119" s="2">
        <v>3705</v>
      </c>
      <c r="AU119" s="53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6"/>
    </row>
    <row r="120" spans="1:69" ht="13.2">
      <c r="A120" s="8" t="s">
        <v>262</v>
      </c>
      <c r="B120" s="1" t="s">
        <v>263</v>
      </c>
      <c r="C120" s="24" t="str">
        <f>VLOOKUP(B120,Equipe!$A$1:$B$31,2,FALSE)</f>
        <v>Dallas Mavericks</v>
      </c>
      <c r="D120" s="2">
        <v>26</v>
      </c>
      <c r="E120" s="2">
        <v>57</v>
      </c>
      <c r="F120" s="2">
        <v>31</v>
      </c>
      <c r="G120" s="2">
        <v>26</v>
      </c>
      <c r="H120" s="2">
        <v>32.200000000000003</v>
      </c>
      <c r="I120" s="3">
        <v>838</v>
      </c>
      <c r="J120" s="4">
        <v>302</v>
      </c>
      <c r="K120" s="4">
        <v>667</v>
      </c>
      <c r="L120" s="3">
        <v>45.3</v>
      </c>
      <c r="M120" s="4">
        <v>91</v>
      </c>
      <c r="N120" s="4">
        <v>239</v>
      </c>
      <c r="O120" s="3">
        <v>38.1</v>
      </c>
      <c r="P120" s="3">
        <v>143</v>
      </c>
      <c r="Q120" s="3">
        <v>200</v>
      </c>
      <c r="R120" s="3">
        <v>72.2</v>
      </c>
      <c r="S120" s="4">
        <v>80</v>
      </c>
      <c r="T120" s="4">
        <v>359</v>
      </c>
      <c r="U120" s="4">
        <v>445</v>
      </c>
      <c r="V120" s="4">
        <v>131</v>
      </c>
      <c r="W120" s="4">
        <v>120</v>
      </c>
      <c r="X120" s="4">
        <v>63</v>
      </c>
      <c r="Y120" s="4">
        <v>63</v>
      </c>
      <c r="Z120" s="4">
        <v>131</v>
      </c>
      <c r="AA120" s="3">
        <v>1813</v>
      </c>
      <c r="AB120" s="3">
        <v>14</v>
      </c>
      <c r="AC120" s="3">
        <v>0</v>
      </c>
      <c r="AD120" s="2">
        <v>0.9</v>
      </c>
      <c r="AE120" s="2">
        <v>114.2</v>
      </c>
      <c r="AF120" s="2">
        <v>113.2</v>
      </c>
      <c r="AG120" s="2">
        <v>1.1000000000000001</v>
      </c>
      <c r="AH120" s="2">
        <v>9.8000000000000007</v>
      </c>
      <c r="AI120" s="2">
        <v>1.1100000000000001</v>
      </c>
      <c r="AJ120" s="2">
        <v>13.1</v>
      </c>
      <c r="AK120" s="2">
        <v>4.4000000000000004</v>
      </c>
      <c r="AL120" s="2">
        <v>18.3</v>
      </c>
      <c r="AM120" s="2">
        <v>11.5</v>
      </c>
      <c r="AN120" s="2">
        <v>11.8</v>
      </c>
      <c r="AO120" s="2">
        <v>52.1</v>
      </c>
      <c r="AP120" s="2">
        <v>55.6</v>
      </c>
      <c r="AQ120" s="2">
        <v>19.8</v>
      </c>
      <c r="AR120" s="2">
        <v>101.66</v>
      </c>
      <c r="AS120" s="2">
        <v>9.6999999999999993</v>
      </c>
      <c r="AT120" s="2">
        <v>3889</v>
      </c>
      <c r="AU120" s="53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6"/>
    </row>
    <row r="121" spans="1:69" ht="13.2">
      <c r="A121" s="1" t="s">
        <v>266</v>
      </c>
      <c r="B121" s="1" t="s">
        <v>267</v>
      </c>
      <c r="C121" s="24" t="str">
        <f>VLOOKUP(B121,Equipe!$A$1:$B$31,2,FALSE)</f>
        <v>Brooklyn Nets</v>
      </c>
      <c r="D121" s="2">
        <v>23</v>
      </c>
      <c r="E121" s="2">
        <v>79</v>
      </c>
      <c r="F121" s="2">
        <v>25</v>
      </c>
      <c r="G121" s="2">
        <v>54</v>
      </c>
      <c r="H121" s="2">
        <v>24.4</v>
      </c>
      <c r="I121" s="3">
        <v>837</v>
      </c>
      <c r="J121" s="4">
        <v>300</v>
      </c>
      <c r="K121" s="4">
        <v>782</v>
      </c>
      <c r="L121" s="3">
        <v>38.9</v>
      </c>
      <c r="M121" s="4">
        <v>126</v>
      </c>
      <c r="N121" s="4">
        <v>403</v>
      </c>
      <c r="O121" s="3">
        <v>31.4</v>
      </c>
      <c r="P121" s="3">
        <v>111</v>
      </c>
      <c r="Q121" s="3">
        <v>142</v>
      </c>
      <c r="R121" s="3">
        <v>77</v>
      </c>
      <c r="S121" s="4">
        <v>63</v>
      </c>
      <c r="T121" s="4">
        <v>237</v>
      </c>
      <c r="U121" s="4">
        <v>300</v>
      </c>
      <c r="V121" s="4">
        <v>174</v>
      </c>
      <c r="W121" s="4">
        <v>119</v>
      </c>
      <c r="X121" s="4">
        <v>79</v>
      </c>
      <c r="Y121" s="4">
        <v>32</v>
      </c>
      <c r="Z121" s="4">
        <v>205</v>
      </c>
      <c r="AA121" s="3">
        <v>1675</v>
      </c>
      <c r="AB121" s="3">
        <v>0</v>
      </c>
      <c r="AC121" s="3">
        <v>0</v>
      </c>
      <c r="AD121" s="2">
        <v>-5.4</v>
      </c>
      <c r="AE121" s="2">
        <v>104.1</v>
      </c>
      <c r="AF121" s="2">
        <v>114.4</v>
      </c>
      <c r="AG121" s="2">
        <v>-10.3</v>
      </c>
      <c r="AH121" s="2">
        <v>14.8</v>
      </c>
      <c r="AI121" s="2">
        <v>1.51</v>
      </c>
      <c r="AJ121" s="2">
        <v>15.5</v>
      </c>
      <c r="AK121" s="2">
        <v>3.1</v>
      </c>
      <c r="AL121" s="2">
        <v>12.5</v>
      </c>
      <c r="AM121" s="2">
        <v>7.6</v>
      </c>
      <c r="AN121" s="2">
        <v>10.3</v>
      </c>
      <c r="AO121" s="2">
        <v>47</v>
      </c>
      <c r="AP121" s="2">
        <v>49.9</v>
      </c>
      <c r="AQ121" s="2">
        <v>21.2</v>
      </c>
      <c r="AR121" s="2">
        <v>98.77</v>
      </c>
      <c r="AS121" s="2">
        <v>7</v>
      </c>
      <c r="AT121" s="2">
        <v>3954</v>
      </c>
      <c r="AU121" s="53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6"/>
    </row>
    <row r="122" spans="1:69" ht="13.2">
      <c r="A122" s="1" t="s">
        <v>268</v>
      </c>
      <c r="B122" s="1" t="s">
        <v>269</v>
      </c>
      <c r="C122" s="24" t="str">
        <f>VLOOKUP(B122,Equipe!$A$1:$B$31,2,FALSE)</f>
        <v>Indiana Pacers</v>
      </c>
      <c r="D122" s="2">
        <v>27</v>
      </c>
      <c r="E122" s="2">
        <v>79</v>
      </c>
      <c r="F122" s="2">
        <v>48</v>
      </c>
      <c r="G122" s="2">
        <v>31</v>
      </c>
      <c r="H122" s="2">
        <v>19.600000000000001</v>
      </c>
      <c r="I122" s="3">
        <v>830</v>
      </c>
      <c r="J122" s="4">
        <v>316</v>
      </c>
      <c r="K122" s="4">
        <v>600</v>
      </c>
      <c r="L122" s="3">
        <v>52.9</v>
      </c>
      <c r="M122" s="4">
        <v>111</v>
      </c>
      <c r="N122" s="4">
        <v>300</v>
      </c>
      <c r="O122" s="3">
        <v>36.5</v>
      </c>
      <c r="P122" s="3">
        <v>87</v>
      </c>
      <c r="Q122" s="3">
        <v>111</v>
      </c>
      <c r="R122" s="3">
        <v>78.099999999999994</v>
      </c>
      <c r="S122" s="4">
        <v>55</v>
      </c>
      <c r="T122" s="4">
        <v>261</v>
      </c>
      <c r="U122" s="4">
        <v>316</v>
      </c>
      <c r="V122" s="4">
        <v>126</v>
      </c>
      <c r="W122" s="4">
        <v>71</v>
      </c>
      <c r="X122" s="4">
        <v>47</v>
      </c>
      <c r="Y122" s="4">
        <v>32</v>
      </c>
      <c r="Z122" s="4">
        <v>111</v>
      </c>
      <c r="AA122" s="3">
        <v>1564</v>
      </c>
      <c r="AB122" s="3">
        <v>2</v>
      </c>
      <c r="AC122" s="3">
        <v>0</v>
      </c>
      <c r="AD122" s="2">
        <v>-1</v>
      </c>
      <c r="AE122" s="2">
        <v>113.6</v>
      </c>
      <c r="AF122" s="2">
        <v>116.1</v>
      </c>
      <c r="AG122" s="2">
        <v>-2.6</v>
      </c>
      <c r="AH122" s="2">
        <v>11.6</v>
      </c>
      <c r="AI122" s="2">
        <v>1.88</v>
      </c>
      <c r="AJ122" s="2">
        <v>15.2</v>
      </c>
      <c r="AK122" s="2">
        <v>3.6</v>
      </c>
      <c r="AL122" s="2">
        <v>16.7</v>
      </c>
      <c r="AM122" s="2">
        <v>10.1</v>
      </c>
      <c r="AN122" s="2">
        <v>8.1</v>
      </c>
      <c r="AO122" s="2">
        <v>62.1</v>
      </c>
      <c r="AP122" s="2">
        <v>64.2</v>
      </c>
      <c r="AQ122" s="2">
        <v>19.100000000000001</v>
      </c>
      <c r="AR122" s="2">
        <v>103.97</v>
      </c>
      <c r="AS122" s="2">
        <v>11.5</v>
      </c>
      <c r="AT122" s="2">
        <v>3350</v>
      </c>
      <c r="AU122" s="53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6"/>
    </row>
    <row r="123" spans="1:69" ht="13.2">
      <c r="A123" s="1" t="s">
        <v>270</v>
      </c>
      <c r="B123" s="1" t="s">
        <v>271</v>
      </c>
      <c r="C123" s="24" t="str">
        <f>VLOOKUP(B123,Equipe!$A$1:$B$31,2,FALSE)</f>
        <v>Toronto Raptors</v>
      </c>
      <c r="D123" s="2">
        <v>29</v>
      </c>
      <c r="E123" s="2">
        <v>57</v>
      </c>
      <c r="F123" s="2">
        <v>21</v>
      </c>
      <c r="G123" s="2">
        <v>36</v>
      </c>
      <c r="H123" s="2">
        <v>29.6</v>
      </c>
      <c r="I123" s="3">
        <v>827</v>
      </c>
      <c r="J123" s="4">
        <v>365</v>
      </c>
      <c r="K123" s="4">
        <v>581</v>
      </c>
      <c r="L123" s="3">
        <v>62.7</v>
      </c>
      <c r="M123" s="3">
        <v>0</v>
      </c>
      <c r="N123" s="4">
        <v>6</v>
      </c>
      <c r="O123" s="3">
        <v>33.299999999999997</v>
      </c>
      <c r="P123" s="3">
        <v>97</v>
      </c>
      <c r="Q123" s="3">
        <v>143</v>
      </c>
      <c r="R123" s="3">
        <v>67.400000000000006</v>
      </c>
      <c r="S123" s="4">
        <v>188</v>
      </c>
      <c r="T123" s="4">
        <v>359</v>
      </c>
      <c r="U123" s="4">
        <v>547</v>
      </c>
      <c r="V123" s="4">
        <v>160</v>
      </c>
      <c r="W123" s="4">
        <v>108</v>
      </c>
      <c r="X123" s="4">
        <v>68</v>
      </c>
      <c r="Y123" s="4">
        <v>68</v>
      </c>
      <c r="Z123" s="4">
        <v>177</v>
      </c>
      <c r="AA123" s="3">
        <v>2018</v>
      </c>
      <c r="AB123" s="3">
        <v>23</v>
      </c>
      <c r="AC123" s="3">
        <v>0</v>
      </c>
      <c r="AD123" s="2">
        <v>-0.6</v>
      </c>
      <c r="AE123" s="2">
        <v>111.2</v>
      </c>
      <c r="AF123" s="2">
        <v>111.9</v>
      </c>
      <c r="AG123" s="2">
        <v>-0.7</v>
      </c>
      <c r="AH123" s="2">
        <v>13.6</v>
      </c>
      <c r="AI123" s="2">
        <v>1.42</v>
      </c>
      <c r="AJ123" s="2">
        <v>17.399999999999999</v>
      </c>
      <c r="AK123" s="2">
        <v>11</v>
      </c>
      <c r="AL123" s="2">
        <v>20.6</v>
      </c>
      <c r="AM123" s="2">
        <v>15.8</v>
      </c>
      <c r="AN123" s="2">
        <v>12.2</v>
      </c>
      <c r="AO123" s="2">
        <v>62.8</v>
      </c>
      <c r="AP123" s="2">
        <v>64.099999999999994</v>
      </c>
      <c r="AQ123" s="2">
        <v>18.399999999999999</v>
      </c>
      <c r="AR123" s="2">
        <v>101.44</v>
      </c>
      <c r="AS123" s="2">
        <v>13.3</v>
      </c>
      <c r="AT123" s="2">
        <v>3557</v>
      </c>
      <c r="AU123" s="53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6"/>
    </row>
    <row r="124" spans="1:69" ht="13.2">
      <c r="A124" s="1" t="s">
        <v>272</v>
      </c>
      <c r="B124" s="1" t="s">
        <v>273</v>
      </c>
      <c r="C124" s="24" t="str">
        <f>VLOOKUP(B124,Equipe!$A$1:$B$31,2,FALSE)</f>
        <v>Phoenix Suns</v>
      </c>
      <c r="D124" s="2">
        <v>29</v>
      </c>
      <c r="E124" s="2">
        <v>81</v>
      </c>
      <c r="F124" s="2">
        <v>36</v>
      </c>
      <c r="G124" s="2">
        <v>45</v>
      </c>
      <c r="H124" s="2">
        <v>26.8</v>
      </c>
      <c r="I124" s="3">
        <v>826</v>
      </c>
      <c r="J124" s="4">
        <v>308</v>
      </c>
      <c r="K124" s="4">
        <v>680</v>
      </c>
      <c r="L124" s="3">
        <v>44.8</v>
      </c>
      <c r="M124" s="4">
        <v>162</v>
      </c>
      <c r="N124" s="4">
        <v>405</v>
      </c>
      <c r="O124" s="3">
        <v>41.4</v>
      </c>
      <c r="P124" s="3">
        <v>49</v>
      </c>
      <c r="Q124" s="3">
        <v>57</v>
      </c>
      <c r="R124" s="3">
        <v>89.5</v>
      </c>
      <c r="S124" s="4">
        <v>41</v>
      </c>
      <c r="T124" s="4">
        <v>154</v>
      </c>
      <c r="U124" s="4">
        <v>194</v>
      </c>
      <c r="V124" s="4">
        <v>429</v>
      </c>
      <c r="W124" s="4">
        <v>89</v>
      </c>
      <c r="X124" s="4">
        <v>73</v>
      </c>
      <c r="Y124" s="4">
        <v>8</v>
      </c>
      <c r="Z124" s="4">
        <v>65</v>
      </c>
      <c r="AA124" s="3">
        <v>1847</v>
      </c>
      <c r="AB124" s="3">
        <v>6</v>
      </c>
      <c r="AC124" s="3">
        <v>0</v>
      </c>
      <c r="AD124" s="2">
        <v>-1.1000000000000001</v>
      </c>
      <c r="AE124" s="2">
        <v>113.6</v>
      </c>
      <c r="AF124" s="2">
        <v>116.1</v>
      </c>
      <c r="AG124" s="2">
        <v>-2.5</v>
      </c>
      <c r="AH124" s="2">
        <v>27.6</v>
      </c>
      <c r="AI124" s="2">
        <v>4.71</v>
      </c>
      <c r="AJ124" s="2">
        <v>34.9</v>
      </c>
      <c r="AK124" s="2">
        <v>1.9</v>
      </c>
      <c r="AL124" s="2">
        <v>6.9</v>
      </c>
      <c r="AM124" s="2">
        <v>4.5</v>
      </c>
      <c r="AN124" s="2">
        <v>7.4</v>
      </c>
      <c r="AO124" s="2">
        <v>57</v>
      </c>
      <c r="AP124" s="2">
        <v>58.5</v>
      </c>
      <c r="AQ124" s="2">
        <v>16</v>
      </c>
      <c r="AR124" s="2">
        <v>99.19</v>
      </c>
      <c r="AS124" s="2">
        <v>9.9</v>
      </c>
      <c r="AT124" s="2">
        <v>4500</v>
      </c>
      <c r="AU124" s="53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6"/>
    </row>
    <row r="125" spans="1:69" ht="13.2">
      <c r="A125" s="1" t="s">
        <v>274</v>
      </c>
      <c r="B125" s="1" t="s">
        <v>275</v>
      </c>
      <c r="C125" s="24" t="str">
        <f>VLOOKUP(B125,Equipe!$A$1:$B$31,2,FALSE)</f>
        <v>Memphis Grizzlies</v>
      </c>
      <c r="D125" s="2">
        <v>21</v>
      </c>
      <c r="E125" s="2">
        <v>79</v>
      </c>
      <c r="F125" s="2">
        <v>47</v>
      </c>
      <c r="G125" s="2">
        <v>32</v>
      </c>
      <c r="H125" s="2">
        <v>25.9</v>
      </c>
      <c r="I125" s="3">
        <v>822</v>
      </c>
      <c r="J125" s="4">
        <v>284</v>
      </c>
      <c r="K125" s="4">
        <v>679</v>
      </c>
      <c r="L125" s="3">
        <v>42.5</v>
      </c>
      <c r="M125" s="4">
        <v>134</v>
      </c>
      <c r="N125" s="4">
        <v>395</v>
      </c>
      <c r="O125" s="3">
        <v>35.200000000000003</v>
      </c>
      <c r="P125" s="3">
        <v>111</v>
      </c>
      <c r="Q125" s="3">
        <v>134</v>
      </c>
      <c r="R125" s="3">
        <v>82.2</v>
      </c>
      <c r="S125" s="4">
        <v>87</v>
      </c>
      <c r="T125" s="4">
        <v>182</v>
      </c>
      <c r="U125" s="4">
        <v>269</v>
      </c>
      <c r="V125" s="4">
        <v>134</v>
      </c>
      <c r="W125" s="4">
        <v>71</v>
      </c>
      <c r="X125" s="4">
        <v>47</v>
      </c>
      <c r="Y125" s="4">
        <v>8</v>
      </c>
      <c r="Z125" s="4">
        <v>142</v>
      </c>
      <c r="AA125" s="3">
        <v>1438</v>
      </c>
      <c r="AB125" s="3">
        <v>1</v>
      </c>
      <c r="AC125" s="3">
        <v>0</v>
      </c>
      <c r="AD125" s="2">
        <v>2.4</v>
      </c>
      <c r="AE125" s="2">
        <v>116.7</v>
      </c>
      <c r="AF125" s="2">
        <v>111.9</v>
      </c>
      <c r="AG125" s="2">
        <v>4.7</v>
      </c>
      <c r="AH125" s="2">
        <v>8.1999999999999993</v>
      </c>
      <c r="AI125" s="2">
        <v>1.96</v>
      </c>
      <c r="AJ125" s="2">
        <v>14.4</v>
      </c>
      <c r="AK125" s="2">
        <v>4</v>
      </c>
      <c r="AL125" s="2">
        <v>8.3000000000000007</v>
      </c>
      <c r="AM125" s="2">
        <v>6.1</v>
      </c>
      <c r="AN125" s="2">
        <v>7.4</v>
      </c>
      <c r="AO125" s="2">
        <v>52.7</v>
      </c>
      <c r="AP125" s="2">
        <v>56</v>
      </c>
      <c r="AQ125" s="2">
        <v>15.6</v>
      </c>
      <c r="AR125" s="2">
        <v>104.64</v>
      </c>
      <c r="AS125" s="2">
        <v>6.5</v>
      </c>
      <c r="AT125" s="2">
        <v>4444</v>
      </c>
      <c r="AU125" s="53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6"/>
    </row>
    <row r="126" spans="1:69" ht="13.2">
      <c r="A126" s="8" t="s">
        <v>276</v>
      </c>
      <c r="B126" s="1" t="s">
        <v>277</v>
      </c>
      <c r="C126" s="24" t="str">
        <f>VLOOKUP(B126,Equipe!$A$1:$B$31,2,FALSE)</f>
        <v>Milwaukee Bucks</v>
      </c>
      <c r="D126" s="2">
        <v>26</v>
      </c>
      <c r="E126" s="2">
        <v>74</v>
      </c>
      <c r="F126" s="2">
        <v>44</v>
      </c>
      <c r="G126" s="2">
        <v>30</v>
      </c>
      <c r="H126" s="2">
        <v>25.6</v>
      </c>
      <c r="I126" s="3">
        <v>821</v>
      </c>
      <c r="J126" s="4">
        <v>281</v>
      </c>
      <c r="K126" s="4">
        <v>659</v>
      </c>
      <c r="L126" s="3">
        <v>43.1</v>
      </c>
      <c r="M126" s="4">
        <v>178</v>
      </c>
      <c r="N126" s="4">
        <v>437</v>
      </c>
      <c r="O126" s="3">
        <v>41.6</v>
      </c>
      <c r="P126" s="3">
        <v>81</v>
      </c>
      <c r="Q126" s="3">
        <v>89</v>
      </c>
      <c r="R126" s="3">
        <v>84.8</v>
      </c>
      <c r="S126" s="4">
        <v>22</v>
      </c>
      <c r="T126" s="4">
        <v>148</v>
      </c>
      <c r="U126" s="4">
        <v>170</v>
      </c>
      <c r="V126" s="4">
        <v>89</v>
      </c>
      <c r="W126" s="4">
        <v>44</v>
      </c>
      <c r="X126" s="4">
        <v>74</v>
      </c>
      <c r="Y126" s="4">
        <v>7</v>
      </c>
      <c r="Z126" s="4">
        <v>126</v>
      </c>
      <c r="AA126" s="3">
        <v>1339</v>
      </c>
      <c r="AB126" s="3">
        <v>0</v>
      </c>
      <c r="AC126" s="3">
        <v>0</v>
      </c>
      <c r="AD126" s="2">
        <v>0.9</v>
      </c>
      <c r="AE126" s="2">
        <v>115.9</v>
      </c>
      <c r="AF126" s="2">
        <v>114</v>
      </c>
      <c r="AG126" s="2">
        <v>1.9</v>
      </c>
      <c r="AH126" s="2">
        <v>6.4</v>
      </c>
      <c r="AI126" s="2">
        <v>2.0699999999999998</v>
      </c>
      <c r="AJ126" s="2">
        <v>10.6</v>
      </c>
      <c r="AK126" s="2">
        <v>1.1000000000000001</v>
      </c>
      <c r="AL126" s="2">
        <v>7.4</v>
      </c>
      <c r="AM126" s="2">
        <v>4.4000000000000004</v>
      </c>
      <c r="AN126" s="2">
        <v>5.0999999999999996</v>
      </c>
      <c r="AO126" s="2">
        <v>56.8</v>
      </c>
      <c r="AP126" s="2">
        <v>59.1</v>
      </c>
      <c r="AQ126" s="2">
        <v>16.8</v>
      </c>
      <c r="AR126" s="2">
        <v>100.75</v>
      </c>
      <c r="AS126" s="2">
        <v>7</v>
      </c>
      <c r="AT126" s="2">
        <v>3972</v>
      </c>
      <c r="AU126" s="53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6"/>
    </row>
    <row r="127" spans="1:69" ht="13.2">
      <c r="A127" s="1" t="s">
        <v>278</v>
      </c>
      <c r="B127" s="1" t="s">
        <v>279</v>
      </c>
      <c r="C127" s="24" t="str">
        <f>VLOOKUP(B127,Equipe!$A$1:$B$31,2,FALSE)</f>
        <v>Boston Celtics</v>
      </c>
      <c r="D127" s="2">
        <v>29</v>
      </c>
      <c r="E127" s="2">
        <v>42</v>
      </c>
      <c r="F127" s="2">
        <v>30</v>
      </c>
      <c r="G127" s="2">
        <v>12</v>
      </c>
      <c r="H127" s="2">
        <v>28.8</v>
      </c>
      <c r="I127" s="3">
        <v>819</v>
      </c>
      <c r="J127" s="4">
        <v>277</v>
      </c>
      <c r="K127" s="4">
        <v>575</v>
      </c>
      <c r="L127" s="3">
        <v>48.3</v>
      </c>
      <c r="M127" s="4">
        <v>105</v>
      </c>
      <c r="N127" s="4">
        <v>252</v>
      </c>
      <c r="O127" s="3">
        <v>41.2</v>
      </c>
      <c r="P127" s="3">
        <v>160</v>
      </c>
      <c r="Q127" s="3">
        <v>197</v>
      </c>
      <c r="R127" s="3">
        <v>80.900000000000006</v>
      </c>
      <c r="S127" s="4">
        <v>67</v>
      </c>
      <c r="T127" s="4">
        <v>214</v>
      </c>
      <c r="U127" s="4">
        <v>286</v>
      </c>
      <c r="V127" s="4">
        <v>88</v>
      </c>
      <c r="W127" s="4">
        <v>55</v>
      </c>
      <c r="X127" s="4">
        <v>29</v>
      </c>
      <c r="Y127" s="4">
        <v>63</v>
      </c>
      <c r="Z127" s="4">
        <v>118</v>
      </c>
      <c r="AA127" s="3">
        <v>1520</v>
      </c>
      <c r="AB127" s="3">
        <v>6</v>
      </c>
      <c r="AC127" s="3">
        <v>0</v>
      </c>
      <c r="AD127" s="2">
        <v>4.0999999999999996</v>
      </c>
      <c r="AE127" s="2">
        <v>116.2</v>
      </c>
      <c r="AF127" s="2">
        <v>110.3</v>
      </c>
      <c r="AG127" s="2">
        <v>5.8</v>
      </c>
      <c r="AH127" s="2">
        <v>11.3</v>
      </c>
      <c r="AI127" s="2">
        <v>1.64</v>
      </c>
      <c r="AJ127" s="2">
        <v>10.8</v>
      </c>
      <c r="AK127" s="2">
        <v>5.4</v>
      </c>
      <c r="AL127" s="2">
        <v>16.3</v>
      </c>
      <c r="AM127" s="2">
        <v>11</v>
      </c>
      <c r="AN127" s="2">
        <v>6.6</v>
      </c>
      <c r="AO127" s="2">
        <v>57.2</v>
      </c>
      <c r="AP127" s="2">
        <v>61.8</v>
      </c>
      <c r="AQ127" s="2">
        <v>25.3</v>
      </c>
      <c r="AR127" s="2">
        <v>99.83</v>
      </c>
      <c r="AS127" s="2">
        <v>13.2</v>
      </c>
      <c r="AT127" s="2">
        <v>2528</v>
      </c>
      <c r="AU127" s="53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6"/>
    </row>
    <row r="128" spans="1:69" ht="13.2">
      <c r="A128" s="1" t="s">
        <v>280</v>
      </c>
      <c r="B128" s="1" t="s">
        <v>281</v>
      </c>
      <c r="C128" s="24" t="str">
        <f>VLOOKUP(B128,Equipe!$A$1:$B$31,2,FALSE)</f>
        <v>Miami Heat</v>
      </c>
      <c r="D128" s="2">
        <v>31</v>
      </c>
      <c r="E128" s="2">
        <v>74</v>
      </c>
      <c r="F128" s="2">
        <v>30</v>
      </c>
      <c r="G128" s="2">
        <v>44</v>
      </c>
      <c r="H128" s="2">
        <v>24.1</v>
      </c>
      <c r="I128" s="3">
        <v>814</v>
      </c>
      <c r="J128" s="4">
        <v>289</v>
      </c>
      <c r="K128" s="4">
        <v>666</v>
      </c>
      <c r="L128" s="3">
        <v>43.7</v>
      </c>
      <c r="M128" s="4">
        <v>192</v>
      </c>
      <c r="N128" s="4">
        <v>481</v>
      </c>
      <c r="O128" s="3">
        <v>39.299999999999997</v>
      </c>
      <c r="P128" s="3">
        <v>44</v>
      </c>
      <c r="Q128" s="3">
        <v>52</v>
      </c>
      <c r="R128" s="3">
        <v>88.7</v>
      </c>
      <c r="S128" s="4">
        <v>15</v>
      </c>
      <c r="T128" s="4">
        <v>148</v>
      </c>
      <c r="U128" s="4">
        <v>170</v>
      </c>
      <c r="V128" s="4">
        <v>178</v>
      </c>
      <c r="W128" s="4">
        <v>89</v>
      </c>
      <c r="X128" s="4">
        <v>37</v>
      </c>
      <c r="Y128" s="4">
        <v>7</v>
      </c>
      <c r="Z128" s="4">
        <v>133</v>
      </c>
      <c r="AA128" s="3">
        <v>1332</v>
      </c>
      <c r="AB128" s="3">
        <v>0</v>
      </c>
      <c r="AC128" s="3">
        <v>0</v>
      </c>
      <c r="AD128" s="2">
        <v>0.9</v>
      </c>
      <c r="AE128" s="2">
        <v>110.1</v>
      </c>
      <c r="AF128" s="2">
        <v>109.9</v>
      </c>
      <c r="AG128" s="2">
        <v>0.2</v>
      </c>
      <c r="AH128" s="2">
        <v>14.8</v>
      </c>
      <c r="AI128" s="2">
        <v>2.0499999999999998</v>
      </c>
      <c r="AJ128" s="2">
        <v>18.600000000000001</v>
      </c>
      <c r="AK128" s="2">
        <v>1</v>
      </c>
      <c r="AL128" s="2">
        <v>8.4</v>
      </c>
      <c r="AM128" s="2">
        <v>4.7</v>
      </c>
      <c r="AN128" s="2">
        <v>9.1</v>
      </c>
      <c r="AO128" s="2">
        <v>58.1</v>
      </c>
      <c r="AP128" s="2">
        <v>59.5</v>
      </c>
      <c r="AQ128" s="2">
        <v>18.7</v>
      </c>
      <c r="AR128" s="2">
        <v>97.68</v>
      </c>
      <c r="AS128" s="2">
        <v>7.8</v>
      </c>
      <c r="AT128" s="2">
        <v>3661</v>
      </c>
      <c r="AU128" s="53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6"/>
    </row>
    <row r="129" spans="1:69" ht="13.2">
      <c r="A129" s="1" t="s">
        <v>282</v>
      </c>
      <c r="B129" s="1" t="s">
        <v>283</v>
      </c>
      <c r="C129" s="24" t="str">
        <f>VLOOKUP(B129,Equipe!$A$1:$B$31,2,FALSE)</f>
        <v>Memphis Grizzlies</v>
      </c>
      <c r="D129" s="2">
        <v>24</v>
      </c>
      <c r="E129" s="2">
        <v>65</v>
      </c>
      <c r="F129" s="2">
        <v>38</v>
      </c>
      <c r="G129" s="2">
        <v>27</v>
      </c>
      <c r="H129" s="2">
        <v>25.5</v>
      </c>
      <c r="I129" s="3">
        <v>813</v>
      </c>
      <c r="J129" s="4">
        <v>312</v>
      </c>
      <c r="K129" s="4">
        <v>650</v>
      </c>
      <c r="L129" s="3">
        <v>48.3</v>
      </c>
      <c r="M129" s="4">
        <v>117</v>
      </c>
      <c r="N129" s="4">
        <v>325</v>
      </c>
      <c r="O129" s="3">
        <v>36.799999999999997</v>
      </c>
      <c r="P129" s="3">
        <v>65</v>
      </c>
      <c r="Q129" s="3">
        <v>91</v>
      </c>
      <c r="R129" s="3">
        <v>69.099999999999994</v>
      </c>
      <c r="S129" s="4">
        <v>91</v>
      </c>
      <c r="T129" s="4">
        <v>325</v>
      </c>
      <c r="U129" s="4">
        <v>416</v>
      </c>
      <c r="V129" s="4">
        <v>189</v>
      </c>
      <c r="W129" s="4">
        <v>72</v>
      </c>
      <c r="X129" s="4">
        <v>52</v>
      </c>
      <c r="Y129" s="4">
        <v>26</v>
      </c>
      <c r="Z129" s="4">
        <v>78</v>
      </c>
      <c r="AA129" s="3">
        <v>1762</v>
      </c>
      <c r="AB129" s="3">
        <v>10</v>
      </c>
      <c r="AC129" s="3">
        <v>0</v>
      </c>
      <c r="AD129" s="2">
        <v>2.2999999999999998</v>
      </c>
      <c r="AE129" s="2">
        <v>116.1</v>
      </c>
      <c r="AF129" s="2">
        <v>112.6</v>
      </c>
      <c r="AG129" s="2">
        <v>3.5</v>
      </c>
      <c r="AH129" s="2">
        <v>14.9</v>
      </c>
      <c r="AI129" s="2">
        <v>2.65</v>
      </c>
      <c r="AJ129" s="2">
        <v>19.899999999999999</v>
      </c>
      <c r="AK129" s="2">
        <v>5.2</v>
      </c>
      <c r="AL129" s="2">
        <v>18.100000000000001</v>
      </c>
      <c r="AM129" s="2">
        <v>11.6</v>
      </c>
      <c r="AN129" s="2">
        <v>7.5</v>
      </c>
      <c r="AO129" s="2">
        <v>57.6</v>
      </c>
      <c r="AP129" s="2">
        <v>58.8</v>
      </c>
      <c r="AQ129" s="2">
        <v>17.899999999999999</v>
      </c>
      <c r="AR129" s="2">
        <v>105.41</v>
      </c>
      <c r="AS129" s="2">
        <v>12.1</v>
      </c>
      <c r="AT129" s="2">
        <v>3654</v>
      </c>
      <c r="AU129" s="53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6"/>
    </row>
    <row r="130" spans="1:69" ht="13.2">
      <c r="A130" s="1" t="s">
        <v>284</v>
      </c>
      <c r="B130" s="1" t="s">
        <v>285</v>
      </c>
      <c r="C130" s="24" t="str">
        <f>VLOOKUP(B130,Equipe!$A$1:$B$31,2,FALSE)</f>
        <v>San Antonio Spurs</v>
      </c>
      <c r="D130" s="2">
        <v>23</v>
      </c>
      <c r="E130" s="2">
        <v>82</v>
      </c>
      <c r="F130" s="2">
        <v>34</v>
      </c>
      <c r="G130" s="2">
        <v>48</v>
      </c>
      <c r="H130" s="2">
        <v>23.6</v>
      </c>
      <c r="I130" s="3">
        <v>812</v>
      </c>
      <c r="J130" s="4">
        <v>279</v>
      </c>
      <c r="K130" s="4">
        <v>664</v>
      </c>
      <c r="L130" s="3">
        <v>41.5</v>
      </c>
      <c r="M130" s="4">
        <v>180</v>
      </c>
      <c r="N130" s="4">
        <v>484</v>
      </c>
      <c r="O130" s="3">
        <v>37.1</v>
      </c>
      <c r="P130" s="3">
        <v>82</v>
      </c>
      <c r="Q130" s="3">
        <v>90</v>
      </c>
      <c r="R130" s="3">
        <v>90.4</v>
      </c>
      <c r="S130" s="4">
        <v>66</v>
      </c>
      <c r="T130" s="4">
        <v>254</v>
      </c>
      <c r="U130" s="4">
        <v>320</v>
      </c>
      <c r="V130" s="4">
        <v>115</v>
      </c>
      <c r="W130" s="4">
        <v>74</v>
      </c>
      <c r="X130" s="4">
        <v>57</v>
      </c>
      <c r="Y130" s="4">
        <v>33</v>
      </c>
      <c r="Z130" s="4">
        <v>115</v>
      </c>
      <c r="AA130" s="3">
        <v>1574</v>
      </c>
      <c r="AB130" s="3">
        <v>0</v>
      </c>
      <c r="AC130" s="3">
        <v>0</v>
      </c>
      <c r="AD130" s="2">
        <v>-0.8</v>
      </c>
      <c r="AE130" s="2">
        <v>112.3</v>
      </c>
      <c r="AF130" s="2">
        <v>114.5</v>
      </c>
      <c r="AG130" s="2">
        <v>-2.1</v>
      </c>
      <c r="AH130" s="2">
        <v>7.8</v>
      </c>
      <c r="AI130" s="2">
        <v>1.5</v>
      </c>
      <c r="AJ130" s="2">
        <v>12.6</v>
      </c>
      <c r="AK130" s="2">
        <v>3.2</v>
      </c>
      <c r="AL130" s="2">
        <v>12.1</v>
      </c>
      <c r="AM130" s="2">
        <v>7.7</v>
      </c>
      <c r="AN130" s="2">
        <v>8.4</v>
      </c>
      <c r="AO130" s="2">
        <v>54.9</v>
      </c>
      <c r="AP130" s="2">
        <v>57.7</v>
      </c>
      <c r="AQ130" s="2">
        <v>16.399999999999999</v>
      </c>
      <c r="AR130" s="2">
        <v>102.25</v>
      </c>
      <c r="AS130" s="2">
        <v>7.9</v>
      </c>
      <c r="AT130" s="2">
        <v>4125</v>
      </c>
      <c r="AU130" s="53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6"/>
    </row>
    <row r="131" spans="1:69" ht="13.2">
      <c r="A131" s="1" t="s">
        <v>286</v>
      </c>
      <c r="B131" s="1" t="s">
        <v>287</v>
      </c>
      <c r="C131" s="24" t="str">
        <f>VLOOKUP(B131,Equipe!$A$1:$B$31,2,FALSE)</f>
        <v>Washington Wizards</v>
      </c>
      <c r="D131" s="2">
        <v>19</v>
      </c>
      <c r="E131" s="2">
        <v>82</v>
      </c>
      <c r="F131" s="2">
        <v>18</v>
      </c>
      <c r="G131" s="2">
        <v>64</v>
      </c>
      <c r="H131" s="2">
        <v>30</v>
      </c>
      <c r="I131" s="3">
        <v>804</v>
      </c>
      <c r="J131" s="4">
        <v>303</v>
      </c>
      <c r="K131" s="4">
        <v>746</v>
      </c>
      <c r="L131" s="3">
        <v>40.1</v>
      </c>
      <c r="M131" s="4">
        <v>139</v>
      </c>
      <c r="N131" s="4">
        <v>410</v>
      </c>
      <c r="O131" s="3">
        <v>33.9</v>
      </c>
      <c r="P131" s="3">
        <v>66</v>
      </c>
      <c r="Q131" s="3">
        <v>82</v>
      </c>
      <c r="R131" s="3">
        <v>81.2</v>
      </c>
      <c r="S131" s="4">
        <v>33</v>
      </c>
      <c r="T131" s="4">
        <v>312</v>
      </c>
      <c r="U131" s="4">
        <v>344</v>
      </c>
      <c r="V131" s="4">
        <v>361</v>
      </c>
      <c r="W131" s="4">
        <v>139</v>
      </c>
      <c r="X131" s="4">
        <v>57</v>
      </c>
      <c r="Y131" s="4">
        <v>25</v>
      </c>
      <c r="Z131" s="4">
        <v>189</v>
      </c>
      <c r="AA131" s="3">
        <v>1845</v>
      </c>
      <c r="AB131" s="3">
        <v>5</v>
      </c>
      <c r="AC131" s="3">
        <v>0</v>
      </c>
      <c r="AD131" s="2">
        <v>-9.6999999999999993</v>
      </c>
      <c r="AE131" s="2">
        <v>102.8</v>
      </c>
      <c r="AF131" s="2">
        <v>118</v>
      </c>
      <c r="AG131" s="2">
        <v>-15.2</v>
      </c>
      <c r="AH131" s="2">
        <v>21.3</v>
      </c>
      <c r="AI131" s="2">
        <v>2.58</v>
      </c>
      <c r="AJ131" s="2">
        <v>28.3</v>
      </c>
      <c r="AK131" s="2">
        <v>1.2</v>
      </c>
      <c r="AL131" s="2">
        <v>11.7</v>
      </c>
      <c r="AM131" s="2">
        <v>6.4</v>
      </c>
      <c r="AN131" s="2">
        <v>11</v>
      </c>
      <c r="AO131" s="2">
        <v>49.3</v>
      </c>
      <c r="AP131" s="2">
        <v>51.4</v>
      </c>
      <c r="AQ131" s="2">
        <v>15.4</v>
      </c>
      <c r="AR131" s="2">
        <v>103.06</v>
      </c>
      <c r="AS131" s="2">
        <v>7.1</v>
      </c>
      <c r="AT131" s="2">
        <v>5279</v>
      </c>
      <c r="AU131" s="53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6"/>
    </row>
    <row r="132" spans="1:69" ht="13.2">
      <c r="A132" s="1" t="s">
        <v>288</v>
      </c>
      <c r="B132" s="1" t="s">
        <v>289</v>
      </c>
      <c r="C132" s="24" t="str">
        <f>VLOOKUP(B132,Equipe!$A$1:$B$31,2,FALSE)</f>
        <v>Los Angeles Clippers</v>
      </c>
      <c r="D132" s="2">
        <v>33</v>
      </c>
      <c r="E132" s="2">
        <v>37</v>
      </c>
      <c r="F132" s="2">
        <v>26</v>
      </c>
      <c r="G132" s="2">
        <v>11</v>
      </c>
      <c r="H132" s="2">
        <v>31.9</v>
      </c>
      <c r="I132" s="3">
        <v>796</v>
      </c>
      <c r="J132" s="4">
        <v>311</v>
      </c>
      <c r="K132" s="4">
        <v>622</v>
      </c>
      <c r="L132" s="3">
        <v>49.8</v>
      </c>
      <c r="M132" s="4">
        <v>78</v>
      </c>
      <c r="N132" s="4">
        <v>189</v>
      </c>
      <c r="O132" s="3">
        <v>41.1</v>
      </c>
      <c r="P132" s="3">
        <v>96</v>
      </c>
      <c r="Q132" s="3">
        <v>122</v>
      </c>
      <c r="R132" s="3">
        <v>81</v>
      </c>
      <c r="S132" s="4">
        <v>33</v>
      </c>
      <c r="T132" s="4">
        <v>185</v>
      </c>
      <c r="U132" s="4">
        <v>218</v>
      </c>
      <c r="V132" s="4">
        <v>115</v>
      </c>
      <c r="W132" s="4">
        <v>70</v>
      </c>
      <c r="X132" s="4">
        <v>59</v>
      </c>
      <c r="Y132" s="4">
        <v>19</v>
      </c>
      <c r="Z132" s="4">
        <v>56</v>
      </c>
      <c r="AA132" s="3">
        <v>1388</v>
      </c>
      <c r="AB132" s="3">
        <v>5</v>
      </c>
      <c r="AC132" s="3">
        <v>0</v>
      </c>
      <c r="AD132" s="2">
        <v>8</v>
      </c>
      <c r="AE132" s="2">
        <v>120.3</v>
      </c>
      <c r="AF132" s="2">
        <v>107.9</v>
      </c>
      <c r="AG132" s="2">
        <v>12.4</v>
      </c>
      <c r="AH132" s="2">
        <v>14.7</v>
      </c>
      <c r="AI132" s="2">
        <v>1.61</v>
      </c>
      <c r="AJ132" s="2">
        <v>13.5</v>
      </c>
      <c r="AK132" s="2">
        <v>3.3</v>
      </c>
      <c r="AL132" s="2">
        <v>15.8</v>
      </c>
      <c r="AM132" s="2">
        <v>9.8000000000000007</v>
      </c>
      <c r="AN132" s="2">
        <v>8.4</v>
      </c>
      <c r="AO132" s="2">
        <v>56</v>
      </c>
      <c r="AP132" s="2">
        <v>58.9</v>
      </c>
      <c r="AQ132" s="2">
        <v>28</v>
      </c>
      <c r="AR132" s="2">
        <v>97.26</v>
      </c>
      <c r="AS132" s="2">
        <v>13.4</v>
      </c>
      <c r="AT132" s="2">
        <v>2391</v>
      </c>
      <c r="AU132" s="53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6"/>
    </row>
    <row r="133" spans="1:69" ht="13.2">
      <c r="A133" s="8" t="s">
        <v>292</v>
      </c>
      <c r="B133" s="1" t="s">
        <v>293</v>
      </c>
      <c r="C133" s="24" t="str">
        <f>VLOOKUP(B133,Equipe!$A$1:$B$31,2,FALSE)</f>
        <v>Memphis Grizzlies</v>
      </c>
      <c r="D133" s="2">
        <v>24</v>
      </c>
      <c r="E133" s="2">
        <v>79</v>
      </c>
      <c r="F133" s="2">
        <v>46</v>
      </c>
      <c r="G133" s="2">
        <v>33</v>
      </c>
      <c r="H133" s="2">
        <v>21.3</v>
      </c>
      <c r="I133" s="3">
        <v>782</v>
      </c>
      <c r="J133" s="4">
        <v>284</v>
      </c>
      <c r="K133" s="4">
        <v>593</v>
      </c>
      <c r="L133" s="3">
        <v>48</v>
      </c>
      <c r="M133" s="4">
        <v>87</v>
      </c>
      <c r="N133" s="4">
        <v>221</v>
      </c>
      <c r="O133" s="3">
        <v>39.700000000000003</v>
      </c>
      <c r="P133" s="3">
        <v>119</v>
      </c>
      <c r="Q133" s="3">
        <v>174</v>
      </c>
      <c r="R133" s="3">
        <v>71.3</v>
      </c>
      <c r="S133" s="4">
        <v>63</v>
      </c>
      <c r="T133" s="4">
        <v>198</v>
      </c>
      <c r="U133" s="4">
        <v>261</v>
      </c>
      <c r="V133" s="4">
        <v>348</v>
      </c>
      <c r="W133" s="4">
        <v>134</v>
      </c>
      <c r="X133" s="4">
        <v>103</v>
      </c>
      <c r="Y133" s="4">
        <v>32</v>
      </c>
      <c r="Z133" s="4">
        <v>205</v>
      </c>
      <c r="AA133" s="3">
        <v>1872</v>
      </c>
      <c r="AB133" s="3">
        <v>9</v>
      </c>
      <c r="AC133" s="3">
        <v>1</v>
      </c>
      <c r="AD133" s="2">
        <v>0.6</v>
      </c>
      <c r="AE133" s="2">
        <v>111</v>
      </c>
      <c r="AF133" s="2">
        <v>109.7</v>
      </c>
      <c r="AG133" s="2">
        <v>1.3</v>
      </c>
      <c r="AH133" s="2">
        <v>28.3</v>
      </c>
      <c r="AI133" s="2">
        <v>2.5099999999999998</v>
      </c>
      <c r="AJ133" s="2">
        <v>30.3</v>
      </c>
      <c r="AK133" s="2">
        <v>3.5</v>
      </c>
      <c r="AL133" s="2">
        <v>10.5</v>
      </c>
      <c r="AM133" s="2">
        <v>7</v>
      </c>
      <c r="AN133" s="2">
        <v>12</v>
      </c>
      <c r="AO133" s="2">
        <v>55.3</v>
      </c>
      <c r="AP133" s="2">
        <v>58.2</v>
      </c>
      <c r="AQ133" s="2">
        <v>18.8</v>
      </c>
      <c r="AR133" s="2">
        <v>105.6</v>
      </c>
      <c r="AS133" s="2">
        <v>10.6</v>
      </c>
      <c r="AT133" s="2">
        <v>3700</v>
      </c>
      <c r="AU133" s="53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6"/>
    </row>
    <row r="134" spans="1:69" ht="13.2">
      <c r="A134" s="1" t="s">
        <v>290</v>
      </c>
      <c r="B134" s="1" t="s">
        <v>291</v>
      </c>
      <c r="C134" s="24" t="str">
        <f>VLOOKUP(B134,Equipe!$A$1:$B$31,2,FALSE)</f>
        <v>Atlanta Hawks</v>
      </c>
      <c r="D134" s="2">
        <v>31</v>
      </c>
      <c r="E134" s="2">
        <v>79</v>
      </c>
      <c r="F134" s="2">
        <v>55</v>
      </c>
      <c r="G134" s="2">
        <v>24</v>
      </c>
      <c r="H134" s="2">
        <v>21.5</v>
      </c>
      <c r="I134" s="3">
        <v>782</v>
      </c>
      <c r="J134" s="4">
        <v>284</v>
      </c>
      <c r="K134" s="4">
        <v>616</v>
      </c>
      <c r="L134" s="3">
        <v>46.1</v>
      </c>
      <c r="M134" s="4">
        <v>166</v>
      </c>
      <c r="N134" s="4">
        <v>411</v>
      </c>
      <c r="O134" s="3">
        <v>40.6</v>
      </c>
      <c r="P134" s="3">
        <v>47</v>
      </c>
      <c r="Q134" s="3">
        <v>55</v>
      </c>
      <c r="R134" s="3">
        <v>79.3</v>
      </c>
      <c r="S134" s="4">
        <v>47</v>
      </c>
      <c r="T134" s="4">
        <v>221</v>
      </c>
      <c r="U134" s="4">
        <v>269</v>
      </c>
      <c r="V134" s="4">
        <v>111</v>
      </c>
      <c r="W134" s="4">
        <v>79</v>
      </c>
      <c r="X134" s="4">
        <v>32</v>
      </c>
      <c r="Y134" s="4">
        <v>16</v>
      </c>
      <c r="Z134" s="4">
        <v>198</v>
      </c>
      <c r="AA134" s="3">
        <v>1319</v>
      </c>
      <c r="AB134" s="3">
        <v>1</v>
      </c>
      <c r="AC134" s="3">
        <v>0</v>
      </c>
      <c r="AD134" s="2">
        <v>2.5</v>
      </c>
      <c r="AE134" s="2">
        <v>118.7</v>
      </c>
      <c r="AF134" s="2">
        <v>114.1</v>
      </c>
      <c r="AG134" s="2">
        <v>4.7</v>
      </c>
      <c r="AH134" s="2">
        <v>8.6999999999999993</v>
      </c>
      <c r="AI134" s="2">
        <v>1.35</v>
      </c>
      <c r="AJ134" s="2">
        <v>13.2</v>
      </c>
      <c r="AK134" s="2">
        <v>2.7</v>
      </c>
      <c r="AL134" s="2">
        <v>12.6</v>
      </c>
      <c r="AM134" s="2">
        <v>7.7</v>
      </c>
      <c r="AN134" s="2">
        <v>9.8000000000000007</v>
      </c>
      <c r="AO134" s="2">
        <v>59.5</v>
      </c>
      <c r="AP134" s="2">
        <v>60.7</v>
      </c>
      <c r="AQ134" s="2">
        <v>17.7</v>
      </c>
      <c r="AR134" s="2">
        <v>102.45</v>
      </c>
      <c r="AS134" s="2">
        <v>7.1</v>
      </c>
      <c r="AT134" s="2">
        <v>3633</v>
      </c>
      <c r="AU134" s="53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6"/>
    </row>
    <row r="135" spans="1:69" ht="13.2">
      <c r="A135" s="1" t="s">
        <v>296</v>
      </c>
      <c r="B135" s="1" t="s">
        <v>297</v>
      </c>
      <c r="C135" s="24" t="str">
        <f>VLOOKUP(B135,Equipe!$A$1:$B$31,2,FALSE)</f>
        <v>Toronto Raptors</v>
      </c>
      <c r="D135" s="2">
        <v>21</v>
      </c>
      <c r="E135" s="2">
        <v>54</v>
      </c>
      <c r="F135" s="2">
        <v>15</v>
      </c>
      <c r="G135" s="2">
        <v>39</v>
      </c>
      <c r="H135" s="2">
        <v>29.4</v>
      </c>
      <c r="I135" s="3">
        <v>778</v>
      </c>
      <c r="J135" s="4">
        <v>265</v>
      </c>
      <c r="K135" s="4">
        <v>648</v>
      </c>
      <c r="L135" s="3">
        <v>41</v>
      </c>
      <c r="M135" s="4">
        <v>113</v>
      </c>
      <c r="N135" s="4">
        <v>324</v>
      </c>
      <c r="O135" s="3">
        <v>35</v>
      </c>
      <c r="P135" s="3">
        <v>135</v>
      </c>
      <c r="Q135" s="3">
        <v>157</v>
      </c>
      <c r="R135" s="3">
        <v>85.8</v>
      </c>
      <c r="S135" s="4">
        <v>43</v>
      </c>
      <c r="T135" s="4">
        <v>151</v>
      </c>
      <c r="U135" s="4">
        <v>194</v>
      </c>
      <c r="V135" s="4">
        <v>97</v>
      </c>
      <c r="W135" s="4">
        <v>81</v>
      </c>
      <c r="X135" s="4">
        <v>49</v>
      </c>
      <c r="Y135" s="4">
        <v>11</v>
      </c>
      <c r="Z135" s="4">
        <v>119</v>
      </c>
      <c r="AA135" s="3">
        <v>1247</v>
      </c>
      <c r="AB135" s="3">
        <v>0</v>
      </c>
      <c r="AC135" s="3">
        <v>0</v>
      </c>
      <c r="AD135" s="2">
        <v>-3.9</v>
      </c>
      <c r="AE135" s="2">
        <v>110.3</v>
      </c>
      <c r="AF135" s="2">
        <v>116.1</v>
      </c>
      <c r="AG135" s="2">
        <v>-5.8</v>
      </c>
      <c r="AH135" s="2">
        <v>8.6999999999999993</v>
      </c>
      <c r="AI135" s="2">
        <v>1.18</v>
      </c>
      <c r="AJ135" s="2">
        <v>10.9</v>
      </c>
      <c r="AK135" s="2">
        <v>2.7</v>
      </c>
      <c r="AL135" s="2">
        <v>9.1999999999999993</v>
      </c>
      <c r="AM135" s="2">
        <v>5.9</v>
      </c>
      <c r="AN135" s="2">
        <v>9.3000000000000007</v>
      </c>
      <c r="AO135" s="2">
        <v>49.8</v>
      </c>
      <c r="AP135" s="2">
        <v>54.3</v>
      </c>
      <c r="AQ135" s="2">
        <v>20.9</v>
      </c>
      <c r="AR135" s="2">
        <v>101.36</v>
      </c>
      <c r="AS135" s="2">
        <v>7.1</v>
      </c>
      <c r="AT135" s="2">
        <v>3345</v>
      </c>
      <c r="AU135" s="53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6"/>
    </row>
    <row r="136" spans="1:69" ht="13.2">
      <c r="A136" s="8" t="s">
        <v>294</v>
      </c>
      <c r="B136" s="1" t="s">
        <v>295</v>
      </c>
      <c r="C136" s="24" t="str">
        <f>VLOOKUP(B136,Equipe!$A$1:$B$31,2,FALSE)</f>
        <v>Los Angeles Clippers</v>
      </c>
      <c r="D136" s="2">
        <v>28</v>
      </c>
      <c r="E136" s="2">
        <v>77</v>
      </c>
      <c r="F136" s="2">
        <v>48</v>
      </c>
      <c r="G136" s="2">
        <v>29</v>
      </c>
      <c r="H136" s="2">
        <v>24.3</v>
      </c>
      <c r="I136" s="3">
        <v>778</v>
      </c>
      <c r="J136" s="4">
        <v>308</v>
      </c>
      <c r="K136" s="4">
        <v>585</v>
      </c>
      <c r="L136" s="3">
        <v>52.6</v>
      </c>
      <c r="M136" s="4">
        <v>77</v>
      </c>
      <c r="N136" s="4">
        <v>216</v>
      </c>
      <c r="O136" s="3">
        <v>35.6</v>
      </c>
      <c r="P136" s="3">
        <v>85</v>
      </c>
      <c r="Q136" s="3">
        <v>116</v>
      </c>
      <c r="R136" s="3">
        <v>70.3</v>
      </c>
      <c r="S136" s="4">
        <v>92</v>
      </c>
      <c r="T136" s="4">
        <v>169</v>
      </c>
      <c r="U136" s="4">
        <v>262</v>
      </c>
      <c r="V136" s="4">
        <v>62</v>
      </c>
      <c r="W136" s="4">
        <v>69</v>
      </c>
      <c r="X136" s="4">
        <v>77</v>
      </c>
      <c r="Y136" s="4">
        <v>31</v>
      </c>
      <c r="Z136" s="4">
        <v>154</v>
      </c>
      <c r="AA136" s="3">
        <v>1455</v>
      </c>
      <c r="AB136" s="3">
        <v>0</v>
      </c>
      <c r="AC136" s="3">
        <v>0</v>
      </c>
      <c r="AD136" s="2">
        <v>3.2</v>
      </c>
      <c r="AE136" s="2">
        <v>115.5</v>
      </c>
      <c r="AF136" s="2">
        <v>108.7</v>
      </c>
      <c r="AG136" s="2">
        <v>6.7</v>
      </c>
      <c r="AH136" s="2">
        <v>4.4000000000000004</v>
      </c>
      <c r="AI136" s="2">
        <v>0.91</v>
      </c>
      <c r="AJ136" s="2">
        <v>7.8</v>
      </c>
      <c r="AK136" s="2">
        <v>5.0999999999999996</v>
      </c>
      <c r="AL136" s="2">
        <v>9.1999999999999993</v>
      </c>
      <c r="AM136" s="2">
        <v>7.2</v>
      </c>
      <c r="AN136" s="2">
        <v>8.6</v>
      </c>
      <c r="AO136" s="2">
        <v>59.3</v>
      </c>
      <c r="AP136" s="2">
        <v>60.9</v>
      </c>
      <c r="AQ136" s="2">
        <v>16</v>
      </c>
      <c r="AR136" s="2">
        <v>99.72</v>
      </c>
      <c r="AS136" s="2">
        <v>7.6</v>
      </c>
      <c r="AT136" s="2">
        <v>3886</v>
      </c>
      <c r="AU136" s="53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6"/>
    </row>
    <row r="137" spans="1:69" ht="13.2">
      <c r="A137" s="1" t="s">
        <v>298</v>
      </c>
      <c r="B137" s="1" t="s">
        <v>299</v>
      </c>
      <c r="C137" s="24" t="str">
        <f>VLOOKUP(B137,Equipe!$A$1:$B$31,2,FALSE)</f>
        <v>Atlanta Hawks</v>
      </c>
      <c r="D137" s="2">
        <v>30</v>
      </c>
      <c r="E137" s="2">
        <v>64</v>
      </c>
      <c r="F137" s="2">
        <v>46</v>
      </c>
      <c r="G137" s="2">
        <v>18</v>
      </c>
      <c r="H137" s="2">
        <v>24.9</v>
      </c>
      <c r="I137" s="3">
        <v>774</v>
      </c>
      <c r="J137" s="4">
        <v>282</v>
      </c>
      <c r="K137" s="4">
        <v>602</v>
      </c>
      <c r="L137" s="3">
        <v>46.7</v>
      </c>
      <c r="M137" s="4">
        <v>109</v>
      </c>
      <c r="N137" s="4">
        <v>282</v>
      </c>
      <c r="O137" s="3">
        <v>37.299999999999997</v>
      </c>
      <c r="P137" s="3">
        <v>109</v>
      </c>
      <c r="Q137" s="3">
        <v>154</v>
      </c>
      <c r="R137" s="3">
        <v>71</v>
      </c>
      <c r="S137" s="4">
        <v>38</v>
      </c>
      <c r="T137" s="4">
        <v>160</v>
      </c>
      <c r="U137" s="4">
        <v>205</v>
      </c>
      <c r="V137" s="4">
        <v>218</v>
      </c>
      <c r="W137" s="4">
        <v>77</v>
      </c>
      <c r="X137" s="4">
        <v>58</v>
      </c>
      <c r="Y137" s="4">
        <v>32</v>
      </c>
      <c r="Z137" s="4">
        <v>96</v>
      </c>
      <c r="AA137" s="3">
        <v>1536</v>
      </c>
      <c r="AB137" s="3">
        <v>1</v>
      </c>
      <c r="AC137" s="3">
        <v>0</v>
      </c>
      <c r="AD137" s="2">
        <v>4</v>
      </c>
      <c r="AE137" s="2">
        <v>120.5</v>
      </c>
      <c r="AF137" s="2">
        <v>113.4</v>
      </c>
      <c r="AG137" s="2">
        <v>7.2</v>
      </c>
      <c r="AH137" s="2">
        <v>17.8</v>
      </c>
      <c r="AI137" s="2">
        <v>2.83</v>
      </c>
      <c r="AJ137" s="2">
        <v>22.5</v>
      </c>
      <c r="AK137" s="2">
        <v>2.6</v>
      </c>
      <c r="AL137" s="2">
        <v>9.6</v>
      </c>
      <c r="AM137" s="2">
        <v>6.2</v>
      </c>
      <c r="AN137" s="2">
        <v>7.9</v>
      </c>
      <c r="AO137" s="2">
        <v>55.6</v>
      </c>
      <c r="AP137" s="2">
        <v>58.2</v>
      </c>
      <c r="AQ137" s="2">
        <v>19.100000000000001</v>
      </c>
      <c r="AR137" s="2">
        <v>103.21</v>
      </c>
      <c r="AS137" s="2">
        <v>9.4</v>
      </c>
      <c r="AT137" s="2">
        <v>3437</v>
      </c>
      <c r="AU137" s="53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6"/>
    </row>
    <row r="138" spans="1:69" ht="13.2">
      <c r="A138" s="1" t="s">
        <v>300</v>
      </c>
      <c r="B138" s="1" t="s">
        <v>301</v>
      </c>
      <c r="C138" s="24" t="str">
        <f>VLOOKUP(B138,Equipe!$A$1:$B$31,2,FALSE)</f>
        <v>Utah Jazz</v>
      </c>
      <c r="D138" s="2">
        <v>21</v>
      </c>
      <c r="E138" s="2">
        <v>71</v>
      </c>
      <c r="F138" s="2">
        <v>14</v>
      </c>
      <c r="G138" s="2">
        <v>57</v>
      </c>
      <c r="H138" s="2">
        <v>20.2</v>
      </c>
      <c r="I138" s="3">
        <v>774</v>
      </c>
      <c r="J138" s="4">
        <v>277</v>
      </c>
      <c r="K138" s="4">
        <v>596</v>
      </c>
      <c r="L138" s="3">
        <v>45.9</v>
      </c>
      <c r="M138" s="4">
        <v>156</v>
      </c>
      <c r="N138" s="4">
        <v>369</v>
      </c>
      <c r="O138" s="3">
        <v>42.2</v>
      </c>
      <c r="P138" s="3">
        <v>64</v>
      </c>
      <c r="Q138" s="3">
        <v>71</v>
      </c>
      <c r="R138" s="3">
        <v>89</v>
      </c>
      <c r="S138" s="4">
        <v>43</v>
      </c>
      <c r="T138" s="4">
        <v>170</v>
      </c>
      <c r="U138" s="4">
        <v>213</v>
      </c>
      <c r="V138" s="4">
        <v>107</v>
      </c>
      <c r="W138" s="4">
        <v>107</v>
      </c>
      <c r="X138" s="4">
        <v>43</v>
      </c>
      <c r="Y138" s="4">
        <v>7</v>
      </c>
      <c r="Z138" s="4">
        <v>114</v>
      </c>
      <c r="AA138" s="3">
        <v>1243</v>
      </c>
      <c r="AB138" s="3">
        <v>0</v>
      </c>
      <c r="AC138" s="3">
        <v>0</v>
      </c>
      <c r="AD138" s="2">
        <v>-4</v>
      </c>
      <c r="AE138" s="2">
        <v>109.9</v>
      </c>
      <c r="AF138" s="2">
        <v>119.5</v>
      </c>
      <c r="AG138" s="2">
        <v>-9.6</v>
      </c>
      <c r="AH138" s="2">
        <v>11.7</v>
      </c>
      <c r="AI138" s="2">
        <v>1.03</v>
      </c>
      <c r="AJ138" s="2">
        <v>13</v>
      </c>
      <c r="AK138" s="2">
        <v>2.8</v>
      </c>
      <c r="AL138" s="2">
        <v>11</v>
      </c>
      <c r="AM138" s="2">
        <v>6.9</v>
      </c>
      <c r="AN138" s="2">
        <v>12.7</v>
      </c>
      <c r="AO138" s="2">
        <v>59</v>
      </c>
      <c r="AP138" s="2">
        <v>61.2</v>
      </c>
      <c r="AQ138" s="2">
        <v>20.8</v>
      </c>
      <c r="AR138" s="2">
        <v>103.21</v>
      </c>
      <c r="AS138" s="2">
        <v>8.6999999999999993</v>
      </c>
      <c r="AT138" s="2">
        <v>3084</v>
      </c>
      <c r="AU138" s="53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6"/>
    </row>
    <row r="139" spans="1:69" ht="13.2">
      <c r="A139" s="8" t="s">
        <v>304</v>
      </c>
      <c r="B139" s="1" t="s">
        <v>305</v>
      </c>
      <c r="C139" s="24" t="str">
        <f>VLOOKUP(B139,Equipe!$A$1:$B$31,2,FALSE)</f>
        <v>Milwaukee Bucks</v>
      </c>
      <c r="D139" s="2">
        <v>25</v>
      </c>
      <c r="E139" s="2">
        <v>75</v>
      </c>
      <c r="F139" s="2">
        <v>43</v>
      </c>
      <c r="G139" s="2">
        <v>32</v>
      </c>
      <c r="H139" s="2">
        <v>19.8</v>
      </c>
      <c r="I139" s="3">
        <v>773</v>
      </c>
      <c r="J139" s="4">
        <v>293</v>
      </c>
      <c r="K139" s="4">
        <v>653</v>
      </c>
      <c r="L139" s="3">
        <v>44.9</v>
      </c>
      <c r="M139" s="4">
        <v>53</v>
      </c>
      <c r="N139" s="4">
        <v>180</v>
      </c>
      <c r="O139" s="3">
        <v>31.1</v>
      </c>
      <c r="P139" s="3">
        <v>128</v>
      </c>
      <c r="Q139" s="3">
        <v>173</v>
      </c>
      <c r="R139" s="3">
        <v>76.900000000000006</v>
      </c>
      <c r="S139" s="4">
        <v>45</v>
      </c>
      <c r="T139" s="4">
        <v>233</v>
      </c>
      <c r="U139" s="4">
        <v>278</v>
      </c>
      <c r="V139" s="4">
        <v>255</v>
      </c>
      <c r="W139" s="4">
        <v>135</v>
      </c>
      <c r="X139" s="4">
        <v>83</v>
      </c>
      <c r="Y139" s="4">
        <v>15</v>
      </c>
      <c r="Z139" s="4">
        <v>120</v>
      </c>
      <c r="AA139" s="3">
        <v>1635</v>
      </c>
      <c r="AB139" s="3">
        <v>2</v>
      </c>
      <c r="AC139" s="3">
        <v>1</v>
      </c>
      <c r="AD139" s="2">
        <v>0.4</v>
      </c>
      <c r="AE139" s="2">
        <v>109.1</v>
      </c>
      <c r="AF139" s="2">
        <v>108</v>
      </c>
      <c r="AG139" s="2">
        <v>1.1000000000000001</v>
      </c>
      <c r="AH139" s="2">
        <v>27.6</v>
      </c>
      <c r="AI139" s="2">
        <v>1.88</v>
      </c>
      <c r="AJ139" s="2">
        <v>22.9</v>
      </c>
      <c r="AK139" s="2">
        <v>2.9</v>
      </c>
      <c r="AL139" s="2">
        <v>14.8</v>
      </c>
      <c r="AM139" s="2">
        <v>9.1999999999999993</v>
      </c>
      <c r="AN139" s="2">
        <v>12.2</v>
      </c>
      <c r="AO139" s="2">
        <v>49.2</v>
      </c>
      <c r="AP139" s="2">
        <v>53.1</v>
      </c>
      <c r="AQ139" s="2">
        <v>24.8</v>
      </c>
      <c r="AR139" s="2">
        <v>100.63</v>
      </c>
      <c r="AS139" s="2">
        <v>11.9</v>
      </c>
      <c r="AT139" s="2">
        <v>3104</v>
      </c>
      <c r="AU139" s="53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6"/>
    </row>
    <row r="140" spans="1:69" ht="13.2">
      <c r="A140" s="1" t="s">
        <v>302</v>
      </c>
      <c r="B140" s="1" t="s">
        <v>303</v>
      </c>
      <c r="C140" s="24" t="str">
        <f>VLOOKUP(B140,Equipe!$A$1:$B$31,2,FALSE)</f>
        <v>Los Angeles Lakers</v>
      </c>
      <c r="D140" s="2">
        <v>27</v>
      </c>
      <c r="E140" s="2">
        <v>59</v>
      </c>
      <c r="F140" s="2">
        <v>37</v>
      </c>
      <c r="G140" s="2">
        <v>22</v>
      </c>
      <c r="H140" s="2">
        <v>31.7</v>
      </c>
      <c r="I140" s="3">
        <v>773</v>
      </c>
      <c r="J140" s="4">
        <v>295</v>
      </c>
      <c r="K140" s="4">
        <v>578</v>
      </c>
      <c r="L140" s="3">
        <v>50.9</v>
      </c>
      <c r="M140" s="4">
        <v>100</v>
      </c>
      <c r="N140" s="4">
        <v>248</v>
      </c>
      <c r="O140" s="3">
        <v>41.3</v>
      </c>
      <c r="P140" s="3">
        <v>89</v>
      </c>
      <c r="Q140" s="3">
        <v>112</v>
      </c>
      <c r="R140" s="3">
        <v>77</v>
      </c>
      <c r="S140" s="4">
        <v>77</v>
      </c>
      <c r="T140" s="4">
        <v>218</v>
      </c>
      <c r="U140" s="4">
        <v>295</v>
      </c>
      <c r="V140" s="4">
        <v>83</v>
      </c>
      <c r="W140" s="4">
        <v>47</v>
      </c>
      <c r="X140" s="4">
        <v>47</v>
      </c>
      <c r="Y140" s="4">
        <v>24</v>
      </c>
      <c r="Z140" s="4">
        <v>106</v>
      </c>
      <c r="AA140" s="3">
        <v>1416</v>
      </c>
      <c r="AB140" s="3">
        <v>1</v>
      </c>
      <c r="AC140" s="3">
        <v>0</v>
      </c>
      <c r="AD140" s="2">
        <v>2.7</v>
      </c>
      <c r="AE140" s="2">
        <v>114.8</v>
      </c>
      <c r="AF140" s="2">
        <v>110.9</v>
      </c>
      <c r="AG140" s="2">
        <v>3.9</v>
      </c>
      <c r="AH140" s="2">
        <v>6.3</v>
      </c>
      <c r="AI140" s="2">
        <v>1.69</v>
      </c>
      <c r="AJ140" s="2">
        <v>10.9</v>
      </c>
      <c r="AK140" s="2">
        <v>4.4000000000000004</v>
      </c>
      <c r="AL140" s="2">
        <v>11.1</v>
      </c>
      <c r="AM140" s="2">
        <v>7.9</v>
      </c>
      <c r="AN140" s="2">
        <v>6.5</v>
      </c>
      <c r="AO140" s="2">
        <v>59.7</v>
      </c>
      <c r="AP140" s="2">
        <v>61.9</v>
      </c>
      <c r="AQ140" s="2">
        <v>15.6</v>
      </c>
      <c r="AR140" s="2">
        <v>99.44</v>
      </c>
      <c r="AS140" s="2">
        <v>8.6</v>
      </c>
      <c r="AT140" s="2">
        <v>3875</v>
      </c>
      <c r="AU140" s="53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6"/>
    </row>
    <row r="141" spans="1:69" ht="13.2">
      <c r="A141" s="1" t="s">
        <v>306</v>
      </c>
      <c r="B141" s="1" t="s">
        <v>307</v>
      </c>
      <c r="C141" s="24" t="str">
        <f>VLOOKUP(B141,Equipe!$A$1:$B$31,2,FALSE)</f>
        <v>Minnesota Timberwolves</v>
      </c>
      <c r="D141" s="2">
        <v>26</v>
      </c>
      <c r="E141" s="2">
        <v>82</v>
      </c>
      <c r="F141" s="2">
        <v>49</v>
      </c>
      <c r="G141" s="2">
        <v>33</v>
      </c>
      <c r="H141" s="2">
        <v>25.3</v>
      </c>
      <c r="I141" s="3">
        <v>771</v>
      </c>
      <c r="J141" s="4">
        <v>271</v>
      </c>
      <c r="K141" s="4">
        <v>615</v>
      </c>
      <c r="L141" s="3">
        <v>43.8</v>
      </c>
      <c r="M141" s="4">
        <v>139</v>
      </c>
      <c r="N141" s="4">
        <v>369</v>
      </c>
      <c r="O141" s="3">
        <v>38.1</v>
      </c>
      <c r="P141" s="3">
        <v>90</v>
      </c>
      <c r="Q141" s="3">
        <v>115</v>
      </c>
      <c r="R141" s="3">
        <v>78</v>
      </c>
      <c r="S141" s="4">
        <v>57</v>
      </c>
      <c r="T141" s="4">
        <v>213</v>
      </c>
      <c r="U141" s="4">
        <v>262</v>
      </c>
      <c r="V141" s="4">
        <v>221</v>
      </c>
      <c r="W141" s="4">
        <v>98</v>
      </c>
      <c r="X141" s="4">
        <v>49</v>
      </c>
      <c r="Y141" s="4">
        <v>33</v>
      </c>
      <c r="Z141" s="4">
        <v>139</v>
      </c>
      <c r="AA141" s="3">
        <v>1583</v>
      </c>
      <c r="AB141" s="3">
        <v>1</v>
      </c>
      <c r="AC141" s="3">
        <v>0</v>
      </c>
      <c r="AD141" s="2">
        <v>3.3</v>
      </c>
      <c r="AE141" s="2">
        <v>115.1</v>
      </c>
      <c r="AF141" s="2">
        <v>108.5</v>
      </c>
      <c r="AG141" s="2">
        <v>6.6</v>
      </c>
      <c r="AH141" s="2">
        <v>14.9</v>
      </c>
      <c r="AI141" s="2">
        <v>2.25</v>
      </c>
      <c r="AJ141" s="2">
        <v>22.7</v>
      </c>
      <c r="AK141" s="2">
        <v>2.6</v>
      </c>
      <c r="AL141" s="2">
        <v>9.8000000000000007</v>
      </c>
      <c r="AM141" s="2">
        <v>6.2</v>
      </c>
      <c r="AN141" s="2">
        <v>10.1</v>
      </c>
      <c r="AO141" s="2">
        <v>55.3</v>
      </c>
      <c r="AP141" s="2">
        <v>57.9</v>
      </c>
      <c r="AQ141" s="2">
        <v>15.5</v>
      </c>
      <c r="AR141" s="2">
        <v>99.57</v>
      </c>
      <c r="AS141" s="2">
        <v>8.1</v>
      </c>
      <c r="AT141" s="2">
        <v>4294</v>
      </c>
      <c r="AU141" s="53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6"/>
    </row>
    <row r="142" spans="1:69" ht="13.2">
      <c r="A142" s="1" t="s">
        <v>308</v>
      </c>
      <c r="B142" s="1" t="s">
        <v>309</v>
      </c>
      <c r="C142" s="24" t="str">
        <f>VLOOKUP(B142,Equipe!$A$1:$B$31,2,FALSE)</f>
        <v>Philadelphia 76ers</v>
      </c>
      <c r="D142" s="2">
        <v>29</v>
      </c>
      <c r="E142" s="2">
        <v>70</v>
      </c>
      <c r="F142" s="2">
        <v>23</v>
      </c>
      <c r="G142" s="2">
        <v>47</v>
      </c>
      <c r="H142" s="2">
        <v>27.1</v>
      </c>
      <c r="I142" s="3">
        <v>770</v>
      </c>
      <c r="J142" s="4">
        <v>280</v>
      </c>
      <c r="K142" s="4">
        <v>560</v>
      </c>
      <c r="L142" s="3">
        <v>50.1</v>
      </c>
      <c r="M142" s="4">
        <v>105</v>
      </c>
      <c r="N142" s="4">
        <v>273</v>
      </c>
      <c r="O142" s="3">
        <v>38</v>
      </c>
      <c r="P142" s="3">
        <v>98</v>
      </c>
      <c r="Q142" s="3">
        <v>140</v>
      </c>
      <c r="R142" s="3">
        <v>72.5</v>
      </c>
      <c r="S142" s="4">
        <v>133</v>
      </c>
      <c r="T142" s="4">
        <v>259</v>
      </c>
      <c r="U142" s="4">
        <v>392</v>
      </c>
      <c r="V142" s="4">
        <v>147</v>
      </c>
      <c r="W142" s="4">
        <v>84</v>
      </c>
      <c r="X142" s="4">
        <v>56</v>
      </c>
      <c r="Y142" s="4">
        <v>21</v>
      </c>
      <c r="Z142" s="4">
        <v>161</v>
      </c>
      <c r="AA142" s="3">
        <v>1624</v>
      </c>
      <c r="AB142" s="3">
        <v>3</v>
      </c>
      <c r="AC142" s="3">
        <v>0</v>
      </c>
      <c r="AD142" s="2">
        <v>-1.7</v>
      </c>
      <c r="AE142" s="2">
        <v>113.5</v>
      </c>
      <c r="AF142" s="2">
        <v>116.7</v>
      </c>
      <c r="AG142" s="2">
        <v>-3.2</v>
      </c>
      <c r="AH142" s="2">
        <v>11.4</v>
      </c>
      <c r="AI142" s="2">
        <v>1.7</v>
      </c>
      <c r="AJ142" s="2">
        <v>17.2</v>
      </c>
      <c r="AK142" s="2">
        <v>7</v>
      </c>
      <c r="AL142" s="2">
        <v>14.9</v>
      </c>
      <c r="AM142" s="2">
        <v>10.8</v>
      </c>
      <c r="AN142" s="2">
        <v>10.1</v>
      </c>
      <c r="AO142" s="2">
        <v>59.3</v>
      </c>
      <c r="AP142" s="2">
        <v>61.6</v>
      </c>
      <c r="AQ142" s="2">
        <v>16.3</v>
      </c>
      <c r="AR142" s="2">
        <v>97.28</v>
      </c>
      <c r="AS142" s="2">
        <v>9.1999999999999993</v>
      </c>
      <c r="AT142" s="2">
        <v>3842</v>
      </c>
      <c r="AU142" s="53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6"/>
    </row>
    <row r="143" spans="1:69" ht="13.2">
      <c r="A143" s="1" t="s">
        <v>310</v>
      </c>
      <c r="B143" s="1" t="s">
        <v>311</v>
      </c>
      <c r="C143" s="24" t="str">
        <f>VLOOKUP(B143,Equipe!$A$1:$B$31,2,FALSE)</f>
        <v>Utah Jazz</v>
      </c>
      <c r="D143" s="2">
        <v>27</v>
      </c>
      <c r="E143" s="2">
        <v>40</v>
      </c>
      <c r="F143" s="2">
        <v>12</v>
      </c>
      <c r="G143" s="2">
        <v>28</v>
      </c>
      <c r="H143" s="2">
        <v>30.5</v>
      </c>
      <c r="I143" s="3">
        <v>760</v>
      </c>
      <c r="J143" s="4">
        <v>280</v>
      </c>
      <c r="K143" s="4">
        <v>532</v>
      </c>
      <c r="L143" s="3">
        <v>52.7</v>
      </c>
      <c r="M143" s="4">
        <v>60</v>
      </c>
      <c r="N143" s="4">
        <v>148</v>
      </c>
      <c r="O143" s="3">
        <v>39.9</v>
      </c>
      <c r="P143" s="3">
        <v>140</v>
      </c>
      <c r="Q143" s="3">
        <v>164</v>
      </c>
      <c r="R143" s="3">
        <v>84.8</v>
      </c>
      <c r="S143" s="4">
        <v>88</v>
      </c>
      <c r="T143" s="4">
        <v>240</v>
      </c>
      <c r="U143" s="4">
        <v>328</v>
      </c>
      <c r="V143" s="4">
        <v>80</v>
      </c>
      <c r="W143" s="4">
        <v>104</v>
      </c>
      <c r="X143" s="4">
        <v>40</v>
      </c>
      <c r="Y143" s="4">
        <v>40</v>
      </c>
      <c r="Z143" s="4">
        <v>116</v>
      </c>
      <c r="AA143" s="3">
        <v>1404</v>
      </c>
      <c r="AB143" s="3">
        <v>13</v>
      </c>
      <c r="AC143" s="3">
        <v>0</v>
      </c>
      <c r="AD143" s="2">
        <v>-0.4</v>
      </c>
      <c r="AE143" s="2">
        <v>112.4</v>
      </c>
      <c r="AF143" s="2">
        <v>113.3</v>
      </c>
      <c r="AG143" s="2">
        <v>-0.9</v>
      </c>
      <c r="AH143" s="2">
        <v>10.5</v>
      </c>
      <c r="AI143" s="2">
        <v>0.78</v>
      </c>
      <c r="AJ143" s="2">
        <v>10.199999999999999</v>
      </c>
      <c r="AK143" s="2">
        <v>7.3</v>
      </c>
      <c r="AL143" s="2">
        <v>17.899999999999999</v>
      </c>
      <c r="AM143" s="2">
        <v>12.8</v>
      </c>
      <c r="AN143" s="2">
        <v>13.2</v>
      </c>
      <c r="AO143" s="2">
        <v>58.3</v>
      </c>
      <c r="AP143" s="2">
        <v>62.8</v>
      </c>
      <c r="AQ143" s="2">
        <v>23.4</v>
      </c>
      <c r="AR143" s="2">
        <v>101.72</v>
      </c>
      <c r="AS143" s="2">
        <v>12.9</v>
      </c>
      <c r="AT143" s="2">
        <v>2590</v>
      </c>
      <c r="AU143" s="53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6"/>
    </row>
    <row r="144" spans="1:69" ht="13.2">
      <c r="A144" s="1" t="s">
        <v>312</v>
      </c>
      <c r="B144" s="1" t="s">
        <v>313</v>
      </c>
      <c r="C144" s="24" t="str">
        <f>VLOOKUP(B144,Equipe!$A$1:$B$31,2,FALSE)</f>
        <v>Oklahoma City Thunder</v>
      </c>
      <c r="D144" s="2">
        <v>25</v>
      </c>
      <c r="E144" s="2">
        <v>74</v>
      </c>
      <c r="F144" s="2">
        <v>63</v>
      </c>
      <c r="G144" s="2">
        <v>11</v>
      </c>
      <c r="H144" s="2">
        <v>21.7</v>
      </c>
      <c r="I144" s="3">
        <v>755</v>
      </c>
      <c r="J144" s="4">
        <v>259</v>
      </c>
      <c r="K144" s="4">
        <v>585</v>
      </c>
      <c r="L144" s="3">
        <v>44</v>
      </c>
      <c r="M144" s="4">
        <v>192</v>
      </c>
      <c r="N144" s="4">
        <v>466</v>
      </c>
      <c r="O144" s="3">
        <v>41.2</v>
      </c>
      <c r="P144" s="3">
        <v>44</v>
      </c>
      <c r="Q144" s="3">
        <v>59</v>
      </c>
      <c r="R144" s="3">
        <v>82.1</v>
      </c>
      <c r="S144" s="4">
        <v>44</v>
      </c>
      <c r="T144" s="4">
        <v>155</v>
      </c>
      <c r="U144" s="4">
        <v>192</v>
      </c>
      <c r="V144" s="4">
        <v>118</v>
      </c>
      <c r="W144" s="4">
        <v>37</v>
      </c>
      <c r="X144" s="4">
        <v>44</v>
      </c>
      <c r="Y144" s="4">
        <v>7</v>
      </c>
      <c r="Z144" s="4">
        <v>111</v>
      </c>
      <c r="AA144" s="3">
        <v>1302</v>
      </c>
      <c r="AB144" s="3">
        <v>0</v>
      </c>
      <c r="AC144" s="3">
        <v>0</v>
      </c>
      <c r="AD144" s="2">
        <v>7.4</v>
      </c>
      <c r="AE144" s="2">
        <v>119.9</v>
      </c>
      <c r="AF144" s="2">
        <v>104.1</v>
      </c>
      <c r="AG144" s="2">
        <v>15.8</v>
      </c>
      <c r="AH144" s="2">
        <v>9.6</v>
      </c>
      <c r="AI144" s="2">
        <v>3.13</v>
      </c>
      <c r="AJ144" s="2">
        <v>15.6</v>
      </c>
      <c r="AK144" s="2">
        <v>2.5</v>
      </c>
      <c r="AL144" s="2">
        <v>8.9</v>
      </c>
      <c r="AM144" s="2">
        <v>5.8</v>
      </c>
      <c r="AN144" s="2">
        <v>5</v>
      </c>
      <c r="AO144" s="2">
        <v>60.4</v>
      </c>
      <c r="AP144" s="2">
        <v>61.7</v>
      </c>
      <c r="AQ144" s="2">
        <v>16.600000000000001</v>
      </c>
      <c r="AR144" s="2">
        <v>102.23</v>
      </c>
      <c r="AS144" s="2">
        <v>8.9</v>
      </c>
      <c r="AT144" s="2">
        <v>3420</v>
      </c>
      <c r="AU144" s="53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6"/>
    </row>
    <row r="145" spans="1:69" ht="13.2">
      <c r="A145" s="1" t="s">
        <v>314</v>
      </c>
      <c r="B145" s="1" t="s">
        <v>315</v>
      </c>
      <c r="C145" s="24" t="str">
        <f>VLOOKUP(B145,Equipe!$A$1:$B$31,2,FALSE)</f>
        <v>Brooklyn Nets</v>
      </c>
      <c r="D145" s="2">
        <v>24</v>
      </c>
      <c r="E145" s="2">
        <v>79</v>
      </c>
      <c r="F145" s="2">
        <v>25</v>
      </c>
      <c r="G145" s="2">
        <v>54</v>
      </c>
      <c r="H145" s="2">
        <v>25.7</v>
      </c>
      <c r="I145" s="3">
        <v>751</v>
      </c>
      <c r="J145" s="4">
        <v>245</v>
      </c>
      <c r="K145" s="4">
        <v>616</v>
      </c>
      <c r="L145" s="3">
        <v>39.700000000000003</v>
      </c>
      <c r="M145" s="4">
        <v>119</v>
      </c>
      <c r="N145" s="4">
        <v>363</v>
      </c>
      <c r="O145" s="3">
        <v>33.700000000000003</v>
      </c>
      <c r="P145" s="3">
        <v>134</v>
      </c>
      <c r="Q145" s="3">
        <v>166</v>
      </c>
      <c r="R145" s="3">
        <v>81.8</v>
      </c>
      <c r="S145" s="4">
        <v>71</v>
      </c>
      <c r="T145" s="4">
        <v>198</v>
      </c>
      <c r="U145" s="4">
        <v>269</v>
      </c>
      <c r="V145" s="4">
        <v>142</v>
      </c>
      <c r="W145" s="4">
        <v>79</v>
      </c>
      <c r="X145" s="4">
        <v>40</v>
      </c>
      <c r="Y145" s="4">
        <v>8</v>
      </c>
      <c r="Z145" s="4">
        <v>166</v>
      </c>
      <c r="AA145" s="3">
        <v>1343</v>
      </c>
      <c r="AB145" s="3">
        <v>0</v>
      </c>
      <c r="AC145" s="3">
        <v>0</v>
      </c>
      <c r="AD145" s="2">
        <v>-3.3</v>
      </c>
      <c r="AE145" s="2">
        <v>106.9</v>
      </c>
      <c r="AF145" s="2">
        <v>113.7</v>
      </c>
      <c r="AG145" s="2">
        <v>-6.7</v>
      </c>
      <c r="AH145" s="2">
        <v>11</v>
      </c>
      <c r="AI145" s="2">
        <v>1.84</v>
      </c>
      <c r="AJ145" s="2">
        <v>15.9</v>
      </c>
      <c r="AK145" s="2">
        <v>3.5</v>
      </c>
      <c r="AL145" s="2">
        <v>10.199999999999999</v>
      </c>
      <c r="AM145" s="2">
        <v>6.7</v>
      </c>
      <c r="AN145" s="2">
        <v>8.6</v>
      </c>
      <c r="AO145" s="2">
        <v>49.5</v>
      </c>
      <c r="AP145" s="2">
        <v>54.1</v>
      </c>
      <c r="AQ145" s="2">
        <v>16.100000000000001</v>
      </c>
      <c r="AR145" s="2">
        <v>97.23</v>
      </c>
      <c r="AS145" s="2">
        <v>6.5</v>
      </c>
      <c r="AT145" s="2">
        <v>4122</v>
      </c>
      <c r="AU145" s="53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6"/>
    </row>
    <row r="146" spans="1:69" ht="13.2">
      <c r="A146" s="1" t="s">
        <v>316</v>
      </c>
      <c r="B146" s="1" t="s">
        <v>317</v>
      </c>
      <c r="C146" s="24" t="str">
        <f>VLOOKUP(B146,Equipe!$A$1:$B$31,2,FALSE)</f>
        <v>Denver Nuggets</v>
      </c>
      <c r="D146" s="2">
        <v>29</v>
      </c>
      <c r="E146" s="2">
        <v>51</v>
      </c>
      <c r="F146" s="2">
        <v>33</v>
      </c>
      <c r="G146" s="2">
        <v>18</v>
      </c>
      <c r="H146" s="2">
        <v>28.4</v>
      </c>
      <c r="I146" s="3">
        <v>750</v>
      </c>
      <c r="J146" s="4">
        <v>265</v>
      </c>
      <c r="K146" s="4">
        <v>495</v>
      </c>
      <c r="L146" s="3">
        <v>53.1</v>
      </c>
      <c r="M146" s="4">
        <v>77</v>
      </c>
      <c r="N146" s="4">
        <v>173</v>
      </c>
      <c r="O146" s="3">
        <v>43.6</v>
      </c>
      <c r="P146" s="3">
        <v>143</v>
      </c>
      <c r="Q146" s="3">
        <v>179</v>
      </c>
      <c r="R146" s="3">
        <v>81</v>
      </c>
      <c r="S146" s="4">
        <v>82</v>
      </c>
      <c r="T146" s="4">
        <v>168</v>
      </c>
      <c r="U146" s="4">
        <v>245</v>
      </c>
      <c r="V146" s="4">
        <v>163</v>
      </c>
      <c r="W146" s="4">
        <v>71</v>
      </c>
      <c r="X146" s="4">
        <v>26</v>
      </c>
      <c r="Y146" s="4">
        <v>15</v>
      </c>
      <c r="Z146" s="4">
        <v>82</v>
      </c>
      <c r="AA146" s="3">
        <v>1326</v>
      </c>
      <c r="AB146" s="3">
        <v>3</v>
      </c>
      <c r="AC146" s="3">
        <v>0</v>
      </c>
      <c r="AD146" s="2">
        <v>5.9</v>
      </c>
      <c r="AE146" s="2">
        <v>122.5</v>
      </c>
      <c r="AF146" s="2">
        <v>113</v>
      </c>
      <c r="AG146" s="2">
        <v>9.5</v>
      </c>
      <c r="AH146" s="2">
        <v>14.3</v>
      </c>
      <c r="AI146" s="2">
        <v>2.25</v>
      </c>
      <c r="AJ146" s="2">
        <v>20.100000000000001</v>
      </c>
      <c r="AK146" s="2">
        <v>6</v>
      </c>
      <c r="AL146" s="2">
        <v>10.9</v>
      </c>
      <c r="AM146" s="2">
        <v>8.6</v>
      </c>
      <c r="AN146" s="2">
        <v>9</v>
      </c>
      <c r="AO146" s="2">
        <v>60.7</v>
      </c>
      <c r="AP146" s="2">
        <v>65</v>
      </c>
      <c r="AQ146" s="2">
        <v>18.600000000000001</v>
      </c>
      <c r="AR146" s="2">
        <v>101.64</v>
      </c>
      <c r="AS146" s="2">
        <v>10.4</v>
      </c>
      <c r="AT146" s="2">
        <v>3068</v>
      </c>
      <c r="AU146" s="53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6"/>
    </row>
    <row r="147" spans="1:69" ht="13.2">
      <c r="A147" s="1" t="s">
        <v>320</v>
      </c>
      <c r="B147" s="1" t="s">
        <v>321</v>
      </c>
      <c r="C147" s="24" t="str">
        <f>VLOOKUP(B147,Equipe!$A$1:$B$31,2,FALSE)</f>
        <v>Golden State Warriors</v>
      </c>
      <c r="D147" s="2">
        <v>22</v>
      </c>
      <c r="E147" s="2">
        <v>64</v>
      </c>
      <c r="F147" s="2">
        <v>38</v>
      </c>
      <c r="G147" s="2">
        <v>26</v>
      </c>
      <c r="H147" s="2">
        <v>26.8</v>
      </c>
      <c r="I147" s="3">
        <v>749</v>
      </c>
      <c r="J147" s="4">
        <v>282</v>
      </c>
      <c r="K147" s="4">
        <v>627</v>
      </c>
      <c r="L147" s="3">
        <v>44.5</v>
      </c>
      <c r="M147" s="4">
        <v>115</v>
      </c>
      <c r="N147" s="4">
        <v>307</v>
      </c>
      <c r="O147" s="3">
        <v>37.200000000000003</v>
      </c>
      <c r="P147" s="3">
        <v>70</v>
      </c>
      <c r="Q147" s="3">
        <v>96</v>
      </c>
      <c r="R147" s="3">
        <v>75.8</v>
      </c>
      <c r="S147" s="4">
        <v>64</v>
      </c>
      <c r="T147" s="4">
        <v>262</v>
      </c>
      <c r="U147" s="4">
        <v>326</v>
      </c>
      <c r="V147" s="4">
        <v>218</v>
      </c>
      <c r="W147" s="4">
        <v>77</v>
      </c>
      <c r="X147" s="4">
        <v>70</v>
      </c>
      <c r="Y147" s="4">
        <v>13</v>
      </c>
      <c r="Z147" s="4">
        <v>96</v>
      </c>
      <c r="AA147" s="3">
        <v>1638</v>
      </c>
      <c r="AB147" s="3">
        <v>2</v>
      </c>
      <c r="AC147" s="3">
        <v>0</v>
      </c>
      <c r="AD147" s="2">
        <v>4.0999999999999996</v>
      </c>
      <c r="AE147" s="2">
        <v>111.6</v>
      </c>
      <c r="AF147" s="2">
        <v>105.1</v>
      </c>
      <c r="AG147" s="2">
        <v>6.6</v>
      </c>
      <c r="AH147" s="2">
        <v>19.399999999999999</v>
      </c>
      <c r="AI147" s="2">
        <v>2.93</v>
      </c>
      <c r="AJ147" s="2">
        <v>22.8</v>
      </c>
      <c r="AK147" s="2">
        <v>3.4</v>
      </c>
      <c r="AL147" s="2">
        <v>15.1</v>
      </c>
      <c r="AM147" s="2">
        <v>8.9</v>
      </c>
      <c r="AN147" s="2">
        <v>7.8</v>
      </c>
      <c r="AO147" s="2">
        <v>53.7</v>
      </c>
      <c r="AP147" s="2">
        <v>55.7</v>
      </c>
      <c r="AQ147" s="2">
        <v>17.7</v>
      </c>
      <c r="AR147" s="2">
        <v>100.36</v>
      </c>
      <c r="AS147" s="2">
        <v>11.4</v>
      </c>
      <c r="AT147" s="2">
        <v>3600</v>
      </c>
      <c r="AU147" s="53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6"/>
    </row>
    <row r="148" spans="1:69" ht="13.2">
      <c r="A148" s="1" t="s">
        <v>318</v>
      </c>
      <c r="B148" s="1" t="s">
        <v>319</v>
      </c>
      <c r="C148" s="24" t="str">
        <f>VLOOKUP(B148,Equipe!$A$1:$B$31,2,FALSE)</f>
        <v>Dallas Mavericks</v>
      </c>
      <c r="D148" s="2">
        <v>22</v>
      </c>
      <c r="E148" s="2">
        <v>78</v>
      </c>
      <c r="F148" s="2">
        <v>40</v>
      </c>
      <c r="G148" s="2">
        <v>38</v>
      </c>
      <c r="H148" s="2">
        <v>27.3</v>
      </c>
      <c r="I148" s="3">
        <v>749</v>
      </c>
      <c r="J148" s="4">
        <v>250</v>
      </c>
      <c r="K148" s="4">
        <v>593</v>
      </c>
      <c r="L148" s="3">
        <v>42.7</v>
      </c>
      <c r="M148" s="4">
        <v>117</v>
      </c>
      <c r="N148" s="4">
        <v>312</v>
      </c>
      <c r="O148" s="3">
        <v>36.6</v>
      </c>
      <c r="P148" s="3">
        <v>133</v>
      </c>
      <c r="Q148" s="3">
        <v>148</v>
      </c>
      <c r="R148" s="3">
        <v>85.5</v>
      </c>
      <c r="S148" s="4">
        <v>39</v>
      </c>
      <c r="T148" s="4">
        <v>218</v>
      </c>
      <c r="U148" s="4">
        <v>257</v>
      </c>
      <c r="V148" s="4">
        <v>148</v>
      </c>
      <c r="W148" s="4">
        <v>86</v>
      </c>
      <c r="X148" s="4">
        <v>62</v>
      </c>
      <c r="Y148" s="4">
        <v>31</v>
      </c>
      <c r="Z148" s="4">
        <v>117</v>
      </c>
      <c r="AA148" s="3">
        <v>1474</v>
      </c>
      <c r="AB148" s="3">
        <v>0</v>
      </c>
      <c r="AC148" s="3">
        <v>0</v>
      </c>
      <c r="AD148" s="2">
        <v>-1.1000000000000001</v>
      </c>
      <c r="AE148" s="2">
        <v>112.6</v>
      </c>
      <c r="AF148" s="2">
        <v>114.3</v>
      </c>
      <c r="AG148" s="2">
        <v>-1.7</v>
      </c>
      <c r="AH148" s="2">
        <v>9.3000000000000007</v>
      </c>
      <c r="AI148" s="2">
        <v>1.66</v>
      </c>
      <c r="AJ148" s="2">
        <v>16.399999999999999</v>
      </c>
      <c r="AK148" s="2">
        <v>1.9</v>
      </c>
      <c r="AL148" s="2">
        <v>10.199999999999999</v>
      </c>
      <c r="AM148" s="2">
        <v>6.1</v>
      </c>
      <c r="AN148" s="2">
        <v>9.9</v>
      </c>
      <c r="AO148" s="2">
        <v>52.5</v>
      </c>
      <c r="AP148" s="2">
        <v>57</v>
      </c>
      <c r="AQ148" s="2">
        <v>15</v>
      </c>
      <c r="AR148" s="2">
        <v>100.27</v>
      </c>
      <c r="AS148" s="2">
        <v>6.9</v>
      </c>
      <c r="AT148" s="2">
        <v>4440</v>
      </c>
      <c r="AU148" s="53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6"/>
    </row>
    <row r="149" spans="1:69" ht="13.2">
      <c r="A149" s="1" t="s">
        <v>322</v>
      </c>
      <c r="B149" s="1" t="s">
        <v>323</v>
      </c>
      <c r="C149" s="24" t="str">
        <f>VLOOKUP(B149,Equipe!$A$1:$B$31,2,FALSE)</f>
        <v>New Orleans Pelicans</v>
      </c>
      <c r="D149" s="2">
        <v>24</v>
      </c>
      <c r="E149" s="2">
        <v>30</v>
      </c>
      <c r="F149" s="2">
        <v>10</v>
      </c>
      <c r="G149" s="2">
        <v>20</v>
      </c>
      <c r="H149" s="2">
        <v>28.6</v>
      </c>
      <c r="I149" s="3">
        <v>738</v>
      </c>
      <c r="J149" s="4">
        <v>288</v>
      </c>
      <c r="K149" s="4">
        <v>507</v>
      </c>
      <c r="L149" s="3">
        <v>56.7</v>
      </c>
      <c r="M149" s="4">
        <v>3</v>
      </c>
      <c r="N149" s="4">
        <v>12</v>
      </c>
      <c r="O149" s="3">
        <v>23.1</v>
      </c>
      <c r="P149" s="3">
        <v>159</v>
      </c>
      <c r="Q149" s="3">
        <v>240</v>
      </c>
      <c r="R149" s="3">
        <v>65.599999999999994</v>
      </c>
      <c r="S149" s="4">
        <v>75</v>
      </c>
      <c r="T149" s="4">
        <v>141</v>
      </c>
      <c r="U149" s="4">
        <v>216</v>
      </c>
      <c r="V149" s="4">
        <v>159</v>
      </c>
      <c r="W149" s="4">
        <v>90</v>
      </c>
      <c r="X149" s="4">
        <v>36</v>
      </c>
      <c r="Y149" s="4">
        <v>27</v>
      </c>
      <c r="Z149" s="4">
        <v>81</v>
      </c>
      <c r="AA149" s="3">
        <v>1338</v>
      </c>
      <c r="AB149" s="3">
        <v>8</v>
      </c>
      <c r="AC149" s="3">
        <v>2</v>
      </c>
      <c r="AD149" s="2">
        <v>-1.4</v>
      </c>
      <c r="AE149" s="2">
        <v>113.7</v>
      </c>
      <c r="AF149" s="2">
        <v>115.5</v>
      </c>
      <c r="AG149" s="2">
        <v>-1.8</v>
      </c>
      <c r="AH149" s="2">
        <v>32.5</v>
      </c>
      <c r="AI149" s="2">
        <v>1.77</v>
      </c>
      <c r="AJ149" s="2">
        <v>18.5</v>
      </c>
      <c r="AK149" s="2">
        <v>8</v>
      </c>
      <c r="AL149" s="2">
        <v>15.2</v>
      </c>
      <c r="AM149" s="2">
        <v>11.6</v>
      </c>
      <c r="AN149" s="2">
        <v>10.5</v>
      </c>
      <c r="AO149" s="2">
        <v>57</v>
      </c>
      <c r="AP149" s="2">
        <v>60</v>
      </c>
      <c r="AQ149" s="2">
        <v>32.5</v>
      </c>
      <c r="AR149" s="2">
        <v>103.3</v>
      </c>
      <c r="AS149" s="2">
        <v>16.7</v>
      </c>
      <c r="AT149" s="2">
        <v>1841</v>
      </c>
      <c r="AU149" s="53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6"/>
    </row>
    <row r="150" spans="1:69" ht="13.2">
      <c r="A150" s="1" t="s">
        <v>324</v>
      </c>
      <c r="B150" s="1" t="s">
        <v>325</v>
      </c>
      <c r="C150" s="24" t="str">
        <f>VLOOKUP(B150,Equipe!$A$1:$B$31,2,FALSE)</f>
        <v>Orlando Magic</v>
      </c>
      <c r="D150" s="2">
        <v>21</v>
      </c>
      <c r="E150" s="2">
        <v>78</v>
      </c>
      <c r="F150" s="2">
        <v>39</v>
      </c>
      <c r="G150" s="2">
        <v>39</v>
      </c>
      <c r="H150" s="2">
        <v>24.2</v>
      </c>
      <c r="I150" s="3">
        <v>733</v>
      </c>
      <c r="J150" s="4">
        <v>265</v>
      </c>
      <c r="K150" s="4">
        <v>616</v>
      </c>
      <c r="L150" s="3">
        <v>42.3</v>
      </c>
      <c r="M150" s="4">
        <v>62</v>
      </c>
      <c r="N150" s="4">
        <v>195</v>
      </c>
      <c r="O150" s="3">
        <v>31.8</v>
      </c>
      <c r="P150" s="3">
        <v>148</v>
      </c>
      <c r="Q150" s="3">
        <v>195</v>
      </c>
      <c r="R150" s="3">
        <v>76.099999999999994</v>
      </c>
      <c r="S150" s="4">
        <v>55</v>
      </c>
      <c r="T150" s="4">
        <v>179</v>
      </c>
      <c r="U150" s="4">
        <v>226</v>
      </c>
      <c r="V150" s="4">
        <v>242</v>
      </c>
      <c r="W150" s="4">
        <v>140</v>
      </c>
      <c r="X150" s="4">
        <v>86</v>
      </c>
      <c r="Y150" s="4">
        <v>47</v>
      </c>
      <c r="Z150" s="4">
        <v>164</v>
      </c>
      <c r="AA150" s="3">
        <v>1638</v>
      </c>
      <c r="AB150" s="3">
        <v>1</v>
      </c>
      <c r="AC150" s="3">
        <v>0</v>
      </c>
      <c r="AD150" s="2">
        <v>-0.5</v>
      </c>
      <c r="AE150" s="2">
        <v>106.2</v>
      </c>
      <c r="AF150" s="2">
        <v>107.1</v>
      </c>
      <c r="AG150" s="2">
        <v>-0.9</v>
      </c>
      <c r="AH150" s="2">
        <v>20.100000000000001</v>
      </c>
      <c r="AI150" s="2">
        <v>1.73</v>
      </c>
      <c r="AJ150" s="2">
        <v>22.2</v>
      </c>
      <c r="AK150" s="2">
        <v>2.6</v>
      </c>
      <c r="AL150" s="2">
        <v>10</v>
      </c>
      <c r="AM150" s="2">
        <v>6.1</v>
      </c>
      <c r="AN150" s="2">
        <v>12.8</v>
      </c>
      <c r="AO150" s="2">
        <v>47.3</v>
      </c>
      <c r="AP150" s="2">
        <v>52.1</v>
      </c>
      <c r="AQ150" s="2">
        <v>19</v>
      </c>
      <c r="AR150" s="2">
        <v>97.83</v>
      </c>
      <c r="AS150" s="2">
        <v>8.4</v>
      </c>
      <c r="AT150" s="2">
        <v>3844</v>
      </c>
      <c r="AU150" s="53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6"/>
    </row>
    <row r="151" spans="1:69" ht="13.2">
      <c r="A151" s="1" t="s">
        <v>326</v>
      </c>
      <c r="B151" s="1" t="s">
        <v>327</v>
      </c>
      <c r="C151" s="24" t="str">
        <f>VLOOKUP(B151,Equipe!$A$1:$B$31,2,FALSE)</f>
        <v>Brooklyn Nets</v>
      </c>
      <c r="D151" s="2">
        <v>29</v>
      </c>
      <c r="E151" s="2">
        <v>58</v>
      </c>
      <c r="F151" s="2">
        <v>26</v>
      </c>
      <c r="G151" s="2">
        <v>32</v>
      </c>
      <c r="H151" s="2">
        <v>25.5</v>
      </c>
      <c r="I151" s="3">
        <v>731</v>
      </c>
      <c r="J151" s="4">
        <v>249</v>
      </c>
      <c r="K151" s="4">
        <v>638</v>
      </c>
      <c r="L151" s="3">
        <v>39</v>
      </c>
      <c r="M151" s="4">
        <v>110</v>
      </c>
      <c r="N151" s="4">
        <v>360</v>
      </c>
      <c r="O151" s="3">
        <v>31.4</v>
      </c>
      <c r="P151" s="3">
        <v>122</v>
      </c>
      <c r="Q151" s="3">
        <v>145</v>
      </c>
      <c r="R151" s="3">
        <v>83.4</v>
      </c>
      <c r="S151" s="4">
        <v>17</v>
      </c>
      <c r="T151" s="4">
        <v>139</v>
      </c>
      <c r="U151" s="4">
        <v>162</v>
      </c>
      <c r="V151" s="4">
        <v>296</v>
      </c>
      <c r="W151" s="4">
        <v>110</v>
      </c>
      <c r="X151" s="4">
        <v>58</v>
      </c>
      <c r="Y151" s="4">
        <v>23</v>
      </c>
      <c r="Z151" s="4">
        <v>116</v>
      </c>
      <c r="AA151" s="3">
        <v>1502</v>
      </c>
      <c r="AB151" s="3">
        <v>4</v>
      </c>
      <c r="AC151" s="3">
        <v>0</v>
      </c>
      <c r="AD151" s="2">
        <v>0</v>
      </c>
      <c r="AE151" s="2">
        <v>110.1</v>
      </c>
      <c r="AF151" s="2">
        <v>111.6</v>
      </c>
      <c r="AG151" s="2">
        <v>-1.5</v>
      </c>
      <c r="AH151" s="2">
        <v>30.2</v>
      </c>
      <c r="AI151" s="2">
        <v>2.75</v>
      </c>
      <c r="AJ151" s="2">
        <v>26.9</v>
      </c>
      <c r="AK151" s="2">
        <v>1.3</v>
      </c>
      <c r="AL151" s="2">
        <v>9.3000000000000007</v>
      </c>
      <c r="AM151" s="2">
        <v>5.3</v>
      </c>
      <c r="AN151" s="2">
        <v>9.8000000000000007</v>
      </c>
      <c r="AO151" s="2">
        <v>47.9</v>
      </c>
      <c r="AP151" s="2">
        <v>52.2</v>
      </c>
      <c r="AQ151" s="2">
        <v>22.8</v>
      </c>
      <c r="AR151" s="2">
        <v>99.59</v>
      </c>
      <c r="AS151" s="2">
        <v>9.8000000000000007</v>
      </c>
      <c r="AT151" s="2">
        <v>3092</v>
      </c>
      <c r="AU151" s="53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6"/>
    </row>
    <row r="152" spans="1:69" ht="13.2">
      <c r="A152" s="1" t="s">
        <v>328</v>
      </c>
      <c r="B152" s="1" t="s">
        <v>329</v>
      </c>
      <c r="C152" s="24" t="str">
        <f>VLOOKUP(B152,Equipe!$A$1:$B$31,2,FALSE)</f>
        <v>Washington Wizards</v>
      </c>
      <c r="D152" s="2">
        <v>20</v>
      </c>
      <c r="E152" s="2">
        <v>59</v>
      </c>
      <c r="F152" s="2">
        <v>13</v>
      </c>
      <c r="G152" s="2">
        <v>46</v>
      </c>
      <c r="H152" s="2">
        <v>33</v>
      </c>
      <c r="I152" s="3">
        <v>726</v>
      </c>
      <c r="J152" s="4">
        <v>266</v>
      </c>
      <c r="K152" s="4">
        <v>625</v>
      </c>
      <c r="L152" s="3">
        <v>42.1</v>
      </c>
      <c r="M152" s="4">
        <v>65</v>
      </c>
      <c r="N152" s="4">
        <v>224</v>
      </c>
      <c r="O152" s="3">
        <v>28.1</v>
      </c>
      <c r="P152" s="3">
        <v>136</v>
      </c>
      <c r="Q152" s="3">
        <v>183</v>
      </c>
      <c r="R152" s="3">
        <v>74.599999999999994</v>
      </c>
      <c r="S152" s="4">
        <v>89</v>
      </c>
      <c r="T152" s="4">
        <v>201</v>
      </c>
      <c r="U152" s="4">
        <v>295</v>
      </c>
      <c r="V152" s="4">
        <v>201</v>
      </c>
      <c r="W152" s="4">
        <v>124</v>
      </c>
      <c r="X152" s="4">
        <v>77</v>
      </c>
      <c r="Y152" s="4">
        <v>41</v>
      </c>
      <c r="Z152" s="4">
        <v>142</v>
      </c>
      <c r="AA152" s="3">
        <v>1611</v>
      </c>
      <c r="AB152" s="3">
        <v>3</v>
      </c>
      <c r="AC152" s="3">
        <v>1</v>
      </c>
      <c r="AD152" s="2">
        <v>-9.9</v>
      </c>
      <c r="AE152" s="2">
        <v>104.5</v>
      </c>
      <c r="AF152" s="2">
        <v>118.3</v>
      </c>
      <c r="AG152" s="2">
        <v>-13.8</v>
      </c>
      <c r="AH152" s="2">
        <v>15</v>
      </c>
      <c r="AI152" s="2">
        <v>1.59</v>
      </c>
      <c r="AJ152" s="2">
        <v>19.399999999999999</v>
      </c>
      <c r="AK152" s="2">
        <v>4.3</v>
      </c>
      <c r="AL152" s="2">
        <v>9.8000000000000007</v>
      </c>
      <c r="AM152" s="2">
        <v>7</v>
      </c>
      <c r="AN152" s="2">
        <v>12.2</v>
      </c>
      <c r="AO152" s="2">
        <v>47.2</v>
      </c>
      <c r="AP152" s="2">
        <v>51.5</v>
      </c>
      <c r="AQ152" s="2">
        <v>17.5</v>
      </c>
      <c r="AR152" s="2">
        <v>103.22</v>
      </c>
      <c r="AS152" s="2">
        <v>7</v>
      </c>
      <c r="AT152" s="2">
        <v>4183</v>
      </c>
      <c r="AU152" s="53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6"/>
    </row>
    <row r="153" spans="1:69" ht="13.2">
      <c r="A153" s="1" t="s">
        <v>332</v>
      </c>
      <c r="B153" s="1" t="s">
        <v>333</v>
      </c>
      <c r="C153" s="24" t="str">
        <f>VLOOKUP(B153,Equipe!$A$1:$B$31,2,FALSE)</f>
        <v>Minnesota Timberwolves</v>
      </c>
      <c r="D153" s="2">
        <v>28</v>
      </c>
      <c r="E153" s="2">
        <v>62</v>
      </c>
      <c r="F153" s="2">
        <v>37</v>
      </c>
      <c r="G153" s="2">
        <v>25</v>
      </c>
      <c r="H153" s="2">
        <v>25.9</v>
      </c>
      <c r="I153" s="3">
        <v>725</v>
      </c>
      <c r="J153" s="4">
        <v>248</v>
      </c>
      <c r="K153" s="4">
        <v>595</v>
      </c>
      <c r="L153" s="3">
        <v>42.2</v>
      </c>
      <c r="M153" s="4">
        <v>174</v>
      </c>
      <c r="N153" s="4">
        <v>440</v>
      </c>
      <c r="O153" s="3">
        <v>39.700000000000003</v>
      </c>
      <c r="P153" s="3">
        <v>50</v>
      </c>
      <c r="Q153" s="3">
        <v>62</v>
      </c>
      <c r="R153" s="3">
        <v>77.8</v>
      </c>
      <c r="S153" s="4">
        <v>31</v>
      </c>
      <c r="T153" s="4">
        <v>198</v>
      </c>
      <c r="U153" s="4">
        <v>229</v>
      </c>
      <c r="V153" s="4">
        <v>223</v>
      </c>
      <c r="W153" s="4">
        <v>99</v>
      </c>
      <c r="X153" s="4">
        <v>74</v>
      </c>
      <c r="Y153" s="4">
        <v>19</v>
      </c>
      <c r="Z153" s="4">
        <v>112</v>
      </c>
      <c r="AA153" s="3">
        <v>1507</v>
      </c>
      <c r="AB153" s="3">
        <v>1</v>
      </c>
      <c r="AC153" s="3">
        <v>0</v>
      </c>
      <c r="AD153" s="2">
        <v>2.8</v>
      </c>
      <c r="AE153" s="2">
        <v>114.2</v>
      </c>
      <c r="AF153" s="2">
        <v>109.1</v>
      </c>
      <c r="AG153" s="2">
        <v>5.0999999999999996</v>
      </c>
      <c r="AH153" s="2">
        <v>20.3</v>
      </c>
      <c r="AI153" s="2">
        <v>2.27</v>
      </c>
      <c r="AJ153" s="2">
        <v>23.8</v>
      </c>
      <c r="AK153" s="2">
        <v>2</v>
      </c>
      <c r="AL153" s="2">
        <v>11.5</v>
      </c>
      <c r="AM153" s="2">
        <v>6.8</v>
      </c>
      <c r="AN153" s="2">
        <v>10.5</v>
      </c>
      <c r="AO153" s="2">
        <v>56.8</v>
      </c>
      <c r="AP153" s="2">
        <v>58.2</v>
      </c>
      <c r="AQ153" s="2">
        <v>18.8</v>
      </c>
      <c r="AR153" s="2">
        <v>100.17</v>
      </c>
      <c r="AS153" s="2">
        <v>10</v>
      </c>
      <c r="AT153" s="2">
        <v>3352</v>
      </c>
      <c r="AU153" s="53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6"/>
    </row>
    <row r="154" spans="1:69" ht="13.2">
      <c r="A154" s="1" t="s">
        <v>330</v>
      </c>
      <c r="B154" s="1" t="s">
        <v>331</v>
      </c>
      <c r="C154" s="24" t="str">
        <f>VLOOKUP(B154,Equipe!$A$1:$B$31,2,FALSE)</f>
        <v>Golden State Warriors</v>
      </c>
      <c r="D154" s="2">
        <v>23</v>
      </c>
      <c r="E154" s="2">
        <v>74</v>
      </c>
      <c r="F154" s="2">
        <v>45</v>
      </c>
      <c r="G154" s="2">
        <v>29</v>
      </c>
      <c r="H154" s="2">
        <v>22.3</v>
      </c>
      <c r="I154" s="3">
        <v>725</v>
      </c>
      <c r="J154" s="4">
        <v>244</v>
      </c>
      <c r="K154" s="4">
        <v>570</v>
      </c>
      <c r="L154" s="3">
        <v>43.3</v>
      </c>
      <c r="M154" s="4">
        <v>126</v>
      </c>
      <c r="N154" s="4">
        <v>340</v>
      </c>
      <c r="O154" s="3">
        <v>37.4</v>
      </c>
      <c r="P154" s="3">
        <v>104</v>
      </c>
      <c r="Q154" s="3">
        <v>133</v>
      </c>
      <c r="R154" s="3">
        <v>79.7</v>
      </c>
      <c r="S154" s="4">
        <v>52</v>
      </c>
      <c r="T154" s="4">
        <v>141</v>
      </c>
      <c r="U154" s="4">
        <v>192</v>
      </c>
      <c r="V154" s="4">
        <v>96</v>
      </c>
      <c r="W154" s="4">
        <v>52</v>
      </c>
      <c r="X154" s="4">
        <v>59</v>
      </c>
      <c r="Y154" s="4">
        <v>30</v>
      </c>
      <c r="Z154" s="4">
        <v>118</v>
      </c>
      <c r="AA154" s="3">
        <v>1310</v>
      </c>
      <c r="AB154" s="3">
        <v>0</v>
      </c>
      <c r="AC154" s="3">
        <v>0</v>
      </c>
      <c r="AD154" s="2">
        <v>1.8</v>
      </c>
      <c r="AE154" s="2">
        <v>113.2</v>
      </c>
      <c r="AF154" s="2">
        <v>108.9</v>
      </c>
      <c r="AG154" s="2">
        <v>4.3</v>
      </c>
      <c r="AH154" s="2">
        <v>8.4</v>
      </c>
      <c r="AI154" s="2">
        <v>1.78</v>
      </c>
      <c r="AJ154" s="2">
        <v>12.4</v>
      </c>
      <c r="AK154" s="2">
        <v>2.9</v>
      </c>
      <c r="AL154" s="2">
        <v>8.4</v>
      </c>
      <c r="AM154" s="2">
        <v>5.6</v>
      </c>
      <c r="AN154" s="2">
        <v>7</v>
      </c>
      <c r="AO154" s="2">
        <v>54.4</v>
      </c>
      <c r="AP154" s="2">
        <v>57.8</v>
      </c>
      <c r="AQ154" s="2">
        <v>17</v>
      </c>
      <c r="AR154" s="2">
        <v>100.74</v>
      </c>
      <c r="AS154" s="2">
        <v>7.6</v>
      </c>
      <c r="AT154" s="2">
        <v>3454</v>
      </c>
      <c r="AU154" s="53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6"/>
    </row>
    <row r="155" spans="1:69" ht="13.2">
      <c r="A155" s="1" t="s">
        <v>334</v>
      </c>
      <c r="B155" s="1" t="s">
        <v>335</v>
      </c>
      <c r="C155" s="24" t="str">
        <f>VLOOKUP(B155,Equipe!$A$1:$B$31,2,FALSE)</f>
        <v>San Antonio Spurs</v>
      </c>
      <c r="D155" s="2">
        <v>40</v>
      </c>
      <c r="E155" s="2">
        <v>82</v>
      </c>
      <c r="F155" s="2">
        <v>34</v>
      </c>
      <c r="G155" s="2">
        <v>48</v>
      </c>
      <c r="H155" s="2">
        <v>28</v>
      </c>
      <c r="I155" s="3">
        <v>722</v>
      </c>
      <c r="J155" s="4">
        <v>246</v>
      </c>
      <c r="K155" s="4">
        <v>582</v>
      </c>
      <c r="L155" s="3">
        <v>42.7</v>
      </c>
      <c r="M155" s="4">
        <v>139</v>
      </c>
      <c r="N155" s="4">
        <v>369</v>
      </c>
      <c r="O155" s="3">
        <v>37.700000000000003</v>
      </c>
      <c r="P155" s="3">
        <v>82</v>
      </c>
      <c r="Q155" s="3">
        <v>90</v>
      </c>
      <c r="R155" s="3">
        <v>92.4</v>
      </c>
      <c r="S155" s="4">
        <v>33</v>
      </c>
      <c r="T155" s="4">
        <v>262</v>
      </c>
      <c r="U155" s="4">
        <v>295</v>
      </c>
      <c r="V155" s="4">
        <v>607</v>
      </c>
      <c r="W155" s="4">
        <v>131</v>
      </c>
      <c r="X155" s="4">
        <v>107</v>
      </c>
      <c r="Y155" s="4">
        <v>25</v>
      </c>
      <c r="Z155" s="4">
        <v>148</v>
      </c>
      <c r="AA155" s="3">
        <v>2230</v>
      </c>
      <c r="AB155" s="3">
        <v>12</v>
      </c>
      <c r="AC155" s="3">
        <v>0</v>
      </c>
      <c r="AD155" s="2">
        <v>0</v>
      </c>
      <c r="AE155" s="2">
        <v>114.2</v>
      </c>
      <c r="AF155" s="2">
        <v>115</v>
      </c>
      <c r="AG155" s="2">
        <v>-0.8</v>
      </c>
      <c r="AH155" s="2">
        <v>34.200000000000003</v>
      </c>
      <c r="AI155" s="2">
        <v>4.6900000000000004</v>
      </c>
      <c r="AJ155" s="2">
        <v>45</v>
      </c>
      <c r="AK155" s="2">
        <v>1.4</v>
      </c>
      <c r="AL155" s="2">
        <v>11</v>
      </c>
      <c r="AM155" s="2">
        <v>6.2</v>
      </c>
      <c r="AN155" s="2">
        <v>9.6</v>
      </c>
      <c r="AO155" s="2">
        <v>54.7</v>
      </c>
      <c r="AP155" s="2">
        <v>58</v>
      </c>
      <c r="AQ155" s="2">
        <v>13.7</v>
      </c>
      <c r="AR155" s="2">
        <v>100.48</v>
      </c>
      <c r="AS155" s="2">
        <v>10.199999999999999</v>
      </c>
      <c r="AT155" s="2">
        <v>4817</v>
      </c>
      <c r="AU155" s="53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6"/>
    </row>
    <row r="156" spans="1:69" ht="13.2">
      <c r="A156" s="1" t="s">
        <v>336</v>
      </c>
      <c r="B156" s="1" t="s">
        <v>337</v>
      </c>
      <c r="C156" s="24" t="str">
        <f>VLOOKUP(B156,Equipe!$A$1:$B$31,2,FALSE)</f>
        <v>Brooklyn Nets</v>
      </c>
      <c r="D156" s="2">
        <v>26</v>
      </c>
      <c r="E156" s="2">
        <v>70</v>
      </c>
      <c r="F156" s="2">
        <v>20</v>
      </c>
      <c r="G156" s="2">
        <v>50</v>
      </c>
      <c r="H156" s="2">
        <v>26.9</v>
      </c>
      <c r="I156" s="3">
        <v>721</v>
      </c>
      <c r="J156" s="4">
        <v>322</v>
      </c>
      <c r="K156" s="4">
        <v>567</v>
      </c>
      <c r="L156" s="3">
        <v>56.3</v>
      </c>
      <c r="M156" s="4">
        <v>7</v>
      </c>
      <c r="N156" s="4">
        <v>21</v>
      </c>
      <c r="O156" s="3">
        <v>23.8</v>
      </c>
      <c r="P156" s="3">
        <v>77</v>
      </c>
      <c r="Q156" s="3">
        <v>154</v>
      </c>
      <c r="R156" s="3">
        <v>51.3</v>
      </c>
      <c r="S156" s="4">
        <v>154</v>
      </c>
      <c r="T156" s="4">
        <v>357</v>
      </c>
      <c r="U156" s="4">
        <v>518</v>
      </c>
      <c r="V156" s="4">
        <v>154</v>
      </c>
      <c r="W156" s="4">
        <v>84</v>
      </c>
      <c r="X156" s="4">
        <v>63</v>
      </c>
      <c r="Y156" s="4">
        <v>98</v>
      </c>
      <c r="Z156" s="4">
        <v>147</v>
      </c>
      <c r="AA156" s="3">
        <v>1974</v>
      </c>
      <c r="AB156" s="3">
        <v>13</v>
      </c>
      <c r="AC156" s="3">
        <v>0</v>
      </c>
      <c r="AD156" s="2">
        <v>-7.1</v>
      </c>
      <c r="AE156" s="2">
        <v>103.6</v>
      </c>
      <c r="AF156" s="2">
        <v>116.2</v>
      </c>
      <c r="AG156" s="2">
        <v>-12.6</v>
      </c>
      <c r="AH156" s="2">
        <v>14</v>
      </c>
      <c r="AI156" s="2">
        <v>1.8</v>
      </c>
      <c r="AJ156" s="2">
        <v>17.899999999999999</v>
      </c>
      <c r="AK156" s="2">
        <v>8</v>
      </c>
      <c r="AL156" s="2">
        <v>19.8</v>
      </c>
      <c r="AM156" s="2">
        <v>13.7</v>
      </c>
      <c r="AN156" s="2">
        <v>9.9</v>
      </c>
      <c r="AO156" s="2">
        <v>56.8</v>
      </c>
      <c r="AP156" s="2">
        <v>56.9</v>
      </c>
      <c r="AQ156" s="2">
        <v>16.600000000000001</v>
      </c>
      <c r="AR156" s="2">
        <v>97.38</v>
      </c>
      <c r="AS156" s="2">
        <v>11.5</v>
      </c>
      <c r="AT156" s="2">
        <v>3811</v>
      </c>
      <c r="AU156" s="53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6"/>
    </row>
    <row r="157" spans="1:69" ht="13.2">
      <c r="A157" s="8" t="s">
        <v>340</v>
      </c>
      <c r="B157" s="1" t="s">
        <v>341</v>
      </c>
      <c r="C157" s="24" t="str">
        <f>VLOOKUP(B157,Equipe!$A$1:$B$31,2,FALSE)</f>
        <v>Indiana Pacers</v>
      </c>
      <c r="D157" s="2">
        <v>33</v>
      </c>
      <c r="E157" s="2">
        <v>79</v>
      </c>
      <c r="F157" s="2">
        <v>49</v>
      </c>
      <c r="G157" s="2">
        <v>30</v>
      </c>
      <c r="H157" s="2">
        <v>17.899999999999999</v>
      </c>
      <c r="I157" s="3">
        <v>719</v>
      </c>
      <c r="J157" s="4">
        <v>324</v>
      </c>
      <c r="K157" s="4">
        <v>624</v>
      </c>
      <c r="L157" s="3">
        <v>51.9</v>
      </c>
      <c r="M157" s="4">
        <v>16</v>
      </c>
      <c r="N157" s="4">
        <v>47</v>
      </c>
      <c r="O157" s="3">
        <v>30.6</v>
      </c>
      <c r="P157" s="3">
        <v>55</v>
      </c>
      <c r="Q157" s="3">
        <v>79</v>
      </c>
      <c r="R157" s="3">
        <v>74</v>
      </c>
      <c r="S157" s="4">
        <v>47</v>
      </c>
      <c r="T157" s="4">
        <v>150</v>
      </c>
      <c r="U157" s="4">
        <v>190</v>
      </c>
      <c r="V157" s="4">
        <v>348</v>
      </c>
      <c r="W157" s="4">
        <v>111</v>
      </c>
      <c r="X157" s="4">
        <v>87</v>
      </c>
      <c r="Y157" s="4">
        <v>24</v>
      </c>
      <c r="Z157" s="4">
        <v>79</v>
      </c>
      <c r="AA157" s="3">
        <v>1683</v>
      </c>
      <c r="AB157" s="3">
        <v>2</v>
      </c>
      <c r="AC157" s="3">
        <v>0</v>
      </c>
      <c r="AD157" s="2">
        <v>-0.7</v>
      </c>
      <c r="AE157" s="2">
        <v>111.1</v>
      </c>
      <c r="AF157" s="2">
        <v>113.8</v>
      </c>
      <c r="AG157" s="2">
        <v>-2.7</v>
      </c>
      <c r="AH157" s="2">
        <v>35.9</v>
      </c>
      <c r="AI157" s="2">
        <v>3.22</v>
      </c>
      <c r="AJ157" s="2">
        <v>31.3</v>
      </c>
      <c r="AK157" s="2">
        <v>3.2</v>
      </c>
      <c r="AL157" s="2">
        <v>10.4</v>
      </c>
      <c r="AM157" s="2">
        <v>6.9</v>
      </c>
      <c r="AN157" s="2">
        <v>9.6999999999999993</v>
      </c>
      <c r="AO157" s="2">
        <v>53.1</v>
      </c>
      <c r="AP157" s="2">
        <v>54.7</v>
      </c>
      <c r="AQ157" s="2">
        <v>22.6</v>
      </c>
      <c r="AR157" s="2">
        <v>103.69</v>
      </c>
      <c r="AS157" s="2">
        <v>12.9</v>
      </c>
      <c r="AT157" s="2">
        <v>3069</v>
      </c>
      <c r="AU157" s="53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6"/>
    </row>
    <row r="158" spans="1:69" ht="13.2">
      <c r="A158" s="1" t="s">
        <v>338</v>
      </c>
      <c r="B158" s="1" t="s">
        <v>339</v>
      </c>
      <c r="C158" s="24" t="str">
        <f>VLOOKUP(B158,Equipe!$A$1:$B$31,2,FALSE)</f>
        <v>Golden State Warriors</v>
      </c>
      <c r="D158" s="2">
        <v>22</v>
      </c>
      <c r="E158" s="2">
        <v>47</v>
      </c>
      <c r="F158" s="2">
        <v>28</v>
      </c>
      <c r="G158" s="2">
        <v>19</v>
      </c>
      <c r="H158" s="2">
        <v>24.3</v>
      </c>
      <c r="I158" s="3">
        <v>719</v>
      </c>
      <c r="J158" s="4">
        <v>259</v>
      </c>
      <c r="K158" s="4">
        <v>569</v>
      </c>
      <c r="L158" s="3">
        <v>45.4</v>
      </c>
      <c r="M158" s="4">
        <v>47</v>
      </c>
      <c r="N158" s="4">
        <v>150</v>
      </c>
      <c r="O158" s="3">
        <v>30.5</v>
      </c>
      <c r="P158" s="3">
        <v>155</v>
      </c>
      <c r="Q158" s="3">
        <v>235</v>
      </c>
      <c r="R158" s="3">
        <v>66.8</v>
      </c>
      <c r="S158" s="4">
        <v>56</v>
      </c>
      <c r="T158" s="4">
        <v>160</v>
      </c>
      <c r="U158" s="4">
        <v>216</v>
      </c>
      <c r="V158" s="4">
        <v>103</v>
      </c>
      <c r="W158" s="4">
        <v>71</v>
      </c>
      <c r="X158" s="4">
        <v>38</v>
      </c>
      <c r="Y158" s="4">
        <v>19</v>
      </c>
      <c r="Z158" s="4">
        <v>89</v>
      </c>
      <c r="AA158" s="3">
        <v>1241</v>
      </c>
      <c r="AB158" s="3">
        <v>2</v>
      </c>
      <c r="AC158" s="3">
        <v>0</v>
      </c>
      <c r="AD158" s="2">
        <v>0.2</v>
      </c>
      <c r="AE158" s="2">
        <v>110</v>
      </c>
      <c r="AF158" s="2">
        <v>108.9</v>
      </c>
      <c r="AG158" s="2">
        <v>1</v>
      </c>
      <c r="AH158" s="2">
        <v>15.1</v>
      </c>
      <c r="AI158" s="2">
        <v>1.46</v>
      </c>
      <c r="AJ158" s="2">
        <v>12.2</v>
      </c>
      <c r="AK158" s="2">
        <v>4.5</v>
      </c>
      <c r="AL158" s="2">
        <v>13.4</v>
      </c>
      <c r="AM158" s="2">
        <v>8.8000000000000007</v>
      </c>
      <c r="AN158" s="2">
        <v>8.3000000000000007</v>
      </c>
      <c r="AO158" s="2">
        <v>49.5</v>
      </c>
      <c r="AP158" s="2">
        <v>53.5</v>
      </c>
      <c r="AQ158" s="2">
        <v>27.1</v>
      </c>
      <c r="AR158" s="2">
        <v>100.21</v>
      </c>
      <c r="AS158" s="2">
        <v>11</v>
      </c>
      <c r="AT158" s="2">
        <v>2381</v>
      </c>
      <c r="AU158" s="53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6"/>
    </row>
    <row r="159" spans="1:69" ht="13.2">
      <c r="A159" s="1" t="s">
        <v>342</v>
      </c>
      <c r="B159" s="1" t="s">
        <v>343</v>
      </c>
      <c r="C159" s="24" t="str">
        <f>VLOOKUP(B159,Equipe!$A$1:$B$31,2,FALSE)</f>
        <v>Oklahoma City Thunder</v>
      </c>
      <c r="D159" s="2">
        <v>26</v>
      </c>
      <c r="E159" s="2">
        <v>71</v>
      </c>
      <c r="F159" s="2">
        <v>57</v>
      </c>
      <c r="G159" s="2">
        <v>14</v>
      </c>
      <c r="H159" s="2">
        <v>29.2</v>
      </c>
      <c r="I159" s="3">
        <v>717</v>
      </c>
      <c r="J159" s="4">
        <v>256</v>
      </c>
      <c r="K159" s="4">
        <v>596</v>
      </c>
      <c r="L159" s="3">
        <v>43.5</v>
      </c>
      <c r="M159" s="4">
        <v>170</v>
      </c>
      <c r="N159" s="4">
        <v>412</v>
      </c>
      <c r="O159" s="3">
        <v>41.2</v>
      </c>
      <c r="P159" s="3">
        <v>36</v>
      </c>
      <c r="Q159" s="3">
        <v>43</v>
      </c>
      <c r="R159" s="3">
        <v>71.7</v>
      </c>
      <c r="S159" s="4">
        <v>92</v>
      </c>
      <c r="T159" s="4">
        <v>206</v>
      </c>
      <c r="U159" s="4">
        <v>291</v>
      </c>
      <c r="V159" s="4">
        <v>114</v>
      </c>
      <c r="W159" s="4">
        <v>50</v>
      </c>
      <c r="X159" s="4">
        <v>78</v>
      </c>
      <c r="Y159" s="4">
        <v>36</v>
      </c>
      <c r="Z159" s="4">
        <v>206</v>
      </c>
      <c r="AA159" s="3">
        <v>1548</v>
      </c>
      <c r="AB159" s="3">
        <v>0</v>
      </c>
      <c r="AC159" s="3">
        <v>0</v>
      </c>
      <c r="AD159" s="2">
        <v>7.7</v>
      </c>
      <c r="AE159" s="2">
        <v>120.4</v>
      </c>
      <c r="AF159" s="2">
        <v>107.3</v>
      </c>
      <c r="AG159" s="2">
        <v>13.1</v>
      </c>
      <c r="AH159" s="2">
        <v>6.7</v>
      </c>
      <c r="AI159" s="2">
        <v>2.25</v>
      </c>
      <c r="AJ159" s="2">
        <v>14.8</v>
      </c>
      <c r="AK159" s="2">
        <v>4.0999999999999996</v>
      </c>
      <c r="AL159" s="2">
        <v>9.3000000000000007</v>
      </c>
      <c r="AM159" s="2">
        <v>6.7</v>
      </c>
      <c r="AN159" s="2">
        <v>6.6</v>
      </c>
      <c r="AO159" s="2">
        <v>57.8</v>
      </c>
      <c r="AP159" s="2">
        <v>58.6</v>
      </c>
      <c r="AQ159" s="2">
        <v>13.3</v>
      </c>
      <c r="AR159" s="2">
        <v>101.75</v>
      </c>
      <c r="AS159" s="2">
        <v>6.3</v>
      </c>
      <c r="AT159" s="2">
        <v>4383</v>
      </c>
      <c r="AU159" s="53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6"/>
    </row>
    <row r="160" spans="1:69" ht="13.2">
      <c r="A160" s="1" t="s">
        <v>344</v>
      </c>
      <c r="B160" s="1" t="s">
        <v>345</v>
      </c>
      <c r="C160" s="24" t="str">
        <f>VLOOKUP(B160,Equipe!$A$1:$B$31,2,FALSE)</f>
        <v>Los Angeles Lakers</v>
      </c>
      <c r="D160" s="2">
        <v>24</v>
      </c>
      <c r="E160" s="2">
        <v>78</v>
      </c>
      <c r="F160" s="2">
        <v>47</v>
      </c>
      <c r="G160" s="2">
        <v>31</v>
      </c>
      <c r="H160" s="2">
        <v>19.2</v>
      </c>
      <c r="I160" s="3">
        <v>710</v>
      </c>
      <c r="J160" s="4">
        <v>257</v>
      </c>
      <c r="K160" s="4">
        <v>554</v>
      </c>
      <c r="L160" s="3">
        <v>46.1</v>
      </c>
      <c r="M160" s="4">
        <v>125</v>
      </c>
      <c r="N160" s="4">
        <v>343</v>
      </c>
      <c r="O160" s="3">
        <v>37.6</v>
      </c>
      <c r="P160" s="3">
        <v>62</v>
      </c>
      <c r="Q160" s="3">
        <v>86</v>
      </c>
      <c r="R160" s="3">
        <v>76.2</v>
      </c>
      <c r="S160" s="4">
        <v>39</v>
      </c>
      <c r="T160" s="4">
        <v>179</v>
      </c>
      <c r="U160" s="4">
        <v>218</v>
      </c>
      <c r="V160" s="4">
        <v>62</v>
      </c>
      <c r="W160" s="4">
        <v>39</v>
      </c>
      <c r="X160" s="4">
        <v>23</v>
      </c>
      <c r="Y160" s="4">
        <v>8</v>
      </c>
      <c r="Z160" s="4">
        <v>94</v>
      </c>
      <c r="AA160" s="3">
        <v>1123</v>
      </c>
      <c r="AB160" s="3">
        <v>0</v>
      </c>
      <c r="AC160" s="3">
        <v>0</v>
      </c>
      <c r="AD160" s="2">
        <v>-0.9</v>
      </c>
      <c r="AE160" s="2">
        <v>112.2</v>
      </c>
      <c r="AF160" s="2">
        <v>114.9</v>
      </c>
      <c r="AG160" s="2">
        <v>-2.8</v>
      </c>
      <c r="AH160" s="2">
        <v>6.7</v>
      </c>
      <c r="AI160" s="2">
        <v>1.78</v>
      </c>
      <c r="AJ160" s="2">
        <v>9.5</v>
      </c>
      <c r="AK160" s="2">
        <v>2.6</v>
      </c>
      <c r="AL160" s="2">
        <v>11.6</v>
      </c>
      <c r="AM160" s="2">
        <v>7.3</v>
      </c>
      <c r="AN160" s="2">
        <v>5.3</v>
      </c>
      <c r="AO160" s="2">
        <v>57.6</v>
      </c>
      <c r="AP160" s="2">
        <v>59.4</v>
      </c>
      <c r="AQ160" s="2">
        <v>18.100000000000001</v>
      </c>
      <c r="AR160" s="2">
        <v>98.26</v>
      </c>
      <c r="AS160" s="2">
        <v>8.6999999999999993</v>
      </c>
      <c r="AT160" s="2">
        <v>3063</v>
      </c>
      <c r="AU160" s="53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6"/>
    </row>
    <row r="161" spans="1:69" ht="13.2">
      <c r="A161" s="1" t="s">
        <v>346</v>
      </c>
      <c r="B161" s="1" t="s">
        <v>347</v>
      </c>
      <c r="C161" s="24" t="str">
        <f>VLOOKUP(B161,Equipe!$A$1:$B$31,2,FALSE)</f>
        <v>Washington Wizards</v>
      </c>
      <c r="D161" s="2">
        <v>26</v>
      </c>
      <c r="E161" s="2">
        <v>61</v>
      </c>
      <c r="F161" s="2">
        <v>14</v>
      </c>
      <c r="G161" s="2">
        <v>47</v>
      </c>
      <c r="H161" s="2">
        <v>26.3</v>
      </c>
      <c r="I161" s="3">
        <v>708</v>
      </c>
      <c r="J161" s="4">
        <v>256</v>
      </c>
      <c r="K161" s="4">
        <v>567</v>
      </c>
      <c r="L161" s="3">
        <v>45.1</v>
      </c>
      <c r="M161" s="4">
        <v>122</v>
      </c>
      <c r="N161" s="4">
        <v>329</v>
      </c>
      <c r="O161" s="3">
        <v>36.4</v>
      </c>
      <c r="P161" s="3">
        <v>73</v>
      </c>
      <c r="Q161" s="3">
        <v>85</v>
      </c>
      <c r="R161" s="3">
        <v>85.2</v>
      </c>
      <c r="S161" s="4">
        <v>37</v>
      </c>
      <c r="T161" s="4">
        <v>146</v>
      </c>
      <c r="U161" s="4">
        <v>183</v>
      </c>
      <c r="V161" s="4">
        <v>104</v>
      </c>
      <c r="W161" s="4">
        <v>61</v>
      </c>
      <c r="X161" s="4">
        <v>24</v>
      </c>
      <c r="Y161" s="4">
        <v>12</v>
      </c>
      <c r="Z161" s="4">
        <v>98</v>
      </c>
      <c r="AA161" s="3">
        <v>1135</v>
      </c>
      <c r="AB161" s="3">
        <v>0</v>
      </c>
      <c r="AC161" s="3">
        <v>0</v>
      </c>
      <c r="AD161" s="2">
        <v>-4.5</v>
      </c>
      <c r="AE161" s="2">
        <v>108.7</v>
      </c>
      <c r="AF161" s="2">
        <v>117.1</v>
      </c>
      <c r="AG161" s="2">
        <v>-8.5</v>
      </c>
      <c r="AH161" s="2">
        <v>9.4</v>
      </c>
      <c r="AI161" s="2">
        <v>1.61</v>
      </c>
      <c r="AJ161" s="2">
        <v>13.4</v>
      </c>
      <c r="AK161" s="2">
        <v>2.1</v>
      </c>
      <c r="AL161" s="2">
        <v>8.4</v>
      </c>
      <c r="AM161" s="2">
        <v>5.3</v>
      </c>
      <c r="AN161" s="2">
        <v>8.3000000000000007</v>
      </c>
      <c r="AO161" s="2">
        <v>55.8</v>
      </c>
      <c r="AP161" s="2">
        <v>58.4</v>
      </c>
      <c r="AQ161" s="2">
        <v>16.899999999999999</v>
      </c>
      <c r="AR161" s="2">
        <v>102.68</v>
      </c>
      <c r="AS161" s="2">
        <v>7.4</v>
      </c>
      <c r="AT161" s="2">
        <v>3433</v>
      </c>
      <c r="AU161" s="53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6"/>
    </row>
    <row r="162" spans="1:69" ht="13.2">
      <c r="A162" s="1" t="s">
        <v>348</v>
      </c>
      <c r="B162" s="1" t="s">
        <v>349</v>
      </c>
      <c r="C162" s="24" t="str">
        <f>VLOOKUP(B162,Equipe!$A$1:$B$31,2,FALSE)</f>
        <v>Dallas Mavericks</v>
      </c>
      <c r="D162" s="2">
        <v>26</v>
      </c>
      <c r="E162" s="2">
        <v>57</v>
      </c>
      <c r="F162" s="2">
        <v>28</v>
      </c>
      <c r="G162" s="2">
        <v>29</v>
      </c>
      <c r="H162" s="2">
        <v>21.5</v>
      </c>
      <c r="I162" s="3">
        <v>701</v>
      </c>
      <c r="J162" s="4">
        <v>285</v>
      </c>
      <c r="K162" s="4">
        <v>405</v>
      </c>
      <c r="L162" s="3">
        <v>70.2</v>
      </c>
      <c r="M162" s="3">
        <v>0</v>
      </c>
      <c r="N162" s="3">
        <v>0</v>
      </c>
      <c r="O162" s="3">
        <v>0</v>
      </c>
      <c r="P162" s="3">
        <v>137</v>
      </c>
      <c r="Q162" s="3">
        <v>194</v>
      </c>
      <c r="R162" s="3">
        <v>68.900000000000006</v>
      </c>
      <c r="S162" s="4">
        <v>154</v>
      </c>
      <c r="T162" s="4">
        <v>234</v>
      </c>
      <c r="U162" s="4">
        <v>388</v>
      </c>
      <c r="V162" s="4">
        <v>80</v>
      </c>
      <c r="W162" s="4">
        <v>68</v>
      </c>
      <c r="X162" s="4">
        <v>23</v>
      </c>
      <c r="Y162" s="4">
        <v>103</v>
      </c>
      <c r="Z162" s="4">
        <v>154</v>
      </c>
      <c r="AA162" s="3">
        <v>1596</v>
      </c>
      <c r="AB162" s="3">
        <v>8</v>
      </c>
      <c r="AC162" s="3">
        <v>0</v>
      </c>
      <c r="AD162" s="2">
        <v>0.6</v>
      </c>
      <c r="AE162" s="2">
        <v>114.9</v>
      </c>
      <c r="AF162" s="2">
        <v>113.4</v>
      </c>
      <c r="AG162" s="2">
        <v>1.5</v>
      </c>
      <c r="AH162" s="2">
        <v>9.6999999999999993</v>
      </c>
      <c r="AI162" s="2">
        <v>1.21</v>
      </c>
      <c r="AJ162" s="2">
        <v>12.7</v>
      </c>
      <c r="AK162" s="2">
        <v>12.7</v>
      </c>
      <c r="AL162" s="2">
        <v>16.8</v>
      </c>
      <c r="AM162" s="2">
        <v>14.9</v>
      </c>
      <c r="AN162" s="2">
        <v>10.4</v>
      </c>
      <c r="AO162" s="2">
        <v>70.2</v>
      </c>
      <c r="AP162" s="2">
        <v>71.599999999999994</v>
      </c>
      <c r="AQ162" s="2">
        <v>18.600000000000001</v>
      </c>
      <c r="AR162" s="2">
        <v>101.73</v>
      </c>
      <c r="AS162" s="2">
        <v>14.1</v>
      </c>
      <c r="AT162" s="2">
        <v>2597</v>
      </c>
      <c r="AU162" s="53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6"/>
    </row>
    <row r="163" spans="1:69" ht="13.2">
      <c r="A163" s="1" t="s">
        <v>350</v>
      </c>
      <c r="B163" s="1" t="s">
        <v>351</v>
      </c>
      <c r="C163" s="24" t="str">
        <f>VLOOKUP(B163,Equipe!$A$1:$B$31,2,FALSE)</f>
        <v>Los Angeles Clippers</v>
      </c>
      <c r="D163" s="2">
        <v>27</v>
      </c>
      <c r="E163" s="2">
        <v>72</v>
      </c>
      <c r="F163" s="2">
        <v>41</v>
      </c>
      <c r="G163" s="2">
        <v>31</v>
      </c>
      <c r="H163" s="2">
        <v>24.3</v>
      </c>
      <c r="I163" s="3">
        <v>698</v>
      </c>
      <c r="J163" s="4">
        <v>238</v>
      </c>
      <c r="K163" s="4">
        <v>511</v>
      </c>
      <c r="L163" s="3">
        <v>47.1</v>
      </c>
      <c r="M163" s="4">
        <v>101</v>
      </c>
      <c r="N163" s="4">
        <v>245</v>
      </c>
      <c r="O163" s="3">
        <v>40.9</v>
      </c>
      <c r="P163" s="3">
        <v>115</v>
      </c>
      <c r="Q163" s="3">
        <v>130</v>
      </c>
      <c r="R163" s="3">
        <v>89.1</v>
      </c>
      <c r="S163" s="4">
        <v>29</v>
      </c>
      <c r="T163" s="4">
        <v>130</v>
      </c>
      <c r="U163" s="4">
        <v>158</v>
      </c>
      <c r="V163" s="4">
        <v>79</v>
      </c>
      <c r="W163" s="4">
        <v>43</v>
      </c>
      <c r="X163" s="4">
        <v>43</v>
      </c>
      <c r="Y163" s="4">
        <v>7</v>
      </c>
      <c r="Z163" s="4">
        <v>122</v>
      </c>
      <c r="AA163" s="3">
        <v>1102</v>
      </c>
      <c r="AB163" s="3">
        <v>0</v>
      </c>
      <c r="AC163" s="3">
        <v>0</v>
      </c>
      <c r="AD163" s="2">
        <v>-0.9</v>
      </c>
      <c r="AE163" s="2">
        <v>109.1</v>
      </c>
      <c r="AF163" s="2">
        <v>110.6</v>
      </c>
      <c r="AG163" s="2">
        <v>-1.4</v>
      </c>
      <c r="AH163" s="2">
        <v>6.5</v>
      </c>
      <c r="AI163" s="2">
        <v>1.71</v>
      </c>
      <c r="AJ163" s="2">
        <v>11.2</v>
      </c>
      <c r="AK163" s="2">
        <v>1.9</v>
      </c>
      <c r="AL163" s="2">
        <v>7.2</v>
      </c>
      <c r="AM163" s="2">
        <v>4.5999999999999996</v>
      </c>
      <c r="AN163" s="2">
        <v>6.6</v>
      </c>
      <c r="AO163" s="2">
        <v>57</v>
      </c>
      <c r="AP163" s="2">
        <v>61.4</v>
      </c>
      <c r="AQ163" s="2">
        <v>15</v>
      </c>
      <c r="AR163" s="2">
        <v>99.23</v>
      </c>
      <c r="AS163" s="2">
        <v>7.2</v>
      </c>
      <c r="AT163" s="2">
        <v>3606</v>
      </c>
      <c r="AU163" s="53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6"/>
    </row>
    <row r="164" spans="1:69" ht="13.2">
      <c r="A164" s="8" t="s">
        <v>352</v>
      </c>
      <c r="B164" s="1" t="s">
        <v>353</v>
      </c>
      <c r="C164" s="24" t="str">
        <f>VLOOKUP(B164,Equipe!$A$1:$B$31,2,FALSE)</f>
        <v>Houston Rockets</v>
      </c>
      <c r="D164" s="2">
        <v>22</v>
      </c>
      <c r="E164" s="2">
        <v>57</v>
      </c>
      <c r="F164" s="2">
        <v>40</v>
      </c>
      <c r="G164" s="2">
        <v>17</v>
      </c>
      <c r="H164" s="2">
        <v>30.1</v>
      </c>
      <c r="I164" s="3">
        <v>695</v>
      </c>
      <c r="J164" s="4">
        <v>251</v>
      </c>
      <c r="K164" s="4">
        <v>564</v>
      </c>
      <c r="L164" s="3">
        <v>43.8</v>
      </c>
      <c r="M164" s="4">
        <v>97</v>
      </c>
      <c r="N164" s="4">
        <v>279</v>
      </c>
      <c r="O164" s="3">
        <v>35.4</v>
      </c>
      <c r="P164" s="3">
        <v>103</v>
      </c>
      <c r="Q164" s="3">
        <v>125</v>
      </c>
      <c r="R164" s="3">
        <v>82.5</v>
      </c>
      <c r="S164" s="4">
        <v>103</v>
      </c>
      <c r="T164" s="4">
        <v>296</v>
      </c>
      <c r="U164" s="4">
        <v>399</v>
      </c>
      <c r="V164" s="4">
        <v>63</v>
      </c>
      <c r="W164" s="4">
        <v>63</v>
      </c>
      <c r="X164" s="4">
        <v>23</v>
      </c>
      <c r="Y164" s="4">
        <v>40</v>
      </c>
      <c r="Z164" s="4">
        <v>125</v>
      </c>
      <c r="AA164" s="3">
        <v>1402</v>
      </c>
      <c r="AB164" s="3">
        <v>8</v>
      </c>
      <c r="AC164" s="3">
        <v>0</v>
      </c>
      <c r="AD164" s="2">
        <v>4.4000000000000004</v>
      </c>
      <c r="AE164" s="2">
        <v>113.4</v>
      </c>
      <c r="AF164" s="2">
        <v>106.1</v>
      </c>
      <c r="AG164" s="2">
        <v>7.3</v>
      </c>
      <c r="AH164" s="2">
        <v>4.8</v>
      </c>
      <c r="AI164" s="2">
        <v>0.98</v>
      </c>
      <c r="AJ164" s="2">
        <v>8.1</v>
      </c>
      <c r="AK164" s="2">
        <v>5.5</v>
      </c>
      <c r="AL164" s="2">
        <v>16.2</v>
      </c>
      <c r="AM164" s="2">
        <v>10.7</v>
      </c>
      <c r="AN164" s="2">
        <v>8.1999999999999993</v>
      </c>
      <c r="AO164" s="2">
        <v>52.5</v>
      </c>
      <c r="AP164" s="2">
        <v>56.2</v>
      </c>
      <c r="AQ164" s="2">
        <v>16</v>
      </c>
      <c r="AR164" s="2">
        <v>100</v>
      </c>
      <c r="AS164" s="2">
        <v>9.3000000000000007</v>
      </c>
      <c r="AT164" s="2">
        <v>3569</v>
      </c>
      <c r="AU164" s="53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6"/>
    </row>
    <row r="165" spans="1:69" ht="13.2">
      <c r="A165" s="1" t="s">
        <v>354</v>
      </c>
      <c r="B165" s="1" t="s">
        <v>355</v>
      </c>
      <c r="C165" s="24" t="str">
        <f>VLOOKUP(B165,Equipe!$A$1:$B$31,2,FALSE)</f>
        <v>Utah Jazz</v>
      </c>
      <c r="D165" s="2">
        <v>21</v>
      </c>
      <c r="E165" s="2">
        <v>72</v>
      </c>
      <c r="F165" s="2">
        <v>13</v>
      </c>
      <c r="G165" s="2">
        <v>59</v>
      </c>
      <c r="H165" s="2">
        <v>21.1</v>
      </c>
      <c r="I165" s="3">
        <v>691</v>
      </c>
      <c r="J165" s="4">
        <v>259</v>
      </c>
      <c r="K165" s="4">
        <v>518</v>
      </c>
      <c r="L165" s="3">
        <v>50.2</v>
      </c>
      <c r="M165" s="4">
        <v>79</v>
      </c>
      <c r="N165" s="4">
        <v>223</v>
      </c>
      <c r="O165" s="3">
        <v>35</v>
      </c>
      <c r="P165" s="3">
        <v>94</v>
      </c>
      <c r="Q165" s="3">
        <v>144</v>
      </c>
      <c r="R165" s="3">
        <v>65</v>
      </c>
      <c r="S165" s="4">
        <v>115</v>
      </c>
      <c r="T165" s="4">
        <v>331</v>
      </c>
      <c r="U165" s="4">
        <v>439</v>
      </c>
      <c r="V165" s="4">
        <v>137</v>
      </c>
      <c r="W165" s="4">
        <v>101</v>
      </c>
      <c r="X165" s="4">
        <v>50</v>
      </c>
      <c r="Y165" s="4">
        <v>22</v>
      </c>
      <c r="Z165" s="4">
        <v>173</v>
      </c>
      <c r="AA165" s="3">
        <v>1534</v>
      </c>
      <c r="AB165" s="3">
        <v>13</v>
      </c>
      <c r="AC165" s="3">
        <v>0</v>
      </c>
      <c r="AD165" s="2">
        <v>-5.0999999999999996</v>
      </c>
      <c r="AE165" s="2">
        <v>107.7</v>
      </c>
      <c r="AF165" s="2">
        <v>118.9</v>
      </c>
      <c r="AG165" s="2">
        <v>-11.3</v>
      </c>
      <c r="AH165" s="2">
        <v>14</v>
      </c>
      <c r="AI165" s="2">
        <v>1.37</v>
      </c>
      <c r="AJ165" s="2">
        <v>17</v>
      </c>
      <c r="AK165" s="2">
        <v>7</v>
      </c>
      <c r="AL165" s="2">
        <v>21.3</v>
      </c>
      <c r="AM165" s="2">
        <v>14</v>
      </c>
      <c r="AN165" s="2">
        <v>12.4</v>
      </c>
      <c r="AO165" s="2">
        <v>57.6</v>
      </c>
      <c r="AP165" s="2">
        <v>59.4</v>
      </c>
      <c r="AQ165" s="2">
        <v>18.399999999999999</v>
      </c>
      <c r="AR165" s="2">
        <v>102.46</v>
      </c>
      <c r="AS165" s="2">
        <v>10.3</v>
      </c>
      <c r="AT165" s="2">
        <v>3248</v>
      </c>
      <c r="AU165" s="53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6"/>
    </row>
    <row r="166" spans="1:69" ht="13.2">
      <c r="A166" s="1" t="s">
        <v>356</v>
      </c>
      <c r="B166" s="1" t="s">
        <v>357</v>
      </c>
      <c r="C166" s="24" t="str">
        <f>VLOOKUP(B166,Equipe!$A$1:$B$31,2,FALSE)</f>
        <v>Boston Celtics</v>
      </c>
      <c r="D166" s="2">
        <v>34</v>
      </c>
      <c r="E166" s="2">
        <v>62</v>
      </c>
      <c r="F166" s="2">
        <v>47</v>
      </c>
      <c r="G166" s="2">
        <v>15</v>
      </c>
      <c r="H166" s="2">
        <v>30.6</v>
      </c>
      <c r="I166" s="3">
        <v>688</v>
      </c>
      <c r="J166" s="4">
        <v>254</v>
      </c>
      <c r="K166" s="4">
        <v>570</v>
      </c>
      <c r="L166" s="3">
        <v>44.3</v>
      </c>
      <c r="M166" s="4">
        <v>105</v>
      </c>
      <c r="N166" s="4">
        <v>304</v>
      </c>
      <c r="O166" s="3">
        <v>35.299999999999997</v>
      </c>
      <c r="P166" s="3">
        <v>68</v>
      </c>
      <c r="Q166" s="3">
        <v>74</v>
      </c>
      <c r="R166" s="3">
        <v>90.9</v>
      </c>
      <c r="S166" s="4">
        <v>74</v>
      </c>
      <c r="T166" s="4">
        <v>186</v>
      </c>
      <c r="U166" s="4">
        <v>267</v>
      </c>
      <c r="V166" s="4">
        <v>242</v>
      </c>
      <c r="W166" s="4">
        <v>74</v>
      </c>
      <c r="X166" s="4">
        <v>68</v>
      </c>
      <c r="Y166" s="4">
        <v>25</v>
      </c>
      <c r="Z166" s="4">
        <v>99</v>
      </c>
      <c r="AA166" s="3">
        <v>1562</v>
      </c>
      <c r="AB166" s="3">
        <v>1</v>
      </c>
      <c r="AC166" s="3">
        <v>0</v>
      </c>
      <c r="AD166" s="2">
        <v>5.5</v>
      </c>
      <c r="AE166" s="2">
        <v>116.6</v>
      </c>
      <c r="AF166" s="2">
        <v>107.7</v>
      </c>
      <c r="AG166" s="2">
        <v>8.9</v>
      </c>
      <c r="AH166" s="2">
        <v>17.399999999999999</v>
      </c>
      <c r="AI166" s="2">
        <v>3.1</v>
      </c>
      <c r="AJ166" s="2">
        <v>25.9</v>
      </c>
      <c r="AK166" s="2">
        <v>3.8</v>
      </c>
      <c r="AL166" s="2">
        <v>9.1</v>
      </c>
      <c r="AM166" s="2">
        <v>6.5</v>
      </c>
      <c r="AN166" s="2">
        <v>8.3000000000000007</v>
      </c>
      <c r="AO166" s="2">
        <v>53.8</v>
      </c>
      <c r="AP166" s="2">
        <v>56.5</v>
      </c>
      <c r="AQ166" s="2">
        <v>15.6</v>
      </c>
      <c r="AR166" s="2">
        <v>99.38</v>
      </c>
      <c r="AS166" s="2">
        <v>8.8000000000000007</v>
      </c>
      <c r="AT166" s="2">
        <v>3921</v>
      </c>
      <c r="AU166" s="53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6"/>
    </row>
    <row r="167" spans="1:69" ht="13.2">
      <c r="A167" s="1" t="s">
        <v>358</v>
      </c>
      <c r="B167" s="1" t="s">
        <v>359</v>
      </c>
      <c r="C167" s="24" t="str">
        <f>VLOOKUP(B167,Equipe!$A$1:$B$31,2,FALSE)</f>
        <v>Chicago Bulls</v>
      </c>
      <c r="D167" s="2">
        <v>20</v>
      </c>
      <c r="E167" s="2">
        <v>80</v>
      </c>
      <c r="F167" s="2">
        <v>39</v>
      </c>
      <c r="G167" s="2">
        <v>41</v>
      </c>
      <c r="H167" s="2">
        <v>18.899999999999999</v>
      </c>
      <c r="I167" s="3">
        <v>688</v>
      </c>
      <c r="J167" s="4">
        <v>256</v>
      </c>
      <c r="K167" s="4">
        <v>552</v>
      </c>
      <c r="L167" s="3">
        <v>45.4</v>
      </c>
      <c r="M167" s="4">
        <v>96</v>
      </c>
      <c r="N167" s="4">
        <v>264</v>
      </c>
      <c r="O167" s="3">
        <v>36.1</v>
      </c>
      <c r="P167" s="3">
        <v>88</v>
      </c>
      <c r="Q167" s="3">
        <v>112</v>
      </c>
      <c r="R167" s="3">
        <v>81.5</v>
      </c>
      <c r="S167" s="4">
        <v>56</v>
      </c>
      <c r="T167" s="4">
        <v>224</v>
      </c>
      <c r="U167" s="4">
        <v>280</v>
      </c>
      <c r="V167" s="4">
        <v>80</v>
      </c>
      <c r="W167" s="4">
        <v>72</v>
      </c>
      <c r="X167" s="4">
        <v>32</v>
      </c>
      <c r="Y167" s="4">
        <v>72</v>
      </c>
      <c r="Z167" s="4">
        <v>128</v>
      </c>
      <c r="AA167" s="3">
        <v>1376</v>
      </c>
      <c r="AB167" s="3">
        <v>1</v>
      </c>
      <c r="AC167" s="3">
        <v>0</v>
      </c>
      <c r="AD167" s="2">
        <v>-0.4</v>
      </c>
      <c r="AE167" s="2">
        <v>110.4</v>
      </c>
      <c r="AF167" s="2">
        <v>112.1</v>
      </c>
      <c r="AG167" s="2">
        <v>-1.7</v>
      </c>
      <c r="AH167" s="2">
        <v>7.2</v>
      </c>
      <c r="AI167" s="2">
        <v>1.07</v>
      </c>
      <c r="AJ167" s="2">
        <v>10.4</v>
      </c>
      <c r="AK167" s="2">
        <v>3.5</v>
      </c>
      <c r="AL167" s="2">
        <v>13.3</v>
      </c>
      <c r="AM167" s="2">
        <v>8.5</v>
      </c>
      <c r="AN167" s="2">
        <v>9.8000000000000007</v>
      </c>
      <c r="AO167" s="2">
        <v>54.1</v>
      </c>
      <c r="AP167" s="2">
        <v>57.1</v>
      </c>
      <c r="AQ167" s="2">
        <v>18.100000000000001</v>
      </c>
      <c r="AR167" s="2">
        <v>105.38</v>
      </c>
      <c r="AS167" s="2">
        <v>7.9</v>
      </c>
      <c r="AT167" s="2">
        <v>3328</v>
      </c>
      <c r="AU167" s="53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6"/>
    </row>
    <row r="168" spans="1:69" ht="13.2">
      <c r="A168" s="1" t="s">
        <v>360</v>
      </c>
      <c r="B168" s="1" t="s">
        <v>361</v>
      </c>
      <c r="C168" s="24" t="str">
        <f>VLOOKUP(B168,Equipe!$A$1:$B$31,2,FALSE)</f>
        <v>Houston Rockets</v>
      </c>
      <c r="D168" s="2">
        <v>24</v>
      </c>
      <c r="E168" s="2">
        <v>57</v>
      </c>
      <c r="F168" s="2">
        <v>36</v>
      </c>
      <c r="G168" s="2">
        <v>21</v>
      </c>
      <c r="H168" s="2">
        <v>24.9</v>
      </c>
      <c r="I168" s="3">
        <v>684</v>
      </c>
      <c r="J168" s="4">
        <v>274</v>
      </c>
      <c r="K168" s="4">
        <v>559</v>
      </c>
      <c r="L168" s="3">
        <v>48.7</v>
      </c>
      <c r="M168" s="4">
        <v>63</v>
      </c>
      <c r="N168" s="4">
        <v>182</v>
      </c>
      <c r="O168" s="3">
        <v>34.200000000000003</v>
      </c>
      <c r="P168" s="3">
        <v>80</v>
      </c>
      <c r="Q168" s="3">
        <v>103</v>
      </c>
      <c r="R168" s="3">
        <v>76</v>
      </c>
      <c r="S168" s="4">
        <v>125</v>
      </c>
      <c r="T168" s="4">
        <v>234</v>
      </c>
      <c r="U168" s="4">
        <v>365</v>
      </c>
      <c r="V168" s="4">
        <v>86</v>
      </c>
      <c r="W168" s="4">
        <v>63</v>
      </c>
      <c r="X168" s="4">
        <v>97</v>
      </c>
      <c r="Y168" s="4">
        <v>51</v>
      </c>
      <c r="Z168" s="4">
        <v>137</v>
      </c>
      <c r="AA168" s="3">
        <v>1619</v>
      </c>
      <c r="AB168" s="3">
        <v>6</v>
      </c>
      <c r="AC168" s="3">
        <v>0</v>
      </c>
      <c r="AD168" s="2">
        <v>2.5</v>
      </c>
      <c r="AE168" s="2">
        <v>114.8</v>
      </c>
      <c r="AF168" s="2">
        <v>109.2</v>
      </c>
      <c r="AG168" s="2">
        <v>5.6</v>
      </c>
      <c r="AH168" s="2">
        <v>8.1999999999999993</v>
      </c>
      <c r="AI168" s="2">
        <v>1.28</v>
      </c>
      <c r="AJ168" s="2">
        <v>11</v>
      </c>
      <c r="AK168" s="2">
        <v>8.1</v>
      </c>
      <c r="AL168" s="2">
        <v>15.8</v>
      </c>
      <c r="AM168" s="2">
        <v>11.8</v>
      </c>
      <c r="AN168" s="2">
        <v>8.6</v>
      </c>
      <c r="AO168" s="2">
        <v>54.3</v>
      </c>
      <c r="AP168" s="2">
        <v>56.7</v>
      </c>
      <c r="AQ168" s="2">
        <v>18.5</v>
      </c>
      <c r="AR168" s="2">
        <v>101.55</v>
      </c>
      <c r="AS168" s="2">
        <v>11.7</v>
      </c>
      <c r="AT168" s="2">
        <v>2994</v>
      </c>
      <c r="AU168" s="53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6"/>
    </row>
    <row r="169" spans="1:69" ht="13.2">
      <c r="A169" s="1" t="s">
        <v>364</v>
      </c>
      <c r="B169" s="1" t="s">
        <v>365</v>
      </c>
      <c r="C169" s="24" t="str">
        <f>VLOOKUP(B169,Equipe!$A$1:$B$31,2,FALSE)</f>
        <v>Phoenix Suns</v>
      </c>
      <c r="D169" s="2">
        <v>32</v>
      </c>
      <c r="E169" s="2">
        <v>75</v>
      </c>
      <c r="F169" s="2">
        <v>33</v>
      </c>
      <c r="G169" s="2">
        <v>42</v>
      </c>
      <c r="H169" s="2">
        <v>24.5</v>
      </c>
      <c r="I169" s="3">
        <v>683</v>
      </c>
      <c r="J169" s="4">
        <v>240</v>
      </c>
      <c r="K169" s="4">
        <v>570</v>
      </c>
      <c r="L169" s="3">
        <v>42.3</v>
      </c>
      <c r="M169" s="4">
        <v>180</v>
      </c>
      <c r="N169" s="4">
        <v>443</v>
      </c>
      <c r="O169" s="3">
        <v>40.6</v>
      </c>
      <c r="P169" s="3">
        <v>23</v>
      </c>
      <c r="Q169" s="3">
        <v>23</v>
      </c>
      <c r="R169" s="3">
        <v>73.099999999999994</v>
      </c>
      <c r="S169" s="4">
        <v>53</v>
      </c>
      <c r="T169" s="4">
        <v>293</v>
      </c>
      <c r="U169" s="4">
        <v>353</v>
      </c>
      <c r="V169" s="4">
        <v>165</v>
      </c>
      <c r="W169" s="4">
        <v>68</v>
      </c>
      <c r="X169" s="4">
        <v>68</v>
      </c>
      <c r="Y169" s="4">
        <v>38</v>
      </c>
      <c r="Z169" s="4">
        <v>150</v>
      </c>
      <c r="AA169" s="3">
        <v>1583</v>
      </c>
      <c r="AB169" s="3">
        <v>1</v>
      </c>
      <c r="AC169" s="3">
        <v>0</v>
      </c>
      <c r="AD169" s="2">
        <v>-2.1</v>
      </c>
      <c r="AE169" s="2">
        <v>112.1</v>
      </c>
      <c r="AF169" s="2">
        <v>116.4</v>
      </c>
      <c r="AG169" s="2">
        <v>-4.2</v>
      </c>
      <c r="AH169" s="2">
        <v>12.8</v>
      </c>
      <c r="AI169" s="2">
        <v>2.5099999999999998</v>
      </c>
      <c r="AJ169" s="2">
        <v>20.100000000000001</v>
      </c>
      <c r="AK169" s="2">
        <v>2.9</v>
      </c>
      <c r="AL169" s="2">
        <v>15.7</v>
      </c>
      <c r="AM169" s="2">
        <v>9.4</v>
      </c>
      <c r="AN169" s="2">
        <v>8</v>
      </c>
      <c r="AO169" s="2">
        <v>58</v>
      </c>
      <c r="AP169" s="2">
        <v>58.5</v>
      </c>
      <c r="AQ169" s="2">
        <v>15.1</v>
      </c>
      <c r="AR169" s="2">
        <v>100.27</v>
      </c>
      <c r="AS169" s="2">
        <v>8.5</v>
      </c>
      <c r="AT169" s="2">
        <v>3840</v>
      </c>
      <c r="AU169" s="53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6"/>
    </row>
    <row r="170" spans="1:69" ht="13.2">
      <c r="A170" s="1" t="s">
        <v>362</v>
      </c>
      <c r="B170" s="1" t="s">
        <v>363</v>
      </c>
      <c r="C170" s="24" t="str">
        <f>VLOOKUP(B170,Equipe!$A$1:$B$31,2,FALSE)</f>
        <v>Chicago Bulls</v>
      </c>
      <c r="D170" s="2">
        <v>26</v>
      </c>
      <c r="E170" s="2">
        <v>69</v>
      </c>
      <c r="F170" s="2">
        <v>39</v>
      </c>
      <c r="G170" s="2">
        <v>30</v>
      </c>
      <c r="H170" s="2">
        <v>24.3</v>
      </c>
      <c r="I170" s="3">
        <v>683</v>
      </c>
      <c r="J170" s="4">
        <v>255</v>
      </c>
      <c r="K170" s="4">
        <v>607</v>
      </c>
      <c r="L170" s="3">
        <v>42.5</v>
      </c>
      <c r="M170" s="4">
        <v>131</v>
      </c>
      <c r="N170" s="4">
        <v>393</v>
      </c>
      <c r="O170" s="3">
        <v>33.799999999999997</v>
      </c>
      <c r="P170" s="3">
        <v>35</v>
      </c>
      <c r="Q170" s="3">
        <v>48</v>
      </c>
      <c r="R170" s="3">
        <v>71.400000000000006</v>
      </c>
      <c r="S170" s="4">
        <v>28</v>
      </c>
      <c r="T170" s="4">
        <v>173</v>
      </c>
      <c r="U170" s="4">
        <v>207</v>
      </c>
      <c r="V170" s="4">
        <v>159</v>
      </c>
      <c r="W170" s="4">
        <v>69</v>
      </c>
      <c r="X170" s="4">
        <v>69</v>
      </c>
      <c r="Y170" s="4">
        <v>21</v>
      </c>
      <c r="Z170" s="4">
        <v>124</v>
      </c>
      <c r="AA170" s="3">
        <v>1359</v>
      </c>
      <c r="AB170" s="3">
        <v>0</v>
      </c>
      <c r="AC170" s="3">
        <v>0</v>
      </c>
      <c r="AD170" s="2">
        <v>1.5</v>
      </c>
      <c r="AE170" s="2">
        <v>114.5</v>
      </c>
      <c r="AF170" s="2">
        <v>111.7</v>
      </c>
      <c r="AG170" s="2">
        <v>2.8</v>
      </c>
      <c r="AH170" s="2">
        <v>12.4</v>
      </c>
      <c r="AI170" s="2">
        <v>2.33</v>
      </c>
      <c r="AJ170" s="2">
        <v>18.399999999999999</v>
      </c>
      <c r="AK170" s="2">
        <v>1.7</v>
      </c>
      <c r="AL170" s="2">
        <v>9.8000000000000007</v>
      </c>
      <c r="AM170" s="2">
        <v>5.8</v>
      </c>
      <c r="AN170" s="2">
        <v>7.9</v>
      </c>
      <c r="AO170" s="2">
        <v>53.5</v>
      </c>
      <c r="AP170" s="2">
        <v>54.4</v>
      </c>
      <c r="AQ170" s="2">
        <v>17.100000000000001</v>
      </c>
      <c r="AR170" s="2">
        <v>102.32</v>
      </c>
      <c r="AS170" s="2">
        <v>7.3</v>
      </c>
      <c r="AT170" s="2">
        <v>3581</v>
      </c>
      <c r="AU170" s="53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6"/>
    </row>
    <row r="171" spans="1:69" ht="13.2">
      <c r="A171" s="1" t="s">
        <v>366</v>
      </c>
      <c r="B171" s="1" t="s">
        <v>367</v>
      </c>
      <c r="C171" s="24" t="str">
        <f>VLOOKUP(B171,Equipe!$A$1:$B$31,2,FALSE)</f>
        <v>Milwaukee Bucks</v>
      </c>
      <c r="D171" s="2">
        <v>30</v>
      </c>
      <c r="E171" s="2">
        <v>49</v>
      </c>
      <c r="F171" s="2">
        <v>30</v>
      </c>
      <c r="G171" s="2">
        <v>19</v>
      </c>
      <c r="H171" s="2">
        <v>25.4</v>
      </c>
      <c r="I171" s="3">
        <v>681</v>
      </c>
      <c r="J171" s="4">
        <v>279</v>
      </c>
      <c r="K171" s="4">
        <v>593</v>
      </c>
      <c r="L171" s="3">
        <v>46.6</v>
      </c>
      <c r="M171" s="4">
        <v>64</v>
      </c>
      <c r="N171" s="4">
        <v>176</v>
      </c>
      <c r="O171" s="3">
        <v>36.5</v>
      </c>
      <c r="P171" s="3">
        <v>59</v>
      </c>
      <c r="Q171" s="3">
        <v>74</v>
      </c>
      <c r="R171" s="3">
        <v>83.6</v>
      </c>
      <c r="S171" s="4">
        <v>88</v>
      </c>
      <c r="T171" s="4">
        <v>323</v>
      </c>
      <c r="U171" s="4">
        <v>412</v>
      </c>
      <c r="V171" s="4">
        <v>103</v>
      </c>
      <c r="W171" s="4">
        <v>59</v>
      </c>
      <c r="X171" s="4">
        <v>34</v>
      </c>
      <c r="Y171" s="4">
        <v>25</v>
      </c>
      <c r="Z171" s="4">
        <v>93</v>
      </c>
      <c r="AA171" s="3">
        <v>1455</v>
      </c>
      <c r="AB171" s="3">
        <v>11</v>
      </c>
      <c r="AC171" s="3">
        <v>0</v>
      </c>
      <c r="AD171" s="2">
        <v>1.9</v>
      </c>
      <c r="AE171" s="2">
        <v>114.1</v>
      </c>
      <c r="AF171" s="2">
        <v>110.8</v>
      </c>
      <c r="AG171" s="2">
        <v>3.4</v>
      </c>
      <c r="AH171" s="2">
        <v>12.6</v>
      </c>
      <c r="AI171" s="2">
        <v>1.82</v>
      </c>
      <c r="AJ171" s="2">
        <v>13.2</v>
      </c>
      <c r="AK171" s="2">
        <v>7.1</v>
      </c>
      <c r="AL171" s="2">
        <v>23.5</v>
      </c>
      <c r="AM171" s="2">
        <v>15.6</v>
      </c>
      <c r="AN171" s="2">
        <v>7.2</v>
      </c>
      <c r="AO171" s="2">
        <v>52</v>
      </c>
      <c r="AP171" s="2">
        <v>54.2</v>
      </c>
      <c r="AQ171" s="2">
        <v>23.4</v>
      </c>
      <c r="AR171" s="2">
        <v>101.2</v>
      </c>
      <c r="AS171" s="2">
        <v>13.1</v>
      </c>
      <c r="AT171" s="2">
        <v>2625</v>
      </c>
      <c r="AU171" s="53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6"/>
    </row>
    <row r="172" spans="1:69" ht="13.2">
      <c r="A172" s="1" t="s">
        <v>368</v>
      </c>
      <c r="B172" s="1" t="s">
        <v>369</v>
      </c>
      <c r="C172" s="24" t="str">
        <f>VLOOKUP(B172,Equipe!$A$1:$B$31,2,FALSE)</f>
        <v>Atlanta Hawks</v>
      </c>
      <c r="D172" s="2">
        <v>23</v>
      </c>
      <c r="E172" s="2">
        <v>36</v>
      </c>
      <c r="F172" s="2">
        <v>18</v>
      </c>
      <c r="G172" s="2">
        <v>18</v>
      </c>
      <c r="H172" s="2">
        <v>35.700000000000003</v>
      </c>
      <c r="I172" s="3">
        <v>680</v>
      </c>
      <c r="J172" s="4">
        <v>270</v>
      </c>
      <c r="K172" s="4">
        <v>544</v>
      </c>
      <c r="L172" s="3">
        <v>50</v>
      </c>
      <c r="M172" s="4">
        <v>43</v>
      </c>
      <c r="N172" s="4">
        <v>140</v>
      </c>
      <c r="O172" s="3">
        <v>31.2</v>
      </c>
      <c r="P172" s="3">
        <v>94</v>
      </c>
      <c r="Q172" s="3">
        <v>126</v>
      </c>
      <c r="R172" s="3">
        <v>74.599999999999994</v>
      </c>
      <c r="S172" s="4">
        <v>61</v>
      </c>
      <c r="T172" s="4">
        <v>299</v>
      </c>
      <c r="U172" s="4">
        <v>360</v>
      </c>
      <c r="V172" s="4">
        <v>180</v>
      </c>
      <c r="W172" s="4">
        <v>104</v>
      </c>
      <c r="X172" s="4">
        <v>58</v>
      </c>
      <c r="Y172" s="4">
        <v>36</v>
      </c>
      <c r="Z172" s="4">
        <v>68</v>
      </c>
      <c r="AA172" s="3">
        <v>1552</v>
      </c>
      <c r="AB172" s="3">
        <v>20</v>
      </c>
      <c r="AC172" s="3">
        <v>1</v>
      </c>
      <c r="AD172" s="2">
        <v>1.5</v>
      </c>
      <c r="AE172" s="2">
        <v>111.8</v>
      </c>
      <c r="AF172" s="2">
        <v>110.2</v>
      </c>
      <c r="AG172" s="2">
        <v>1.6</v>
      </c>
      <c r="AH172" s="2">
        <v>20.3</v>
      </c>
      <c r="AI172" s="2">
        <v>1.71</v>
      </c>
      <c r="AJ172" s="2">
        <v>20.5</v>
      </c>
      <c r="AK172" s="2">
        <v>4.5999999999999996</v>
      </c>
      <c r="AL172" s="2">
        <v>21.6</v>
      </c>
      <c r="AM172" s="2">
        <v>13.2</v>
      </c>
      <c r="AN172" s="2">
        <v>12</v>
      </c>
      <c r="AO172" s="2">
        <v>54.1</v>
      </c>
      <c r="AP172" s="2">
        <v>56.9</v>
      </c>
      <c r="AQ172" s="2">
        <v>21.4</v>
      </c>
      <c r="AR172" s="2">
        <v>106.68</v>
      </c>
      <c r="AS172" s="2">
        <v>13.5</v>
      </c>
      <c r="AT172" s="2">
        <v>2858</v>
      </c>
      <c r="AU172" s="53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6"/>
    </row>
    <row r="173" spans="1:69" ht="13.2">
      <c r="A173" s="1" t="s">
        <v>370</v>
      </c>
      <c r="B173" s="1" t="s">
        <v>371</v>
      </c>
      <c r="C173" s="24" t="str">
        <f>VLOOKUP(B173,Equipe!$A$1:$B$31,2,FALSE)</f>
        <v>Miami Heat</v>
      </c>
      <c r="D173" s="2">
        <v>31</v>
      </c>
      <c r="E173" s="2">
        <v>64</v>
      </c>
      <c r="F173" s="2">
        <v>27</v>
      </c>
      <c r="G173" s="2">
        <v>37</v>
      </c>
      <c r="H173" s="2">
        <v>25.9</v>
      </c>
      <c r="I173" s="3">
        <v>678</v>
      </c>
      <c r="J173" s="4">
        <v>250</v>
      </c>
      <c r="K173" s="4">
        <v>634</v>
      </c>
      <c r="L173" s="3">
        <v>39.1</v>
      </c>
      <c r="M173" s="4">
        <v>90</v>
      </c>
      <c r="N173" s="4">
        <v>307</v>
      </c>
      <c r="O173" s="3">
        <v>29.5</v>
      </c>
      <c r="P173" s="3">
        <v>90</v>
      </c>
      <c r="Q173" s="3">
        <v>109</v>
      </c>
      <c r="R173" s="3">
        <v>85.2</v>
      </c>
      <c r="S173" s="4">
        <v>45</v>
      </c>
      <c r="T173" s="4">
        <v>192</v>
      </c>
      <c r="U173" s="4">
        <v>237</v>
      </c>
      <c r="V173" s="4">
        <v>166</v>
      </c>
      <c r="W173" s="4">
        <v>77</v>
      </c>
      <c r="X173" s="4">
        <v>38</v>
      </c>
      <c r="Y173" s="4">
        <v>13</v>
      </c>
      <c r="Z173" s="4">
        <v>70</v>
      </c>
      <c r="AA173" s="3">
        <v>1293</v>
      </c>
      <c r="AB173" s="3">
        <v>0</v>
      </c>
      <c r="AC173" s="3">
        <v>0</v>
      </c>
      <c r="AD173" s="2">
        <v>-2.2000000000000002</v>
      </c>
      <c r="AE173" s="2">
        <v>107.3</v>
      </c>
      <c r="AF173" s="2">
        <v>112.3</v>
      </c>
      <c r="AG173" s="2">
        <v>-4.9000000000000004</v>
      </c>
      <c r="AH173" s="2">
        <v>15.2</v>
      </c>
      <c r="AI173" s="2">
        <v>2.14</v>
      </c>
      <c r="AJ173" s="2">
        <v>18.100000000000001</v>
      </c>
      <c r="AK173" s="2">
        <v>2.5</v>
      </c>
      <c r="AL173" s="2">
        <v>11.3</v>
      </c>
      <c r="AM173" s="2">
        <v>6.8</v>
      </c>
      <c r="AN173" s="2">
        <v>8.4</v>
      </c>
      <c r="AO173" s="2">
        <v>46.2</v>
      </c>
      <c r="AP173" s="2">
        <v>49.7</v>
      </c>
      <c r="AQ173" s="2">
        <v>19.5</v>
      </c>
      <c r="AR173" s="2">
        <v>99.13</v>
      </c>
      <c r="AS173" s="2">
        <v>7.8</v>
      </c>
      <c r="AT173" s="2">
        <v>3437</v>
      </c>
      <c r="AU173" s="53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6"/>
    </row>
    <row r="174" spans="1:69" ht="13.2">
      <c r="A174" s="1" t="s">
        <v>372</v>
      </c>
      <c r="B174" s="1" t="s">
        <v>373</v>
      </c>
      <c r="C174" s="24" t="str">
        <f>VLOOKUP(B174,Equipe!$A$1:$B$31,2,FALSE)</f>
        <v>Phoenix Suns</v>
      </c>
      <c r="D174" s="2">
        <v>29</v>
      </c>
      <c r="E174" s="2">
        <v>64</v>
      </c>
      <c r="F174" s="2">
        <v>29</v>
      </c>
      <c r="G174" s="2">
        <v>35</v>
      </c>
      <c r="H174" s="2">
        <v>24.1</v>
      </c>
      <c r="I174" s="3">
        <v>678</v>
      </c>
      <c r="J174" s="4">
        <v>218</v>
      </c>
      <c r="K174" s="4">
        <v>486</v>
      </c>
      <c r="L174" s="3">
        <v>44.8</v>
      </c>
      <c r="M174" s="4">
        <v>147</v>
      </c>
      <c r="N174" s="4">
        <v>352</v>
      </c>
      <c r="O174" s="3">
        <v>42.6</v>
      </c>
      <c r="P174" s="3">
        <v>96</v>
      </c>
      <c r="Q174" s="3">
        <v>115</v>
      </c>
      <c r="R174" s="3">
        <v>81.599999999999994</v>
      </c>
      <c r="S174" s="4">
        <v>32</v>
      </c>
      <c r="T174" s="4">
        <v>160</v>
      </c>
      <c r="U174" s="4">
        <v>192</v>
      </c>
      <c r="V174" s="4">
        <v>134</v>
      </c>
      <c r="W174" s="4">
        <v>77</v>
      </c>
      <c r="X174" s="4">
        <v>51</v>
      </c>
      <c r="Y174" s="4">
        <v>19</v>
      </c>
      <c r="Z174" s="4">
        <v>96</v>
      </c>
      <c r="AA174" s="3">
        <v>1261</v>
      </c>
      <c r="AB174" s="3">
        <v>1</v>
      </c>
      <c r="AC174" s="3">
        <v>0</v>
      </c>
      <c r="AD174" s="2">
        <v>-1.2</v>
      </c>
      <c r="AE174" s="2">
        <v>114.7</v>
      </c>
      <c r="AF174" s="2">
        <v>118</v>
      </c>
      <c r="AG174" s="2">
        <v>-3.3</v>
      </c>
      <c r="AH174" s="2">
        <v>12.5</v>
      </c>
      <c r="AI174" s="2">
        <v>1.83</v>
      </c>
      <c r="AJ174" s="2">
        <v>18.2</v>
      </c>
      <c r="AK174" s="2">
        <v>2.2999999999999998</v>
      </c>
      <c r="AL174" s="2">
        <v>10.3</v>
      </c>
      <c r="AM174" s="2">
        <v>6.4</v>
      </c>
      <c r="AN174" s="2">
        <v>10</v>
      </c>
      <c r="AO174" s="2">
        <v>60</v>
      </c>
      <c r="AP174" s="2">
        <v>63.1</v>
      </c>
      <c r="AQ174" s="2">
        <v>16.899999999999999</v>
      </c>
      <c r="AR174" s="2">
        <v>100.84</v>
      </c>
      <c r="AS174" s="2">
        <v>8.4</v>
      </c>
      <c r="AT174" s="2">
        <v>3255</v>
      </c>
      <c r="AU174" s="53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6"/>
    </row>
    <row r="175" spans="1:69" ht="13.2">
      <c r="A175" s="1" t="s">
        <v>374</v>
      </c>
      <c r="B175" s="1" t="s">
        <v>375</v>
      </c>
      <c r="C175" s="24" t="str">
        <f>VLOOKUP(B175,Equipe!$A$1:$B$31,2,FALSE)</f>
        <v>Portland Trail Blazers</v>
      </c>
      <c r="D175" s="2">
        <v>31</v>
      </c>
      <c r="E175" s="2">
        <v>47</v>
      </c>
      <c r="F175" s="2">
        <v>22</v>
      </c>
      <c r="G175" s="2">
        <v>25</v>
      </c>
      <c r="H175" s="2">
        <v>32.4</v>
      </c>
      <c r="I175" s="3">
        <v>677</v>
      </c>
      <c r="J175" s="4">
        <v>216</v>
      </c>
      <c r="K175" s="4">
        <v>573</v>
      </c>
      <c r="L175" s="3">
        <v>37.299999999999997</v>
      </c>
      <c r="M175" s="4">
        <v>108</v>
      </c>
      <c r="N175" s="4">
        <v>296</v>
      </c>
      <c r="O175" s="3">
        <v>36.5</v>
      </c>
      <c r="P175" s="3">
        <v>141</v>
      </c>
      <c r="Q175" s="3">
        <v>165</v>
      </c>
      <c r="R175" s="3">
        <v>84.9</v>
      </c>
      <c r="S175" s="4">
        <v>28</v>
      </c>
      <c r="T175" s="4">
        <v>136</v>
      </c>
      <c r="U175" s="4">
        <v>165</v>
      </c>
      <c r="V175" s="4">
        <v>99</v>
      </c>
      <c r="W175" s="4">
        <v>66</v>
      </c>
      <c r="X175" s="4">
        <v>42</v>
      </c>
      <c r="Y175" s="4">
        <v>47</v>
      </c>
      <c r="Z175" s="4">
        <v>108</v>
      </c>
      <c r="AA175" s="3">
        <v>1222</v>
      </c>
      <c r="AB175" s="3">
        <v>0</v>
      </c>
      <c r="AC175" s="3">
        <v>0</v>
      </c>
      <c r="AD175" s="2">
        <v>-4.3</v>
      </c>
      <c r="AE175" s="2">
        <v>107.4</v>
      </c>
      <c r="AF175" s="2">
        <v>113.4</v>
      </c>
      <c r="AG175" s="2">
        <v>-6.1</v>
      </c>
      <c r="AH175" s="2">
        <v>9.9</v>
      </c>
      <c r="AI175" s="2">
        <v>1.55</v>
      </c>
      <c r="AJ175" s="2">
        <v>12.5</v>
      </c>
      <c r="AK175" s="2">
        <v>1.5</v>
      </c>
      <c r="AL175" s="2">
        <v>8.8000000000000007</v>
      </c>
      <c r="AM175" s="2">
        <v>5</v>
      </c>
      <c r="AN175" s="2">
        <v>8</v>
      </c>
      <c r="AO175" s="2">
        <v>46.7</v>
      </c>
      <c r="AP175" s="2">
        <v>52.3</v>
      </c>
      <c r="AQ175" s="2">
        <v>19.2</v>
      </c>
      <c r="AR175" s="2">
        <v>100.41</v>
      </c>
      <c r="AS175" s="2">
        <v>7</v>
      </c>
      <c r="AT175" s="2">
        <v>3183</v>
      </c>
      <c r="AU175" s="53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6"/>
    </row>
    <row r="176" spans="1:69" ht="13.2">
      <c r="A176" s="1" t="s">
        <v>376</v>
      </c>
      <c r="B176" s="1" t="s">
        <v>377</v>
      </c>
      <c r="C176" s="24" t="str">
        <f>VLOOKUP(B176,Equipe!$A$1:$B$31,2,FALSE)</f>
        <v>Charlotte Hornets</v>
      </c>
      <c r="D176" s="2">
        <v>23</v>
      </c>
      <c r="E176" s="2">
        <v>44</v>
      </c>
      <c r="F176" s="2">
        <v>9</v>
      </c>
      <c r="G176" s="2">
        <v>35</v>
      </c>
      <c r="H176" s="2">
        <v>26.6</v>
      </c>
      <c r="I176" s="3">
        <v>673</v>
      </c>
      <c r="J176" s="4">
        <v>268</v>
      </c>
      <c r="K176" s="4">
        <v>449</v>
      </c>
      <c r="L176" s="3">
        <v>60.4</v>
      </c>
      <c r="M176" s="3">
        <v>0</v>
      </c>
      <c r="N176" s="4">
        <v>4</v>
      </c>
      <c r="O176" s="3">
        <v>0</v>
      </c>
      <c r="P176" s="3">
        <v>132</v>
      </c>
      <c r="Q176" s="3">
        <v>163</v>
      </c>
      <c r="R176" s="3">
        <v>80.400000000000006</v>
      </c>
      <c r="S176" s="4">
        <v>132</v>
      </c>
      <c r="T176" s="4">
        <v>317</v>
      </c>
      <c r="U176" s="4">
        <v>449</v>
      </c>
      <c r="V176" s="4">
        <v>110</v>
      </c>
      <c r="W176" s="4">
        <v>70</v>
      </c>
      <c r="X176" s="4">
        <v>31</v>
      </c>
      <c r="Y176" s="4">
        <v>53</v>
      </c>
      <c r="Z176" s="4">
        <v>106</v>
      </c>
      <c r="AA176" s="3">
        <v>1558</v>
      </c>
      <c r="AB176" s="3">
        <v>21</v>
      </c>
      <c r="AC176" s="3">
        <v>0</v>
      </c>
      <c r="AD176" s="2">
        <v>-6.8</v>
      </c>
      <c r="AE176" s="2">
        <v>106.3</v>
      </c>
      <c r="AF176" s="2">
        <v>118.9</v>
      </c>
      <c r="AG176" s="2">
        <v>-12.7</v>
      </c>
      <c r="AH176" s="2">
        <v>15.4</v>
      </c>
      <c r="AI176" s="2">
        <v>1.54</v>
      </c>
      <c r="AJ176" s="2">
        <v>15.7</v>
      </c>
      <c r="AK176" s="2">
        <v>10.3</v>
      </c>
      <c r="AL176" s="2">
        <v>25.5</v>
      </c>
      <c r="AM176" s="2">
        <v>17.8</v>
      </c>
      <c r="AN176" s="2">
        <v>10.199999999999999</v>
      </c>
      <c r="AO176" s="2">
        <v>60.4</v>
      </c>
      <c r="AP176" s="2">
        <v>64.7</v>
      </c>
      <c r="AQ176" s="2">
        <v>21</v>
      </c>
      <c r="AR176" s="2">
        <v>100.77</v>
      </c>
      <c r="AS176" s="2">
        <v>15.6</v>
      </c>
      <c r="AT176" s="2">
        <v>2463</v>
      </c>
      <c r="AU176" s="53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6"/>
    </row>
    <row r="177" spans="1:69" ht="13.2">
      <c r="A177" s="1" t="s">
        <v>378</v>
      </c>
      <c r="B177" s="1" t="s">
        <v>379</v>
      </c>
      <c r="C177" s="24" t="str">
        <f>VLOOKUP(B177,Equipe!$A$1:$B$31,2,FALSE)</f>
        <v>Orlando Magic</v>
      </c>
      <c r="D177" s="2">
        <v>32</v>
      </c>
      <c r="E177" s="2">
        <v>77</v>
      </c>
      <c r="F177" s="2">
        <v>38</v>
      </c>
      <c r="G177" s="2">
        <v>39</v>
      </c>
      <c r="H177" s="2">
        <v>29.6</v>
      </c>
      <c r="I177" s="3">
        <v>670</v>
      </c>
      <c r="J177" s="4">
        <v>239</v>
      </c>
      <c r="K177" s="4">
        <v>547</v>
      </c>
      <c r="L177" s="3">
        <v>43.9</v>
      </c>
      <c r="M177" s="4">
        <v>116</v>
      </c>
      <c r="N177" s="4">
        <v>331</v>
      </c>
      <c r="O177" s="3">
        <v>34.200000000000003</v>
      </c>
      <c r="P177" s="3">
        <v>85</v>
      </c>
      <c r="Q177" s="3">
        <v>92</v>
      </c>
      <c r="R177" s="3">
        <v>86.3</v>
      </c>
      <c r="S177" s="4">
        <v>31</v>
      </c>
      <c r="T177" s="4">
        <v>139</v>
      </c>
      <c r="U177" s="4">
        <v>169</v>
      </c>
      <c r="V177" s="4">
        <v>139</v>
      </c>
      <c r="W177" s="4">
        <v>62</v>
      </c>
      <c r="X177" s="4">
        <v>100</v>
      </c>
      <c r="Y177" s="4">
        <v>31</v>
      </c>
      <c r="Z177" s="4">
        <v>139</v>
      </c>
      <c r="AA177" s="3">
        <v>1417</v>
      </c>
      <c r="AB177" s="3">
        <v>0</v>
      </c>
      <c r="AC177" s="3">
        <v>0</v>
      </c>
      <c r="AD177" s="2">
        <v>0.1</v>
      </c>
      <c r="AE177" s="2">
        <v>109.1</v>
      </c>
      <c r="AF177" s="2">
        <v>108.6</v>
      </c>
      <c r="AG177" s="2">
        <v>0.5</v>
      </c>
      <c r="AH177" s="2">
        <v>8.6</v>
      </c>
      <c r="AI177" s="2">
        <v>2.19</v>
      </c>
      <c r="AJ177" s="2">
        <v>17.7</v>
      </c>
      <c r="AK177" s="2">
        <v>1.4</v>
      </c>
      <c r="AL177" s="2">
        <v>6.4</v>
      </c>
      <c r="AM177" s="2">
        <v>3.8</v>
      </c>
      <c r="AN177" s="2">
        <v>8.1</v>
      </c>
      <c r="AO177" s="2">
        <v>54.3</v>
      </c>
      <c r="AP177" s="2">
        <v>57.4</v>
      </c>
      <c r="AQ177" s="2">
        <v>12.1</v>
      </c>
      <c r="AR177" s="2">
        <v>96.52</v>
      </c>
      <c r="AS177" s="2">
        <v>6.5</v>
      </c>
      <c r="AT177" s="2">
        <v>4577</v>
      </c>
      <c r="AU177" s="53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6"/>
    </row>
    <row r="178" spans="1:69" ht="13.2">
      <c r="A178" s="1" t="s">
        <v>380</v>
      </c>
      <c r="B178" s="1" t="s">
        <v>381</v>
      </c>
      <c r="C178" s="24" t="str">
        <f>VLOOKUP(B178,Equipe!$A$1:$B$31,2,FALSE)</f>
        <v>Toronto Raptors</v>
      </c>
      <c r="D178" s="2">
        <v>25</v>
      </c>
      <c r="E178" s="2">
        <v>64</v>
      </c>
      <c r="F178" s="2">
        <v>19</v>
      </c>
      <c r="G178" s="2">
        <v>45</v>
      </c>
      <c r="H178" s="2">
        <v>27.2</v>
      </c>
      <c r="I178" s="3">
        <v>666</v>
      </c>
      <c r="J178" s="4">
        <v>269</v>
      </c>
      <c r="K178" s="4">
        <v>531</v>
      </c>
      <c r="L178" s="3">
        <v>49.8</v>
      </c>
      <c r="M178" s="4">
        <v>102</v>
      </c>
      <c r="N178" s="4">
        <v>256</v>
      </c>
      <c r="O178" s="3">
        <v>39.9</v>
      </c>
      <c r="P178" s="3">
        <v>32</v>
      </c>
      <c r="Q178" s="3">
        <v>51</v>
      </c>
      <c r="R178" s="3">
        <v>70.8</v>
      </c>
      <c r="S178" s="4">
        <v>64</v>
      </c>
      <c r="T178" s="4">
        <v>179</v>
      </c>
      <c r="U178" s="4">
        <v>243</v>
      </c>
      <c r="V178" s="4">
        <v>96</v>
      </c>
      <c r="W178" s="4">
        <v>51</v>
      </c>
      <c r="X178" s="4">
        <v>58</v>
      </c>
      <c r="Y178" s="4">
        <v>32</v>
      </c>
      <c r="Z178" s="4">
        <v>128</v>
      </c>
      <c r="AA178" s="3">
        <v>1312</v>
      </c>
      <c r="AB178" s="3">
        <v>0</v>
      </c>
      <c r="AC178" s="3">
        <v>0</v>
      </c>
      <c r="AD178" s="2">
        <v>-3.3</v>
      </c>
      <c r="AE178" s="2">
        <v>106.4</v>
      </c>
      <c r="AF178" s="2">
        <v>112.2</v>
      </c>
      <c r="AG178" s="2">
        <v>-5.7</v>
      </c>
      <c r="AH178" s="2">
        <v>8.1</v>
      </c>
      <c r="AI178" s="2">
        <v>1.81</v>
      </c>
      <c r="AJ178" s="2">
        <v>13.9</v>
      </c>
      <c r="AK178" s="2">
        <v>3.3</v>
      </c>
      <c r="AL178" s="2">
        <v>9.8000000000000007</v>
      </c>
      <c r="AM178" s="2">
        <v>6.6</v>
      </c>
      <c r="AN178" s="2">
        <v>7.6</v>
      </c>
      <c r="AO178" s="2">
        <v>59.3</v>
      </c>
      <c r="AP178" s="2">
        <v>60.1</v>
      </c>
      <c r="AQ178" s="2">
        <v>14.4</v>
      </c>
      <c r="AR178" s="2">
        <v>101.93</v>
      </c>
      <c r="AS178" s="2">
        <v>8.1</v>
      </c>
      <c r="AT178" s="2">
        <v>3691</v>
      </c>
      <c r="AU178" s="53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6"/>
    </row>
    <row r="179" spans="1:69" ht="13.2">
      <c r="A179" s="1" t="s">
        <v>384</v>
      </c>
      <c r="B179" s="1" t="s">
        <v>385</v>
      </c>
      <c r="C179" s="24" t="str">
        <f>VLOOKUP(B179,Equipe!$A$1:$B$31,2,FALSE)</f>
        <v>Philadelphia 76ers</v>
      </c>
      <c r="D179" s="2">
        <v>35</v>
      </c>
      <c r="E179" s="2">
        <v>41</v>
      </c>
      <c r="F179" s="2">
        <v>15</v>
      </c>
      <c r="G179" s="2">
        <v>26</v>
      </c>
      <c r="H179" s="2">
        <v>32.5</v>
      </c>
      <c r="I179" s="3">
        <v>664</v>
      </c>
      <c r="J179" s="4">
        <v>246</v>
      </c>
      <c r="K179" s="4">
        <v>570</v>
      </c>
      <c r="L179" s="3">
        <v>43</v>
      </c>
      <c r="M179" s="4">
        <v>94</v>
      </c>
      <c r="N179" s="4">
        <v>267</v>
      </c>
      <c r="O179" s="3">
        <v>35.799999999999997</v>
      </c>
      <c r="P179" s="3">
        <v>78</v>
      </c>
      <c r="Q179" s="3">
        <v>98</v>
      </c>
      <c r="R179" s="3">
        <v>81.400000000000006</v>
      </c>
      <c r="S179" s="4">
        <v>25</v>
      </c>
      <c r="T179" s="4">
        <v>197</v>
      </c>
      <c r="U179" s="4">
        <v>217</v>
      </c>
      <c r="V179" s="4">
        <v>176</v>
      </c>
      <c r="W179" s="4">
        <v>107</v>
      </c>
      <c r="X179" s="4">
        <v>74</v>
      </c>
      <c r="Y179" s="4">
        <v>21</v>
      </c>
      <c r="Z179" s="4">
        <v>103</v>
      </c>
      <c r="AA179" s="3">
        <v>1374</v>
      </c>
      <c r="AB179" s="3">
        <v>3</v>
      </c>
      <c r="AC179" s="3">
        <v>0</v>
      </c>
      <c r="AD179" s="2">
        <v>-2</v>
      </c>
      <c r="AE179" s="2">
        <v>108.3</v>
      </c>
      <c r="AF179" s="2">
        <v>112.2</v>
      </c>
      <c r="AG179" s="2">
        <v>-3.8</v>
      </c>
      <c r="AH179" s="2">
        <v>21.7</v>
      </c>
      <c r="AI179" s="2">
        <v>1.68</v>
      </c>
      <c r="AJ179" s="2">
        <v>19.899999999999999</v>
      </c>
      <c r="AK179" s="2">
        <v>1.8</v>
      </c>
      <c r="AL179" s="2">
        <v>15.3</v>
      </c>
      <c r="AM179" s="2">
        <v>8.3000000000000007</v>
      </c>
      <c r="AN179" s="2">
        <v>11.8</v>
      </c>
      <c r="AO179" s="2">
        <v>51.4</v>
      </c>
      <c r="AP179" s="2">
        <v>54.3</v>
      </c>
      <c r="AQ179" s="2">
        <v>23.3</v>
      </c>
      <c r="AR179" s="2">
        <v>98.87</v>
      </c>
      <c r="AS179" s="2">
        <v>10.6</v>
      </c>
      <c r="AT179" s="2">
        <v>2757</v>
      </c>
      <c r="AU179" s="53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6"/>
    </row>
    <row r="180" spans="1:69" ht="13.2">
      <c r="A180" s="1" t="s">
        <v>386</v>
      </c>
      <c r="B180" s="1" t="s">
        <v>387</v>
      </c>
      <c r="C180" s="24" t="str">
        <f>VLOOKUP(B180,Equipe!$A$1:$B$31,2,FALSE)</f>
        <v>Sacramento Kings</v>
      </c>
      <c r="D180" s="2">
        <v>25</v>
      </c>
      <c r="E180" s="2">
        <v>80</v>
      </c>
      <c r="F180" s="2">
        <v>39</v>
      </c>
      <c r="G180" s="2">
        <v>41</v>
      </c>
      <c r="H180" s="2">
        <v>24.4</v>
      </c>
      <c r="I180" s="3">
        <v>664</v>
      </c>
      <c r="J180" s="4">
        <v>224</v>
      </c>
      <c r="K180" s="4">
        <v>464</v>
      </c>
      <c r="L180" s="3">
        <v>48.9</v>
      </c>
      <c r="M180" s="4">
        <v>136</v>
      </c>
      <c r="N180" s="4">
        <v>320</v>
      </c>
      <c r="O180" s="3">
        <v>43.3</v>
      </c>
      <c r="P180" s="3">
        <v>72</v>
      </c>
      <c r="Q180" s="3">
        <v>88</v>
      </c>
      <c r="R180" s="3">
        <v>84.9</v>
      </c>
      <c r="S180" s="4">
        <v>64</v>
      </c>
      <c r="T180" s="4">
        <v>152</v>
      </c>
      <c r="U180" s="4">
        <v>216</v>
      </c>
      <c r="V180" s="4">
        <v>120</v>
      </c>
      <c r="W180" s="4">
        <v>72</v>
      </c>
      <c r="X180" s="4">
        <v>120</v>
      </c>
      <c r="Y180" s="4">
        <v>64</v>
      </c>
      <c r="Z180" s="4">
        <v>176</v>
      </c>
      <c r="AA180" s="3">
        <v>1584</v>
      </c>
      <c r="AB180" s="3">
        <v>0</v>
      </c>
      <c r="AC180" s="3">
        <v>0</v>
      </c>
      <c r="AD180" s="2">
        <v>0.8</v>
      </c>
      <c r="AE180" s="2">
        <v>116.1</v>
      </c>
      <c r="AF180" s="2">
        <v>113.2</v>
      </c>
      <c r="AG180" s="2">
        <v>3</v>
      </c>
      <c r="AH180" s="2">
        <v>8</v>
      </c>
      <c r="AI180" s="2">
        <v>1.69</v>
      </c>
      <c r="AJ180" s="2">
        <v>17.399999999999999</v>
      </c>
      <c r="AK180" s="2">
        <v>3.1</v>
      </c>
      <c r="AL180" s="2">
        <v>7.9</v>
      </c>
      <c r="AM180" s="2">
        <v>5.5</v>
      </c>
      <c r="AN180" s="2">
        <v>10.3</v>
      </c>
      <c r="AO180" s="2">
        <v>63.9</v>
      </c>
      <c r="AP180" s="2">
        <v>66.400000000000006</v>
      </c>
      <c r="AQ180" s="2">
        <v>12.5</v>
      </c>
      <c r="AR180" s="2">
        <v>99.07</v>
      </c>
      <c r="AS180" s="2">
        <v>7.3</v>
      </c>
      <c r="AT180" s="2">
        <v>3997</v>
      </c>
      <c r="AU180" s="53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6"/>
    </row>
    <row r="181" spans="1:69" ht="13.2">
      <c r="A181" s="1" t="s">
        <v>382</v>
      </c>
      <c r="B181" s="1" t="s">
        <v>383</v>
      </c>
      <c r="C181" s="24" t="str">
        <f>VLOOKUP(B181,Equipe!$A$1:$B$31,2,FALSE)</f>
        <v>New Orleans Pelicans</v>
      </c>
      <c r="D181" s="2">
        <v>21</v>
      </c>
      <c r="E181" s="2">
        <v>73</v>
      </c>
      <c r="F181" s="2">
        <v>19</v>
      </c>
      <c r="G181" s="2">
        <v>54</v>
      </c>
      <c r="H181" s="2">
        <v>26.8</v>
      </c>
      <c r="I181" s="3">
        <v>664</v>
      </c>
      <c r="J181" s="4">
        <v>270</v>
      </c>
      <c r="K181" s="4">
        <v>489</v>
      </c>
      <c r="L181" s="3">
        <v>54.7</v>
      </c>
      <c r="M181" s="3">
        <v>0</v>
      </c>
      <c r="N181" s="3">
        <v>0</v>
      </c>
      <c r="O181" s="3">
        <v>0</v>
      </c>
      <c r="P181" s="3">
        <v>124</v>
      </c>
      <c r="Q181" s="3">
        <v>204</v>
      </c>
      <c r="R181" s="3">
        <v>62.3</v>
      </c>
      <c r="S181" s="4">
        <v>256</v>
      </c>
      <c r="T181" s="4">
        <v>343</v>
      </c>
      <c r="U181" s="4">
        <v>599</v>
      </c>
      <c r="V181" s="4">
        <v>102</v>
      </c>
      <c r="W181" s="4">
        <v>80</v>
      </c>
      <c r="X181" s="4">
        <v>37</v>
      </c>
      <c r="Y181" s="4">
        <v>95</v>
      </c>
      <c r="Z181" s="4">
        <v>146</v>
      </c>
      <c r="AA181" s="3">
        <v>1854</v>
      </c>
      <c r="AB181" s="3">
        <v>14</v>
      </c>
      <c r="AC181" s="3">
        <v>0</v>
      </c>
      <c r="AD181" s="2">
        <v>-7</v>
      </c>
      <c r="AE181" s="2">
        <v>107.8</v>
      </c>
      <c r="AF181" s="2">
        <v>120.5</v>
      </c>
      <c r="AG181" s="2">
        <v>-12.7</v>
      </c>
      <c r="AH181" s="2">
        <v>7.2</v>
      </c>
      <c r="AI181" s="2">
        <v>1.21</v>
      </c>
      <c r="AJ181" s="2">
        <v>12.9</v>
      </c>
      <c r="AK181" s="2">
        <v>12.2</v>
      </c>
      <c r="AL181" s="2">
        <v>17.7</v>
      </c>
      <c r="AM181" s="2">
        <v>14.9</v>
      </c>
      <c r="AN181" s="2">
        <v>10.7</v>
      </c>
      <c r="AO181" s="2">
        <v>54.7</v>
      </c>
      <c r="AP181" s="2">
        <v>57.2</v>
      </c>
      <c r="AQ181" s="2">
        <v>14.1</v>
      </c>
      <c r="AR181" s="2">
        <v>99.85</v>
      </c>
      <c r="AS181" s="2">
        <v>9</v>
      </c>
      <c r="AT181" s="2">
        <v>4069</v>
      </c>
      <c r="AU181" s="53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6"/>
    </row>
    <row r="182" spans="1:69" ht="13.2">
      <c r="A182" s="1" t="s">
        <v>388</v>
      </c>
      <c r="B182" s="1" t="s">
        <v>389</v>
      </c>
      <c r="C182" s="24" t="str">
        <f>VLOOKUP(B182,Equipe!$A$1:$B$31,2,FALSE)</f>
        <v>Milwaukee Bucks</v>
      </c>
      <c r="D182" s="2">
        <v>31</v>
      </c>
      <c r="E182" s="2">
        <v>80</v>
      </c>
      <c r="F182" s="2">
        <v>46</v>
      </c>
      <c r="G182" s="2">
        <v>34</v>
      </c>
      <c r="H182" s="2">
        <v>27.1</v>
      </c>
      <c r="I182" s="3">
        <v>656</v>
      </c>
      <c r="J182" s="4">
        <v>232</v>
      </c>
      <c r="K182" s="4">
        <v>512</v>
      </c>
      <c r="L182" s="3">
        <v>45.7</v>
      </c>
      <c r="M182" s="4">
        <v>144</v>
      </c>
      <c r="N182" s="4">
        <v>336</v>
      </c>
      <c r="O182" s="3">
        <v>43.9</v>
      </c>
      <c r="P182" s="3">
        <v>40</v>
      </c>
      <c r="Q182" s="3">
        <v>48</v>
      </c>
      <c r="R182" s="3">
        <v>81.3</v>
      </c>
      <c r="S182" s="4">
        <v>32</v>
      </c>
      <c r="T182" s="4">
        <v>256</v>
      </c>
      <c r="U182" s="4">
        <v>288</v>
      </c>
      <c r="V182" s="4">
        <v>152</v>
      </c>
      <c r="W182" s="4">
        <v>80</v>
      </c>
      <c r="X182" s="4">
        <v>80</v>
      </c>
      <c r="Y182" s="4">
        <v>16</v>
      </c>
      <c r="Z182" s="4">
        <v>168</v>
      </c>
      <c r="AA182" s="3">
        <v>1424</v>
      </c>
      <c r="AB182" s="3">
        <v>1</v>
      </c>
      <c r="AC182" s="3">
        <v>0</v>
      </c>
      <c r="AD182" s="2">
        <v>-0.3</v>
      </c>
      <c r="AE182" s="2">
        <v>114</v>
      </c>
      <c r="AF182" s="2">
        <v>114.5</v>
      </c>
      <c r="AG182" s="2">
        <v>-0.4</v>
      </c>
      <c r="AH182" s="2">
        <v>9.3000000000000007</v>
      </c>
      <c r="AI182" s="2">
        <v>1.89</v>
      </c>
      <c r="AJ182" s="2">
        <v>20.100000000000001</v>
      </c>
      <c r="AK182" s="2">
        <v>1.6</v>
      </c>
      <c r="AL182" s="2">
        <v>11</v>
      </c>
      <c r="AM182" s="2">
        <v>6.5</v>
      </c>
      <c r="AN182" s="2">
        <v>10.6</v>
      </c>
      <c r="AO182" s="2">
        <v>60</v>
      </c>
      <c r="AP182" s="2">
        <v>61.3</v>
      </c>
      <c r="AQ182" s="2">
        <v>12.3</v>
      </c>
      <c r="AR182" s="2">
        <v>100.95</v>
      </c>
      <c r="AS182" s="2">
        <v>6.4</v>
      </c>
      <c r="AT182" s="2">
        <v>4554</v>
      </c>
      <c r="AU182" s="53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6"/>
    </row>
    <row r="183" spans="1:69" ht="13.2">
      <c r="A183" s="1" t="s">
        <v>390</v>
      </c>
      <c r="B183" s="1" t="s">
        <v>391</v>
      </c>
      <c r="C183" s="24" t="str">
        <f>VLOOKUP(B183,Equipe!$A$1:$B$31,2,FALSE)</f>
        <v>Indiana Pacers</v>
      </c>
      <c r="D183" s="2">
        <v>25</v>
      </c>
      <c r="E183" s="2">
        <v>65</v>
      </c>
      <c r="F183" s="2">
        <v>44</v>
      </c>
      <c r="G183" s="2">
        <v>21</v>
      </c>
      <c r="H183" s="2">
        <v>28.9</v>
      </c>
      <c r="I183" s="3">
        <v>650</v>
      </c>
      <c r="J183" s="4">
        <v>247</v>
      </c>
      <c r="K183" s="4">
        <v>540</v>
      </c>
      <c r="L183" s="3">
        <v>45.8</v>
      </c>
      <c r="M183" s="4">
        <v>52</v>
      </c>
      <c r="N183" s="4">
        <v>176</v>
      </c>
      <c r="O183" s="3">
        <v>29.1</v>
      </c>
      <c r="P183" s="3">
        <v>111</v>
      </c>
      <c r="Q183" s="3">
        <v>137</v>
      </c>
      <c r="R183" s="3">
        <v>79.400000000000006</v>
      </c>
      <c r="S183" s="4">
        <v>33</v>
      </c>
      <c r="T183" s="4">
        <v>182</v>
      </c>
      <c r="U183" s="4">
        <v>215</v>
      </c>
      <c r="V183" s="4">
        <v>325</v>
      </c>
      <c r="W183" s="4">
        <v>111</v>
      </c>
      <c r="X183" s="4">
        <v>78</v>
      </c>
      <c r="Y183" s="4">
        <v>13</v>
      </c>
      <c r="Z183" s="4">
        <v>150</v>
      </c>
      <c r="AA183" s="3">
        <v>1560</v>
      </c>
      <c r="AB183" s="3">
        <v>2</v>
      </c>
      <c r="AC183" s="3">
        <v>0</v>
      </c>
      <c r="AD183" s="2">
        <v>3.1</v>
      </c>
      <c r="AE183" s="2">
        <v>115.5</v>
      </c>
      <c r="AF183" s="2">
        <v>110.2</v>
      </c>
      <c r="AG183" s="2">
        <v>5.3</v>
      </c>
      <c r="AH183" s="2">
        <v>22.5</v>
      </c>
      <c r="AI183" s="2">
        <v>2.91</v>
      </c>
      <c r="AJ183" s="2">
        <v>31.4</v>
      </c>
      <c r="AK183" s="2">
        <v>1.8</v>
      </c>
      <c r="AL183" s="2">
        <v>9.3000000000000007</v>
      </c>
      <c r="AM183" s="2">
        <v>5.7</v>
      </c>
      <c r="AN183" s="2">
        <v>10.8</v>
      </c>
      <c r="AO183" s="2">
        <v>50.6</v>
      </c>
      <c r="AP183" s="2">
        <v>54.5</v>
      </c>
      <c r="AQ183" s="2">
        <v>16.3</v>
      </c>
      <c r="AR183" s="2">
        <v>101.31</v>
      </c>
      <c r="AS183" s="2">
        <v>8.1</v>
      </c>
      <c r="AT183" s="2">
        <v>3967</v>
      </c>
      <c r="AU183" s="53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6"/>
    </row>
    <row r="184" spans="1:69" ht="13.2">
      <c r="A184" s="1" t="s">
        <v>392</v>
      </c>
      <c r="B184" s="1" t="s">
        <v>393</v>
      </c>
      <c r="C184" s="24" t="str">
        <f>VLOOKUP(B184,Equipe!$A$1:$B$31,2,FALSE)</f>
        <v>Utah Jazz</v>
      </c>
      <c r="D184" s="2">
        <v>23</v>
      </c>
      <c r="E184" s="2">
        <v>58</v>
      </c>
      <c r="F184" s="2">
        <v>14</v>
      </c>
      <c r="G184" s="2">
        <v>44</v>
      </c>
      <c r="H184" s="2">
        <v>30</v>
      </c>
      <c r="I184" s="3">
        <v>644</v>
      </c>
      <c r="J184" s="4">
        <v>278</v>
      </c>
      <c r="K184" s="4">
        <v>418</v>
      </c>
      <c r="L184" s="3">
        <v>66.3</v>
      </c>
      <c r="M184" s="4">
        <v>6</v>
      </c>
      <c r="N184" s="4">
        <v>35</v>
      </c>
      <c r="O184" s="3">
        <v>17.600000000000001</v>
      </c>
      <c r="P184" s="3">
        <v>81</v>
      </c>
      <c r="Q184" s="3">
        <v>151</v>
      </c>
      <c r="R184" s="3">
        <v>52</v>
      </c>
      <c r="S184" s="4">
        <v>267</v>
      </c>
      <c r="T184" s="4">
        <v>441</v>
      </c>
      <c r="U184" s="4">
        <v>708</v>
      </c>
      <c r="V184" s="4">
        <v>99</v>
      </c>
      <c r="W184" s="4">
        <v>87</v>
      </c>
      <c r="X184" s="4">
        <v>35</v>
      </c>
      <c r="Y184" s="4">
        <v>139</v>
      </c>
      <c r="Z184" s="4">
        <v>128</v>
      </c>
      <c r="AA184" s="3">
        <v>2071</v>
      </c>
      <c r="AB184" s="3">
        <v>28</v>
      </c>
      <c r="AC184" s="3">
        <v>0</v>
      </c>
      <c r="AD184" s="2">
        <v>-5.7</v>
      </c>
      <c r="AE184" s="2">
        <v>109.2</v>
      </c>
      <c r="AF184" s="2">
        <v>118.3</v>
      </c>
      <c r="AG184" s="2">
        <v>-9.1</v>
      </c>
      <c r="AH184" s="2">
        <v>8.3000000000000007</v>
      </c>
      <c r="AI184" s="2">
        <v>1.1299999999999999</v>
      </c>
      <c r="AJ184" s="2">
        <v>14.6</v>
      </c>
      <c r="AK184" s="2">
        <v>14.5</v>
      </c>
      <c r="AL184" s="2">
        <v>23.5</v>
      </c>
      <c r="AM184" s="2">
        <v>19</v>
      </c>
      <c r="AN184" s="2">
        <v>13</v>
      </c>
      <c r="AO184" s="2">
        <v>67.099999999999994</v>
      </c>
      <c r="AP184" s="2">
        <v>66</v>
      </c>
      <c r="AQ184" s="2">
        <v>13.3</v>
      </c>
      <c r="AR184" s="2">
        <v>100.8</v>
      </c>
      <c r="AS184" s="2">
        <v>12.7</v>
      </c>
      <c r="AT184" s="2">
        <v>3656</v>
      </c>
      <c r="AU184" s="53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6"/>
    </row>
    <row r="185" spans="1:69" ht="13.2">
      <c r="A185" s="1" t="s">
        <v>394</v>
      </c>
      <c r="B185" s="1" t="s">
        <v>395</v>
      </c>
      <c r="C185" s="24" t="str">
        <f>VLOOKUP(B185,Equipe!$A$1:$B$31,2,FALSE)</f>
        <v>Oklahoma City Thunder</v>
      </c>
      <c r="D185" s="2">
        <v>27</v>
      </c>
      <c r="E185" s="2">
        <v>57</v>
      </c>
      <c r="F185" s="2">
        <v>49</v>
      </c>
      <c r="G185" s="2">
        <v>8</v>
      </c>
      <c r="H185" s="2">
        <v>27.9</v>
      </c>
      <c r="I185" s="3">
        <v>638</v>
      </c>
      <c r="J185" s="4">
        <v>279</v>
      </c>
      <c r="K185" s="4">
        <v>479</v>
      </c>
      <c r="L185" s="3">
        <v>58.1</v>
      </c>
      <c r="M185" s="3">
        <v>0</v>
      </c>
      <c r="N185" s="4">
        <v>17</v>
      </c>
      <c r="O185" s="3">
        <v>0</v>
      </c>
      <c r="P185" s="3">
        <v>80</v>
      </c>
      <c r="Q185" s="3">
        <v>120</v>
      </c>
      <c r="R185" s="3">
        <v>67.5</v>
      </c>
      <c r="S185" s="4">
        <v>165</v>
      </c>
      <c r="T185" s="4">
        <v>450</v>
      </c>
      <c r="U185" s="4">
        <v>610</v>
      </c>
      <c r="V185" s="4">
        <v>217</v>
      </c>
      <c r="W185" s="4">
        <v>97</v>
      </c>
      <c r="X185" s="4">
        <v>46</v>
      </c>
      <c r="Y185" s="4">
        <v>63</v>
      </c>
      <c r="Z185" s="4">
        <v>171</v>
      </c>
      <c r="AA185" s="3">
        <v>1927</v>
      </c>
      <c r="AB185" s="3">
        <v>28</v>
      </c>
      <c r="AC185" s="3">
        <v>0</v>
      </c>
      <c r="AD185" s="2">
        <v>7.3</v>
      </c>
      <c r="AE185" s="2">
        <v>118.3</v>
      </c>
      <c r="AF185" s="2">
        <v>105.3</v>
      </c>
      <c r="AG185" s="2">
        <v>13</v>
      </c>
      <c r="AH185" s="2">
        <v>17.7</v>
      </c>
      <c r="AI185" s="2">
        <v>2.27</v>
      </c>
      <c r="AJ185" s="2">
        <v>25.8</v>
      </c>
      <c r="AK185" s="2">
        <v>10.3</v>
      </c>
      <c r="AL185" s="2">
        <v>26.2</v>
      </c>
      <c r="AM185" s="2">
        <v>18.5</v>
      </c>
      <c r="AN185" s="2">
        <v>11.3</v>
      </c>
      <c r="AO185" s="2">
        <v>58.1</v>
      </c>
      <c r="AP185" s="2">
        <v>59.9</v>
      </c>
      <c r="AQ185" s="2">
        <v>16.5</v>
      </c>
      <c r="AR185" s="2">
        <v>101.56</v>
      </c>
      <c r="AS185" s="2">
        <v>13.8</v>
      </c>
      <c r="AT185" s="2">
        <v>3355</v>
      </c>
      <c r="AU185" s="53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6"/>
    </row>
    <row r="186" spans="1:69" ht="13.2">
      <c r="A186" s="1" t="s">
        <v>398</v>
      </c>
      <c r="B186" s="1" t="s">
        <v>399</v>
      </c>
      <c r="C186" s="24" t="str">
        <f>VLOOKUP(B186,Equipe!$A$1:$B$31,2,FALSE)</f>
        <v>Orlando Magic</v>
      </c>
      <c r="D186" s="2">
        <v>25</v>
      </c>
      <c r="E186" s="2">
        <v>67</v>
      </c>
      <c r="F186" s="2">
        <v>35</v>
      </c>
      <c r="G186" s="2">
        <v>32</v>
      </c>
      <c r="H186" s="2">
        <v>18.399999999999999</v>
      </c>
      <c r="I186" s="3">
        <v>630</v>
      </c>
      <c r="J186" s="4">
        <v>228</v>
      </c>
      <c r="K186" s="4">
        <v>543</v>
      </c>
      <c r="L186" s="3">
        <v>42.4</v>
      </c>
      <c r="M186" s="4">
        <v>74</v>
      </c>
      <c r="N186" s="4">
        <v>221</v>
      </c>
      <c r="O186" s="3">
        <v>35.299999999999997</v>
      </c>
      <c r="P186" s="3">
        <v>94</v>
      </c>
      <c r="Q186" s="3">
        <v>114</v>
      </c>
      <c r="R186" s="3">
        <v>82.3</v>
      </c>
      <c r="S186" s="4">
        <v>47</v>
      </c>
      <c r="T186" s="4">
        <v>161</v>
      </c>
      <c r="U186" s="4">
        <v>201</v>
      </c>
      <c r="V186" s="4">
        <v>194</v>
      </c>
      <c r="W186" s="4">
        <v>101</v>
      </c>
      <c r="X186" s="4">
        <v>47</v>
      </c>
      <c r="Y186" s="4">
        <v>34</v>
      </c>
      <c r="Z186" s="4">
        <v>154</v>
      </c>
      <c r="AA186" s="3">
        <v>1286</v>
      </c>
      <c r="AB186" s="3">
        <v>0</v>
      </c>
      <c r="AC186" s="3">
        <v>0</v>
      </c>
      <c r="AD186" s="2">
        <v>-0.2</v>
      </c>
      <c r="AE186" s="2">
        <v>107.7</v>
      </c>
      <c r="AF186" s="2">
        <v>109</v>
      </c>
      <c r="AG186" s="2">
        <v>-1.2</v>
      </c>
      <c r="AH186" s="2">
        <v>25.3</v>
      </c>
      <c r="AI186" s="2">
        <v>1.85</v>
      </c>
      <c r="AJ186" s="2">
        <v>21.6</v>
      </c>
      <c r="AK186" s="2">
        <v>3.4</v>
      </c>
      <c r="AL186" s="2">
        <v>13.1</v>
      </c>
      <c r="AM186" s="2">
        <v>8</v>
      </c>
      <c r="AN186" s="2">
        <v>11.6</v>
      </c>
      <c r="AO186" s="2">
        <v>49.4</v>
      </c>
      <c r="AP186" s="2">
        <v>53.1</v>
      </c>
      <c r="AQ186" s="2">
        <v>23.8</v>
      </c>
      <c r="AR186" s="2">
        <v>97.7</v>
      </c>
      <c r="AS186" s="2">
        <v>10.5</v>
      </c>
      <c r="AT186" s="2">
        <v>2519</v>
      </c>
      <c r="AU186" s="53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6"/>
    </row>
    <row r="187" spans="1:69" ht="13.2">
      <c r="A187" s="1" t="s">
        <v>396</v>
      </c>
      <c r="B187" s="1" t="s">
        <v>397</v>
      </c>
      <c r="C187" s="24" t="str">
        <f>VLOOKUP(B187,Equipe!$A$1:$B$31,2,FALSE)</f>
        <v>Brooklyn Nets</v>
      </c>
      <c r="D187" s="2">
        <v>23</v>
      </c>
      <c r="E187" s="2">
        <v>63</v>
      </c>
      <c r="F187" s="2">
        <v>22</v>
      </c>
      <c r="G187" s="2">
        <v>41</v>
      </c>
      <c r="H187" s="2">
        <v>24.5</v>
      </c>
      <c r="I187" s="3">
        <v>630</v>
      </c>
      <c r="J187" s="4">
        <v>214</v>
      </c>
      <c r="K187" s="4">
        <v>523</v>
      </c>
      <c r="L187" s="3">
        <v>41.2</v>
      </c>
      <c r="M187" s="4">
        <v>101</v>
      </c>
      <c r="N187" s="4">
        <v>302</v>
      </c>
      <c r="O187" s="3">
        <v>34.1</v>
      </c>
      <c r="P187" s="3">
        <v>101</v>
      </c>
      <c r="Q187" s="3">
        <v>126</v>
      </c>
      <c r="R187" s="3">
        <v>82.1</v>
      </c>
      <c r="S187" s="4">
        <v>63</v>
      </c>
      <c r="T187" s="4">
        <v>227</v>
      </c>
      <c r="U187" s="4">
        <v>290</v>
      </c>
      <c r="V187" s="4">
        <v>82</v>
      </c>
      <c r="W187" s="4">
        <v>69</v>
      </c>
      <c r="X187" s="4">
        <v>63</v>
      </c>
      <c r="Y187" s="4">
        <v>25</v>
      </c>
      <c r="Z187" s="4">
        <v>151</v>
      </c>
      <c r="AA187" s="3">
        <v>1304</v>
      </c>
      <c r="AB187" s="3">
        <v>2</v>
      </c>
      <c r="AC187" s="3">
        <v>0</v>
      </c>
      <c r="AD187" s="2">
        <v>-5.2</v>
      </c>
      <c r="AE187" s="2">
        <v>106.5</v>
      </c>
      <c r="AF187" s="2">
        <v>116.2</v>
      </c>
      <c r="AG187" s="2">
        <v>-9.6999999999999993</v>
      </c>
      <c r="AH187" s="2">
        <v>8.6</v>
      </c>
      <c r="AI187" s="2">
        <v>1.25</v>
      </c>
      <c r="AJ187" s="2">
        <v>11.6</v>
      </c>
      <c r="AK187" s="2">
        <v>3.7</v>
      </c>
      <c r="AL187" s="2">
        <v>15.4</v>
      </c>
      <c r="AM187" s="2">
        <v>9.3000000000000007</v>
      </c>
      <c r="AN187" s="2">
        <v>9.3000000000000007</v>
      </c>
      <c r="AO187" s="2">
        <v>51.1</v>
      </c>
      <c r="AP187" s="2">
        <v>55</v>
      </c>
      <c r="AQ187" s="2">
        <v>17.899999999999999</v>
      </c>
      <c r="AR187" s="2">
        <v>97.77</v>
      </c>
      <c r="AS187" s="2">
        <v>8.1</v>
      </c>
      <c r="AT187" s="2">
        <v>3128</v>
      </c>
      <c r="AU187" s="53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6"/>
    </row>
    <row r="188" spans="1:69" ht="13.2">
      <c r="A188" s="8" t="s">
        <v>400</v>
      </c>
      <c r="B188" s="1" t="s">
        <v>401</v>
      </c>
      <c r="C188" s="24" t="str">
        <f>VLOOKUP(B188,Equipe!$A$1:$B$31,2,FALSE)</f>
        <v>Orlando Magic</v>
      </c>
      <c r="D188" s="2">
        <v>26</v>
      </c>
      <c r="E188" s="2">
        <v>68</v>
      </c>
      <c r="F188" s="2">
        <v>31</v>
      </c>
      <c r="G188" s="2">
        <v>37</v>
      </c>
      <c r="H188" s="2">
        <v>25.9</v>
      </c>
      <c r="I188" s="3">
        <v>619</v>
      </c>
      <c r="J188" s="4">
        <v>224</v>
      </c>
      <c r="K188" s="4">
        <v>490</v>
      </c>
      <c r="L188" s="3">
        <v>46</v>
      </c>
      <c r="M188" s="4">
        <v>34</v>
      </c>
      <c r="N188" s="4">
        <v>156</v>
      </c>
      <c r="O188" s="3">
        <v>23.4</v>
      </c>
      <c r="P188" s="3">
        <v>129</v>
      </c>
      <c r="Q188" s="3">
        <v>177</v>
      </c>
      <c r="R188" s="3">
        <v>73.7</v>
      </c>
      <c r="S188" s="4">
        <v>150</v>
      </c>
      <c r="T188" s="4">
        <v>340</v>
      </c>
      <c r="U188" s="4">
        <v>490</v>
      </c>
      <c r="V188" s="4">
        <v>136</v>
      </c>
      <c r="W188" s="4">
        <v>75</v>
      </c>
      <c r="X188" s="4">
        <v>54</v>
      </c>
      <c r="Y188" s="4">
        <v>41</v>
      </c>
      <c r="Z188" s="4">
        <v>197</v>
      </c>
      <c r="AA188" s="3">
        <v>1612</v>
      </c>
      <c r="AB188" s="3">
        <v>10</v>
      </c>
      <c r="AC188" s="3">
        <v>0</v>
      </c>
      <c r="AD188" s="2">
        <v>-0.2</v>
      </c>
      <c r="AE188" s="2">
        <v>107.8</v>
      </c>
      <c r="AF188" s="2">
        <v>107.8</v>
      </c>
      <c r="AG188" s="2">
        <v>0</v>
      </c>
      <c r="AH188" s="2">
        <v>11.7</v>
      </c>
      <c r="AI188" s="2">
        <v>1.74</v>
      </c>
      <c r="AJ188" s="2">
        <v>17.2</v>
      </c>
      <c r="AK188" s="2">
        <v>8.3000000000000007</v>
      </c>
      <c r="AL188" s="2">
        <v>20.2</v>
      </c>
      <c r="AM188" s="2">
        <v>14</v>
      </c>
      <c r="AN188" s="2">
        <v>9.9</v>
      </c>
      <c r="AO188" s="2">
        <v>49.8</v>
      </c>
      <c r="AP188" s="2">
        <v>54.4</v>
      </c>
      <c r="AQ188" s="2">
        <v>15.9</v>
      </c>
      <c r="AR188" s="2">
        <v>97.19</v>
      </c>
      <c r="AS188" s="2">
        <v>9.9</v>
      </c>
      <c r="AT188" s="2">
        <v>3554</v>
      </c>
      <c r="AU188" s="53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6"/>
    </row>
    <row r="189" spans="1:69" ht="13.2">
      <c r="A189" s="1" t="s">
        <v>402</v>
      </c>
      <c r="B189" s="1" t="s">
        <v>403</v>
      </c>
      <c r="C189" s="24" t="str">
        <f>VLOOKUP(B189,Equipe!$A$1:$B$31,2,FALSE)</f>
        <v>Utah Jazz</v>
      </c>
      <c r="D189" s="2">
        <v>20</v>
      </c>
      <c r="E189" s="2">
        <v>71</v>
      </c>
      <c r="F189" s="2">
        <v>14</v>
      </c>
      <c r="G189" s="2">
        <v>57</v>
      </c>
      <c r="H189" s="2">
        <v>25.9</v>
      </c>
      <c r="I189" s="3">
        <v>618</v>
      </c>
      <c r="J189" s="4">
        <v>234</v>
      </c>
      <c r="K189" s="4">
        <v>554</v>
      </c>
      <c r="L189" s="3">
        <v>42.2</v>
      </c>
      <c r="M189" s="4">
        <v>43</v>
      </c>
      <c r="N189" s="4">
        <v>170</v>
      </c>
      <c r="O189" s="3">
        <v>24.9</v>
      </c>
      <c r="P189" s="3">
        <v>107</v>
      </c>
      <c r="Q189" s="3">
        <v>156</v>
      </c>
      <c r="R189" s="3">
        <v>68.2</v>
      </c>
      <c r="S189" s="4">
        <v>36</v>
      </c>
      <c r="T189" s="4">
        <v>206</v>
      </c>
      <c r="U189" s="4">
        <v>234</v>
      </c>
      <c r="V189" s="4">
        <v>447</v>
      </c>
      <c r="W189" s="4">
        <v>206</v>
      </c>
      <c r="X189" s="4">
        <v>64</v>
      </c>
      <c r="Y189" s="4">
        <v>14</v>
      </c>
      <c r="Z189" s="4">
        <v>149</v>
      </c>
      <c r="AA189" s="3">
        <v>1605</v>
      </c>
      <c r="AB189" s="3">
        <v>11</v>
      </c>
      <c r="AC189" s="3">
        <v>0</v>
      </c>
      <c r="AD189" s="2">
        <v>-5.7</v>
      </c>
      <c r="AE189" s="2">
        <v>108.3</v>
      </c>
      <c r="AF189" s="2">
        <v>118.6</v>
      </c>
      <c r="AG189" s="2">
        <v>-10.4</v>
      </c>
      <c r="AH189" s="2">
        <v>34.200000000000003</v>
      </c>
      <c r="AI189" s="2">
        <v>2.14</v>
      </c>
      <c r="AJ189" s="2">
        <v>34.9</v>
      </c>
      <c r="AK189" s="2">
        <v>1.7</v>
      </c>
      <c r="AL189" s="2">
        <v>10.4</v>
      </c>
      <c r="AM189" s="2">
        <v>6.1</v>
      </c>
      <c r="AN189" s="2">
        <v>16.3</v>
      </c>
      <c r="AO189" s="2">
        <v>45.9</v>
      </c>
      <c r="AP189" s="2">
        <v>49.4</v>
      </c>
      <c r="AQ189" s="2">
        <v>18.600000000000001</v>
      </c>
      <c r="AR189" s="2">
        <v>102.44</v>
      </c>
      <c r="AS189" s="2">
        <v>7.7</v>
      </c>
      <c r="AT189" s="2">
        <v>3927</v>
      </c>
      <c r="AU189" s="53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6"/>
    </row>
    <row r="190" spans="1:69" ht="13.2">
      <c r="A190" s="1" t="s">
        <v>404</v>
      </c>
      <c r="B190" s="1" t="s">
        <v>405</v>
      </c>
      <c r="C190" s="24" t="str">
        <f>VLOOKUP(B190,Equipe!$A$1:$B$31,2,FALSE)</f>
        <v>San Antonio Spurs</v>
      </c>
      <c r="D190" s="2">
        <v>22</v>
      </c>
      <c r="E190" s="2">
        <v>54</v>
      </c>
      <c r="F190" s="2">
        <v>21</v>
      </c>
      <c r="G190" s="2">
        <v>33</v>
      </c>
      <c r="H190" s="2">
        <v>25.3</v>
      </c>
      <c r="I190" s="3">
        <v>616</v>
      </c>
      <c r="J190" s="4">
        <v>248</v>
      </c>
      <c r="K190" s="4">
        <v>470</v>
      </c>
      <c r="L190" s="3">
        <v>53.5</v>
      </c>
      <c r="M190" s="4">
        <v>27</v>
      </c>
      <c r="N190" s="4">
        <v>92</v>
      </c>
      <c r="O190" s="3">
        <v>30.8</v>
      </c>
      <c r="P190" s="3">
        <v>86</v>
      </c>
      <c r="Q190" s="3">
        <v>124</v>
      </c>
      <c r="R190" s="3">
        <v>69.599999999999994</v>
      </c>
      <c r="S190" s="4">
        <v>130</v>
      </c>
      <c r="T190" s="4">
        <v>227</v>
      </c>
      <c r="U190" s="4">
        <v>351</v>
      </c>
      <c r="V190" s="4">
        <v>130</v>
      </c>
      <c r="W190" s="4">
        <v>86</v>
      </c>
      <c r="X190" s="4">
        <v>43</v>
      </c>
      <c r="Y190" s="4">
        <v>27</v>
      </c>
      <c r="Z190" s="4">
        <v>130</v>
      </c>
      <c r="AA190" s="3">
        <v>1361</v>
      </c>
      <c r="AB190" s="3">
        <v>8</v>
      </c>
      <c r="AC190" s="3">
        <v>0</v>
      </c>
      <c r="AD190" s="2">
        <v>-1.6</v>
      </c>
      <c r="AE190" s="2">
        <v>111.9</v>
      </c>
      <c r="AF190" s="2">
        <v>114.5</v>
      </c>
      <c r="AG190" s="2">
        <v>-2.7</v>
      </c>
      <c r="AH190" s="2">
        <v>13.8</v>
      </c>
      <c r="AI190" s="2">
        <v>1.52</v>
      </c>
      <c r="AJ190" s="2">
        <v>17.399999999999999</v>
      </c>
      <c r="AK190" s="2">
        <v>8.8000000000000007</v>
      </c>
      <c r="AL190" s="2">
        <v>15.4</v>
      </c>
      <c r="AM190" s="2">
        <v>12.1</v>
      </c>
      <c r="AN190" s="2">
        <v>11.4</v>
      </c>
      <c r="AO190" s="2">
        <v>56.5</v>
      </c>
      <c r="AP190" s="2">
        <v>58.9</v>
      </c>
      <c r="AQ190" s="2">
        <v>18.399999999999999</v>
      </c>
      <c r="AR190" s="2">
        <v>101.53</v>
      </c>
      <c r="AS190" s="2">
        <v>10.1</v>
      </c>
      <c r="AT190" s="2">
        <v>2880</v>
      </c>
      <c r="AU190" s="53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6"/>
    </row>
    <row r="191" spans="1:69" ht="13.2">
      <c r="A191" s="1" t="s">
        <v>406</v>
      </c>
      <c r="B191" s="1" t="s">
        <v>407</v>
      </c>
      <c r="C191" s="24" t="str">
        <f>VLOOKUP(B191,Equipe!$A$1:$B$31,2,FALSE)</f>
        <v>Golden State Warriors</v>
      </c>
      <c r="D191" s="2">
        <v>35</v>
      </c>
      <c r="E191" s="2">
        <v>68</v>
      </c>
      <c r="F191" s="2">
        <v>42</v>
      </c>
      <c r="G191" s="2">
        <v>26</v>
      </c>
      <c r="H191" s="2">
        <v>29.2</v>
      </c>
      <c r="I191" s="3">
        <v>612</v>
      </c>
      <c r="J191" s="4">
        <v>218</v>
      </c>
      <c r="K191" s="4">
        <v>510</v>
      </c>
      <c r="L191" s="3">
        <v>42.4</v>
      </c>
      <c r="M191" s="4">
        <v>82</v>
      </c>
      <c r="N191" s="4">
        <v>245</v>
      </c>
      <c r="O191" s="3">
        <v>32.5</v>
      </c>
      <c r="P191" s="3">
        <v>102</v>
      </c>
      <c r="Q191" s="3">
        <v>150</v>
      </c>
      <c r="R191" s="3">
        <v>68.7</v>
      </c>
      <c r="S191" s="4">
        <v>75</v>
      </c>
      <c r="T191" s="4">
        <v>340</v>
      </c>
      <c r="U191" s="4">
        <v>415</v>
      </c>
      <c r="V191" s="4">
        <v>381</v>
      </c>
      <c r="W191" s="4">
        <v>177</v>
      </c>
      <c r="X191" s="4">
        <v>102</v>
      </c>
      <c r="Y191" s="4">
        <v>68</v>
      </c>
      <c r="Z191" s="4">
        <v>218</v>
      </c>
      <c r="AA191" s="3">
        <v>2020</v>
      </c>
      <c r="AB191" s="3">
        <v>6</v>
      </c>
      <c r="AC191" s="3">
        <v>1</v>
      </c>
      <c r="AD191" s="2">
        <v>4</v>
      </c>
      <c r="AE191" s="2">
        <v>115.4</v>
      </c>
      <c r="AF191" s="2">
        <v>108.8</v>
      </c>
      <c r="AG191" s="2">
        <v>6.6</v>
      </c>
      <c r="AH191" s="2">
        <v>25.5</v>
      </c>
      <c r="AI191" s="2">
        <v>2.2000000000000002</v>
      </c>
      <c r="AJ191" s="2">
        <v>33.9</v>
      </c>
      <c r="AK191" s="2">
        <v>3.6</v>
      </c>
      <c r="AL191" s="2">
        <v>16.8</v>
      </c>
      <c r="AM191" s="2">
        <v>10.199999999999999</v>
      </c>
      <c r="AN191" s="2">
        <v>15.4</v>
      </c>
      <c r="AO191" s="2">
        <v>50.3</v>
      </c>
      <c r="AP191" s="2">
        <v>53.4</v>
      </c>
      <c r="AQ191" s="2">
        <v>15.7</v>
      </c>
      <c r="AR191" s="2">
        <v>101.35</v>
      </c>
      <c r="AS191" s="2">
        <v>8.8000000000000007</v>
      </c>
      <c r="AT191" s="2">
        <v>4186</v>
      </c>
      <c r="AU191" s="53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6"/>
    </row>
    <row r="192" spans="1:69" ht="13.2">
      <c r="A192" s="1" t="s">
        <v>408</v>
      </c>
      <c r="B192" s="1" t="s">
        <v>409</v>
      </c>
      <c r="C192" s="24" t="str">
        <f>VLOOKUP(B192,Equipe!$A$1:$B$31,2,FALSE)</f>
        <v>New York Knicks</v>
      </c>
      <c r="D192" s="2">
        <v>24</v>
      </c>
      <c r="E192" s="2">
        <v>64</v>
      </c>
      <c r="F192" s="2">
        <v>39</v>
      </c>
      <c r="G192" s="2">
        <v>25</v>
      </c>
      <c r="H192" s="2">
        <v>24.9</v>
      </c>
      <c r="I192" s="3">
        <v>608</v>
      </c>
      <c r="J192" s="4">
        <v>224</v>
      </c>
      <c r="K192" s="4">
        <v>544</v>
      </c>
      <c r="L192" s="3">
        <v>40.6</v>
      </c>
      <c r="M192" s="4">
        <v>115</v>
      </c>
      <c r="N192" s="4">
        <v>314</v>
      </c>
      <c r="O192" s="3">
        <v>36.9</v>
      </c>
      <c r="P192" s="3">
        <v>51</v>
      </c>
      <c r="Q192" s="3">
        <v>64</v>
      </c>
      <c r="R192" s="3">
        <v>81.3</v>
      </c>
      <c r="S192" s="4">
        <v>45</v>
      </c>
      <c r="T192" s="4">
        <v>115</v>
      </c>
      <c r="U192" s="4">
        <v>160</v>
      </c>
      <c r="V192" s="4">
        <v>186</v>
      </c>
      <c r="W192" s="4">
        <v>38</v>
      </c>
      <c r="X192" s="4">
        <v>64</v>
      </c>
      <c r="Y192" s="4">
        <v>19</v>
      </c>
      <c r="Z192" s="4">
        <v>109</v>
      </c>
      <c r="AA192" s="3">
        <v>1293</v>
      </c>
      <c r="AB192" s="3">
        <v>0</v>
      </c>
      <c r="AC192" s="3">
        <v>0</v>
      </c>
      <c r="AD192" s="2">
        <v>3.3</v>
      </c>
      <c r="AE192" s="2">
        <v>116.8</v>
      </c>
      <c r="AF192" s="2">
        <v>109.7</v>
      </c>
      <c r="AG192" s="2">
        <v>7.1</v>
      </c>
      <c r="AH192" s="2">
        <v>15.5</v>
      </c>
      <c r="AI192" s="2">
        <v>4.5599999999999996</v>
      </c>
      <c r="AJ192" s="2">
        <v>23.3</v>
      </c>
      <c r="AK192" s="2">
        <v>2.8</v>
      </c>
      <c r="AL192" s="2">
        <v>6.9</v>
      </c>
      <c r="AM192" s="2">
        <v>4.9000000000000004</v>
      </c>
      <c r="AN192" s="2">
        <v>5.0999999999999996</v>
      </c>
      <c r="AO192" s="2">
        <v>51.1</v>
      </c>
      <c r="AP192" s="2">
        <v>53.1</v>
      </c>
      <c r="AQ192" s="2">
        <v>16.2</v>
      </c>
      <c r="AR192" s="2">
        <v>99.2</v>
      </c>
      <c r="AS192" s="2">
        <v>7.7</v>
      </c>
      <c r="AT192" s="2">
        <v>3283</v>
      </c>
      <c r="AU192" s="53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6"/>
    </row>
    <row r="193" spans="1:69" ht="13.2">
      <c r="A193" s="1" t="s">
        <v>410</v>
      </c>
      <c r="B193" s="1" t="s">
        <v>411</v>
      </c>
      <c r="C193" s="24" t="str">
        <f>VLOOKUP(B193,Equipe!$A$1:$B$31,2,FALSE)</f>
        <v>Memphis Grizzlies</v>
      </c>
      <c r="D193" s="2">
        <v>23</v>
      </c>
      <c r="E193" s="2">
        <v>66</v>
      </c>
      <c r="F193" s="2">
        <v>35</v>
      </c>
      <c r="G193" s="2">
        <v>31</v>
      </c>
      <c r="H193" s="2">
        <v>21.5</v>
      </c>
      <c r="I193" s="3">
        <v>607</v>
      </c>
      <c r="J193" s="4">
        <v>251</v>
      </c>
      <c r="K193" s="4">
        <v>436</v>
      </c>
      <c r="L193" s="3">
        <v>58</v>
      </c>
      <c r="M193" s="4">
        <v>20</v>
      </c>
      <c r="N193" s="4">
        <v>53</v>
      </c>
      <c r="O193" s="3">
        <v>34.6</v>
      </c>
      <c r="P193" s="3">
        <v>92</v>
      </c>
      <c r="Q193" s="3">
        <v>125</v>
      </c>
      <c r="R193" s="3">
        <v>70.900000000000006</v>
      </c>
      <c r="S193" s="4">
        <v>231</v>
      </c>
      <c r="T193" s="4">
        <v>317</v>
      </c>
      <c r="U193" s="4">
        <v>548</v>
      </c>
      <c r="V193" s="4">
        <v>66</v>
      </c>
      <c r="W193" s="4">
        <v>86</v>
      </c>
      <c r="X193" s="4">
        <v>33</v>
      </c>
      <c r="Y193" s="4">
        <v>86</v>
      </c>
      <c r="Z193" s="4">
        <v>185</v>
      </c>
      <c r="AA193" s="3">
        <v>1643</v>
      </c>
      <c r="AB193" s="3">
        <v>12</v>
      </c>
      <c r="AC193" s="3">
        <v>0</v>
      </c>
      <c r="AD193" s="2">
        <v>2.5</v>
      </c>
      <c r="AE193" s="2">
        <v>116.8</v>
      </c>
      <c r="AF193" s="2">
        <v>111.5</v>
      </c>
      <c r="AG193" s="2">
        <v>5.3</v>
      </c>
      <c r="AH193" s="2">
        <v>5.9</v>
      </c>
      <c r="AI193" s="2">
        <v>0.74</v>
      </c>
      <c r="AJ193" s="2">
        <v>10.199999999999999</v>
      </c>
      <c r="AK193" s="2">
        <v>15.3</v>
      </c>
      <c r="AL193" s="2">
        <v>20.399999999999999</v>
      </c>
      <c r="AM193" s="2">
        <v>17.899999999999999</v>
      </c>
      <c r="AN193" s="2">
        <v>13.9</v>
      </c>
      <c r="AO193" s="2">
        <v>60</v>
      </c>
      <c r="AP193" s="2">
        <v>62.4</v>
      </c>
      <c r="AQ193" s="2">
        <v>15.6</v>
      </c>
      <c r="AR193" s="2">
        <v>104.2</v>
      </c>
      <c r="AS193" s="2">
        <v>11.1</v>
      </c>
      <c r="AT193" s="2">
        <v>3074</v>
      </c>
      <c r="AU193" s="53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6"/>
    </row>
    <row r="194" spans="1:69" ht="13.2">
      <c r="A194" s="1" t="s">
        <v>412</v>
      </c>
      <c r="B194" s="1" t="s">
        <v>413</v>
      </c>
      <c r="C194" s="24" t="str">
        <f>VLOOKUP(B194,Equipe!$A$1:$B$31,2,FALSE)</f>
        <v>New Orleans Pelicans</v>
      </c>
      <c r="D194" s="2">
        <v>23</v>
      </c>
      <c r="E194" s="2">
        <v>56</v>
      </c>
      <c r="F194" s="2">
        <v>18</v>
      </c>
      <c r="G194" s="2">
        <v>38</v>
      </c>
      <c r="H194" s="2">
        <v>23.6</v>
      </c>
      <c r="I194" s="3">
        <v>605</v>
      </c>
      <c r="J194" s="4">
        <v>207</v>
      </c>
      <c r="K194" s="4">
        <v>554</v>
      </c>
      <c r="L194" s="3">
        <v>37.200000000000003</v>
      </c>
      <c r="M194" s="4">
        <v>112</v>
      </c>
      <c r="N194" s="4">
        <v>330</v>
      </c>
      <c r="O194" s="3">
        <v>33.1</v>
      </c>
      <c r="P194" s="3">
        <v>78</v>
      </c>
      <c r="Q194" s="3">
        <v>101</v>
      </c>
      <c r="R194" s="3">
        <v>81.599999999999994</v>
      </c>
      <c r="S194" s="4">
        <v>22</v>
      </c>
      <c r="T194" s="4">
        <v>134</v>
      </c>
      <c r="U194" s="4">
        <v>157</v>
      </c>
      <c r="V194" s="4">
        <v>67</v>
      </c>
      <c r="W194" s="4">
        <v>56</v>
      </c>
      <c r="X194" s="4">
        <v>28</v>
      </c>
      <c r="Y194" s="4">
        <v>22</v>
      </c>
      <c r="Z194" s="4">
        <v>50</v>
      </c>
      <c r="AA194" s="3">
        <v>991</v>
      </c>
      <c r="AB194" s="3">
        <v>0</v>
      </c>
      <c r="AC194" s="3">
        <v>0</v>
      </c>
      <c r="AD194" s="2">
        <v>-5.7</v>
      </c>
      <c r="AE194" s="2">
        <v>106.6</v>
      </c>
      <c r="AF194" s="2">
        <v>118.1</v>
      </c>
      <c r="AG194" s="2">
        <v>-11.4</v>
      </c>
      <c r="AH194" s="2">
        <v>7.6</v>
      </c>
      <c r="AI194" s="2">
        <v>1.1399999999999999</v>
      </c>
      <c r="AJ194" s="2">
        <v>9.1999999999999993</v>
      </c>
      <c r="AK194" s="2">
        <v>1.7</v>
      </c>
      <c r="AL194" s="2">
        <v>9.6999999999999993</v>
      </c>
      <c r="AM194" s="2">
        <v>5.6</v>
      </c>
      <c r="AN194" s="2">
        <v>8.1</v>
      </c>
      <c r="AO194" s="2">
        <v>47.1</v>
      </c>
      <c r="AP194" s="2">
        <v>50.4</v>
      </c>
      <c r="AQ194" s="2">
        <v>20.399999999999999</v>
      </c>
      <c r="AR194" s="2">
        <v>101.14</v>
      </c>
      <c r="AS194" s="2">
        <v>6.6</v>
      </c>
      <c r="AT194" s="2">
        <v>2783</v>
      </c>
      <c r="AU194" s="53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6"/>
    </row>
    <row r="195" spans="1:69" ht="13.2">
      <c r="A195" s="1" t="s">
        <v>414</v>
      </c>
      <c r="B195" s="1" t="s">
        <v>415</v>
      </c>
      <c r="C195" s="24" t="str">
        <f>VLOOKUP(B195,Equipe!$A$1:$B$31,2,FALSE)</f>
        <v>Boston Celtics</v>
      </c>
      <c r="D195" s="2">
        <v>27</v>
      </c>
      <c r="E195" s="2">
        <v>71</v>
      </c>
      <c r="F195" s="2">
        <v>52</v>
      </c>
      <c r="G195" s="2">
        <v>19</v>
      </c>
      <c r="H195" s="2">
        <v>21.7</v>
      </c>
      <c r="I195" s="3">
        <v>604</v>
      </c>
      <c r="J195" s="4">
        <v>213</v>
      </c>
      <c r="K195" s="4">
        <v>476</v>
      </c>
      <c r="L195" s="3">
        <v>45.1</v>
      </c>
      <c r="M195" s="4">
        <v>163</v>
      </c>
      <c r="N195" s="4">
        <v>398</v>
      </c>
      <c r="O195" s="3">
        <v>41.6</v>
      </c>
      <c r="P195" s="3">
        <v>14</v>
      </c>
      <c r="Q195" s="3">
        <v>14</v>
      </c>
      <c r="R195" s="3">
        <v>100</v>
      </c>
      <c r="S195" s="4">
        <v>43</v>
      </c>
      <c r="T195" s="4">
        <v>178</v>
      </c>
      <c r="U195" s="4">
        <v>227</v>
      </c>
      <c r="V195" s="4">
        <v>64</v>
      </c>
      <c r="W195" s="4">
        <v>21</v>
      </c>
      <c r="X195" s="4">
        <v>43</v>
      </c>
      <c r="Y195" s="4">
        <v>14</v>
      </c>
      <c r="Z195" s="4">
        <v>85</v>
      </c>
      <c r="AA195" s="3">
        <v>1108</v>
      </c>
      <c r="AB195" s="3">
        <v>0</v>
      </c>
      <c r="AC195" s="3">
        <v>0</v>
      </c>
      <c r="AD195" s="2">
        <v>4.5999999999999996</v>
      </c>
      <c r="AE195" s="2">
        <v>119.8</v>
      </c>
      <c r="AF195" s="2">
        <v>109.8</v>
      </c>
      <c r="AG195" s="2">
        <v>10</v>
      </c>
      <c r="AH195" s="2">
        <v>5.7</v>
      </c>
      <c r="AI195" s="2">
        <v>2.78</v>
      </c>
      <c r="AJ195" s="2">
        <v>11.3</v>
      </c>
      <c r="AK195" s="2">
        <v>2.7</v>
      </c>
      <c r="AL195" s="2">
        <v>11.3</v>
      </c>
      <c r="AM195" s="2">
        <v>7</v>
      </c>
      <c r="AN195" s="2">
        <v>4.0999999999999996</v>
      </c>
      <c r="AO195" s="2">
        <v>62.7</v>
      </c>
      <c r="AP195" s="2">
        <v>63.2</v>
      </c>
      <c r="AQ195" s="2">
        <v>14</v>
      </c>
      <c r="AR195" s="2">
        <v>96.4</v>
      </c>
      <c r="AS195" s="2">
        <v>8.3000000000000007</v>
      </c>
      <c r="AT195" s="2">
        <v>3102</v>
      </c>
      <c r="AU195" s="53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6"/>
    </row>
    <row r="196" spans="1:69" ht="13.2">
      <c r="A196" s="1" t="s">
        <v>416</v>
      </c>
      <c r="B196" s="1" t="s">
        <v>417</v>
      </c>
      <c r="C196" s="24" t="str">
        <f>VLOOKUP(B196,Equipe!$A$1:$B$31,2,FALSE)</f>
        <v>Brooklyn Nets</v>
      </c>
      <c r="D196" s="2">
        <v>23</v>
      </c>
      <c r="E196" s="2">
        <v>25</v>
      </c>
      <c r="F196" s="2">
        <v>8</v>
      </c>
      <c r="G196" s="2">
        <v>17</v>
      </c>
      <c r="H196" s="2">
        <v>31.2</v>
      </c>
      <c r="I196" s="3">
        <v>600</v>
      </c>
      <c r="J196" s="4">
        <v>200</v>
      </c>
      <c r="K196" s="4">
        <v>455</v>
      </c>
      <c r="L196" s="3">
        <v>43.8</v>
      </c>
      <c r="M196" s="4">
        <v>68</v>
      </c>
      <c r="N196" s="4">
        <v>195</v>
      </c>
      <c r="O196" s="3">
        <v>34.9</v>
      </c>
      <c r="P196" s="3">
        <v>133</v>
      </c>
      <c r="Q196" s="3">
        <v>150</v>
      </c>
      <c r="R196" s="3">
        <v>88.1</v>
      </c>
      <c r="S196" s="4">
        <v>15</v>
      </c>
      <c r="T196" s="4">
        <v>68</v>
      </c>
      <c r="U196" s="4">
        <v>83</v>
      </c>
      <c r="V196" s="4">
        <v>95</v>
      </c>
      <c r="W196" s="4">
        <v>63</v>
      </c>
      <c r="X196" s="4">
        <v>15</v>
      </c>
      <c r="Y196" s="4">
        <v>3</v>
      </c>
      <c r="Z196" s="4">
        <v>45</v>
      </c>
      <c r="AA196" s="3">
        <v>828</v>
      </c>
      <c r="AB196" s="3">
        <v>1</v>
      </c>
      <c r="AC196" s="3">
        <v>0</v>
      </c>
      <c r="AD196" s="2">
        <v>-3.7</v>
      </c>
      <c r="AE196" s="2">
        <v>114.9</v>
      </c>
      <c r="AF196" s="2">
        <v>120.6</v>
      </c>
      <c r="AG196" s="2">
        <v>-5.7</v>
      </c>
      <c r="AH196" s="2">
        <v>21.7</v>
      </c>
      <c r="AI196" s="2">
        <v>1.52</v>
      </c>
      <c r="AJ196" s="2">
        <v>14</v>
      </c>
      <c r="AK196" s="2">
        <v>2</v>
      </c>
      <c r="AL196" s="2">
        <v>8.9</v>
      </c>
      <c r="AM196" s="2">
        <v>5.4</v>
      </c>
      <c r="AN196" s="2">
        <v>9.1999999999999993</v>
      </c>
      <c r="AO196" s="2">
        <v>51.3</v>
      </c>
      <c r="AP196" s="2">
        <v>57.5</v>
      </c>
      <c r="AQ196" s="2">
        <v>32.799999999999997</v>
      </c>
      <c r="AR196" s="2">
        <v>96.1</v>
      </c>
      <c r="AS196" s="2">
        <v>12.2</v>
      </c>
      <c r="AT196" s="2">
        <v>1563</v>
      </c>
      <c r="AU196" s="53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6"/>
    </row>
    <row r="197" spans="1:69" ht="13.2">
      <c r="A197" s="1" t="s">
        <v>418</v>
      </c>
      <c r="B197" s="1" t="s">
        <v>419</v>
      </c>
      <c r="C197" s="24" t="str">
        <f>VLOOKUP(B197,Equipe!$A$1:$B$31,2,FALSE)</f>
        <v>Utah Jazz</v>
      </c>
      <c r="D197" s="2">
        <v>33</v>
      </c>
      <c r="E197" s="2">
        <v>37</v>
      </c>
      <c r="F197" s="2">
        <v>10</v>
      </c>
      <c r="G197" s="2">
        <v>27</v>
      </c>
      <c r="H197" s="2">
        <v>26</v>
      </c>
      <c r="I197" s="3">
        <v>599</v>
      </c>
      <c r="J197" s="4">
        <v>200</v>
      </c>
      <c r="K197" s="4">
        <v>492</v>
      </c>
      <c r="L197" s="3">
        <v>40.799999999999997</v>
      </c>
      <c r="M197" s="4">
        <v>85</v>
      </c>
      <c r="N197" s="4">
        <v>233</v>
      </c>
      <c r="O197" s="3">
        <v>36.200000000000003</v>
      </c>
      <c r="P197" s="3">
        <v>115</v>
      </c>
      <c r="Q197" s="3">
        <v>144</v>
      </c>
      <c r="R197" s="3">
        <v>79.7</v>
      </c>
      <c r="S197" s="4">
        <v>26</v>
      </c>
      <c r="T197" s="4">
        <v>93</v>
      </c>
      <c r="U197" s="4">
        <v>118</v>
      </c>
      <c r="V197" s="4">
        <v>137</v>
      </c>
      <c r="W197" s="4">
        <v>85</v>
      </c>
      <c r="X197" s="4">
        <v>30</v>
      </c>
      <c r="Y197" s="4">
        <v>7</v>
      </c>
      <c r="Z197" s="4">
        <v>52</v>
      </c>
      <c r="AA197" s="3">
        <v>984</v>
      </c>
      <c r="AB197" s="3">
        <v>0</v>
      </c>
      <c r="AC197" s="3">
        <v>0</v>
      </c>
      <c r="AD197" s="2">
        <v>-5.5</v>
      </c>
      <c r="AE197" s="2">
        <v>107.5</v>
      </c>
      <c r="AF197" s="2">
        <v>117.5</v>
      </c>
      <c r="AG197" s="2">
        <v>-10</v>
      </c>
      <c r="AH197" s="2">
        <v>23.8</v>
      </c>
      <c r="AI197" s="2">
        <v>1.6</v>
      </c>
      <c r="AJ197" s="2">
        <v>17.8</v>
      </c>
      <c r="AK197" s="2">
        <v>2.5</v>
      </c>
      <c r="AL197" s="2">
        <v>9.1999999999999993</v>
      </c>
      <c r="AM197" s="2">
        <v>5.8</v>
      </c>
      <c r="AN197" s="2">
        <v>11.1</v>
      </c>
      <c r="AO197" s="2">
        <v>49.3</v>
      </c>
      <c r="AP197" s="2">
        <v>54</v>
      </c>
      <c r="AQ197" s="2">
        <v>26.9</v>
      </c>
      <c r="AR197" s="2">
        <v>102.16</v>
      </c>
      <c r="AS197" s="2">
        <v>10.199999999999999</v>
      </c>
      <c r="AT197" s="2">
        <v>2049</v>
      </c>
      <c r="AU197" s="53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6"/>
    </row>
    <row r="198" spans="1:69" ht="13.2">
      <c r="A198" s="1" t="s">
        <v>420</v>
      </c>
      <c r="B198" s="1" t="s">
        <v>421</v>
      </c>
      <c r="C198" s="24" t="str">
        <f>VLOOKUP(B198,Equipe!$A$1:$B$31,2,FALSE)</f>
        <v>Detroit Pistons</v>
      </c>
      <c r="D198" s="2">
        <v>22</v>
      </c>
      <c r="E198" s="2">
        <v>59</v>
      </c>
      <c r="F198" s="2">
        <v>34</v>
      </c>
      <c r="G198" s="2">
        <v>25</v>
      </c>
      <c r="H198" s="2">
        <v>22.5</v>
      </c>
      <c r="I198" s="3">
        <v>596</v>
      </c>
      <c r="J198" s="4">
        <v>248</v>
      </c>
      <c r="K198" s="4">
        <v>460</v>
      </c>
      <c r="L198" s="3">
        <v>53.5</v>
      </c>
      <c r="M198" s="4">
        <v>12</v>
      </c>
      <c r="N198" s="4">
        <v>47</v>
      </c>
      <c r="O198" s="3">
        <v>22.4</v>
      </c>
      <c r="P198" s="3">
        <v>89</v>
      </c>
      <c r="Q198" s="3">
        <v>142</v>
      </c>
      <c r="R198" s="3">
        <v>64.099999999999994</v>
      </c>
      <c r="S198" s="4">
        <v>112</v>
      </c>
      <c r="T198" s="4">
        <v>195</v>
      </c>
      <c r="U198" s="4">
        <v>301</v>
      </c>
      <c r="V198" s="4">
        <v>136</v>
      </c>
      <c r="W198" s="4">
        <v>83</v>
      </c>
      <c r="X198" s="4">
        <v>100</v>
      </c>
      <c r="Y198" s="4">
        <v>41</v>
      </c>
      <c r="Z198" s="4">
        <v>165</v>
      </c>
      <c r="AA198" s="3">
        <v>1493</v>
      </c>
      <c r="AB198" s="3">
        <v>3</v>
      </c>
      <c r="AC198" s="3">
        <v>0</v>
      </c>
      <c r="AD198" s="2">
        <v>1.1000000000000001</v>
      </c>
      <c r="AE198" s="2">
        <v>113.1</v>
      </c>
      <c r="AF198" s="2">
        <v>109.2</v>
      </c>
      <c r="AG198" s="2">
        <v>4</v>
      </c>
      <c r="AH198" s="2">
        <v>13.9</v>
      </c>
      <c r="AI198" s="2">
        <v>1.68</v>
      </c>
      <c r="AJ198" s="2">
        <v>18.2</v>
      </c>
      <c r="AK198" s="2">
        <v>8.1</v>
      </c>
      <c r="AL198" s="2">
        <v>13.9</v>
      </c>
      <c r="AM198" s="2">
        <v>11</v>
      </c>
      <c r="AN198" s="2">
        <v>10.8</v>
      </c>
      <c r="AO198" s="2">
        <v>54.7</v>
      </c>
      <c r="AP198" s="2">
        <v>56.8</v>
      </c>
      <c r="AQ198" s="2">
        <v>18.5</v>
      </c>
      <c r="AR198" s="2">
        <v>102.76</v>
      </c>
      <c r="AS198" s="2">
        <v>10.4</v>
      </c>
      <c r="AT198" s="2">
        <v>2822</v>
      </c>
      <c r="AU198" s="53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6"/>
    </row>
    <row r="199" spans="1:69" ht="13.2">
      <c r="A199" s="1" t="s">
        <v>422</v>
      </c>
      <c r="B199" s="1" t="s">
        <v>423</v>
      </c>
      <c r="C199" s="24" t="str">
        <f>VLOOKUP(B199,Equipe!$A$1:$B$31,2,FALSE)</f>
        <v>Miami Heat</v>
      </c>
      <c r="D199" s="2">
        <v>21</v>
      </c>
      <c r="E199" s="2">
        <v>64</v>
      </c>
      <c r="F199" s="2">
        <v>28</v>
      </c>
      <c r="G199" s="2">
        <v>36</v>
      </c>
      <c r="H199" s="2">
        <v>22.2</v>
      </c>
      <c r="I199" s="3">
        <v>595</v>
      </c>
      <c r="J199" s="4">
        <v>256</v>
      </c>
      <c r="K199" s="4">
        <v>467</v>
      </c>
      <c r="L199" s="3">
        <v>55.4</v>
      </c>
      <c r="M199" s="4">
        <v>32</v>
      </c>
      <c r="N199" s="4">
        <v>109</v>
      </c>
      <c r="O199" s="3">
        <v>31.5</v>
      </c>
      <c r="P199" s="3">
        <v>45</v>
      </c>
      <c r="Q199" s="3">
        <v>64</v>
      </c>
      <c r="R199" s="3">
        <v>68.7</v>
      </c>
      <c r="S199" s="4">
        <v>115</v>
      </c>
      <c r="T199" s="4">
        <v>358</v>
      </c>
      <c r="U199" s="4">
        <v>474</v>
      </c>
      <c r="V199" s="4">
        <v>58</v>
      </c>
      <c r="W199" s="4">
        <v>58</v>
      </c>
      <c r="X199" s="4">
        <v>38</v>
      </c>
      <c r="Y199" s="4">
        <v>70</v>
      </c>
      <c r="Z199" s="4">
        <v>109</v>
      </c>
      <c r="AA199" s="3">
        <v>1523</v>
      </c>
      <c r="AB199" s="3">
        <v>15</v>
      </c>
      <c r="AC199" s="3">
        <v>0</v>
      </c>
      <c r="AD199" s="2">
        <v>0.6</v>
      </c>
      <c r="AE199" s="2">
        <v>112.8</v>
      </c>
      <c r="AF199" s="2">
        <v>110.9</v>
      </c>
      <c r="AG199" s="2">
        <v>1.9</v>
      </c>
      <c r="AH199" s="2">
        <v>6.2</v>
      </c>
      <c r="AI199" s="2">
        <v>1.05</v>
      </c>
      <c r="AJ199" s="2">
        <v>9.8000000000000007</v>
      </c>
      <c r="AK199" s="2">
        <v>8.6999999999999993</v>
      </c>
      <c r="AL199" s="2">
        <v>23.8</v>
      </c>
      <c r="AM199" s="2">
        <v>16.7</v>
      </c>
      <c r="AN199" s="2">
        <v>9.3000000000000007</v>
      </c>
      <c r="AO199" s="2">
        <v>59.2</v>
      </c>
      <c r="AP199" s="2">
        <v>60.3</v>
      </c>
      <c r="AQ199" s="2">
        <v>16.899999999999999</v>
      </c>
      <c r="AR199" s="2">
        <v>98.6</v>
      </c>
      <c r="AS199" s="2">
        <v>11.9</v>
      </c>
      <c r="AT199" s="2">
        <v>2914</v>
      </c>
      <c r="AU199" s="53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6"/>
    </row>
    <row r="200" spans="1:69" ht="13.2">
      <c r="A200" s="8" t="s">
        <v>424</v>
      </c>
      <c r="B200" s="1" t="s">
        <v>425</v>
      </c>
      <c r="C200" s="24" t="str">
        <f>VLOOKUP(B200,Equipe!$A$1:$B$31,2,FALSE)</f>
        <v>Charlotte Hornets</v>
      </c>
      <c r="D200" s="2">
        <v>21</v>
      </c>
      <c r="E200" s="2">
        <v>60</v>
      </c>
      <c r="F200" s="2">
        <v>14</v>
      </c>
      <c r="G200" s="2">
        <v>46</v>
      </c>
      <c r="H200" s="2">
        <v>22.8</v>
      </c>
      <c r="I200" s="3">
        <v>594</v>
      </c>
      <c r="J200" s="4">
        <v>222</v>
      </c>
      <c r="K200" s="4">
        <v>570</v>
      </c>
      <c r="L200" s="3">
        <v>39.1</v>
      </c>
      <c r="M200" s="4">
        <v>102</v>
      </c>
      <c r="N200" s="4">
        <v>306</v>
      </c>
      <c r="O200" s="3">
        <v>34</v>
      </c>
      <c r="P200" s="3">
        <v>42</v>
      </c>
      <c r="Q200" s="3">
        <v>48</v>
      </c>
      <c r="R200" s="3">
        <v>93.5</v>
      </c>
      <c r="S200" s="4">
        <v>12</v>
      </c>
      <c r="T200" s="4">
        <v>114</v>
      </c>
      <c r="U200" s="4">
        <v>126</v>
      </c>
      <c r="V200" s="4">
        <v>144</v>
      </c>
      <c r="W200" s="4">
        <v>84</v>
      </c>
      <c r="X200" s="4">
        <v>18</v>
      </c>
      <c r="Y200" s="4">
        <v>6</v>
      </c>
      <c r="Z200" s="4">
        <v>78</v>
      </c>
      <c r="AA200" s="3">
        <v>948</v>
      </c>
      <c r="AB200" s="3">
        <v>1</v>
      </c>
      <c r="AC200" s="3">
        <v>0</v>
      </c>
      <c r="AD200" s="2">
        <v>-6.6</v>
      </c>
      <c r="AE200" s="2">
        <v>102.1</v>
      </c>
      <c r="AF200" s="2">
        <v>116.4</v>
      </c>
      <c r="AG200" s="2">
        <v>-14.3</v>
      </c>
      <c r="AH200" s="2">
        <v>16.899999999999999</v>
      </c>
      <c r="AI200" s="2">
        <v>1.77</v>
      </c>
      <c r="AJ200" s="2">
        <v>17.8</v>
      </c>
      <c r="AK200" s="2">
        <v>0.9</v>
      </c>
      <c r="AL200" s="2">
        <v>8</v>
      </c>
      <c r="AM200" s="2">
        <v>4.3</v>
      </c>
      <c r="AN200" s="2">
        <v>10.1</v>
      </c>
      <c r="AO200" s="2">
        <v>48.2</v>
      </c>
      <c r="AP200" s="2">
        <v>50.2</v>
      </c>
      <c r="AQ200" s="2">
        <v>20.5</v>
      </c>
      <c r="AR200" s="2">
        <v>99.74</v>
      </c>
      <c r="AS200" s="2">
        <v>6.4</v>
      </c>
      <c r="AT200" s="2">
        <v>2848</v>
      </c>
      <c r="AU200" s="53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6"/>
    </row>
    <row r="201" spans="1:69" ht="13.2">
      <c r="A201" s="1" t="s">
        <v>426</v>
      </c>
      <c r="B201" s="1" t="s">
        <v>427</v>
      </c>
      <c r="C201" s="24" t="str">
        <f>VLOOKUP(B201,Equipe!$A$1:$B$31,2,FALSE)</f>
        <v>Washington Wizards</v>
      </c>
      <c r="D201" s="2">
        <v>21</v>
      </c>
      <c r="E201" s="2">
        <v>68</v>
      </c>
      <c r="F201" s="2">
        <v>15</v>
      </c>
      <c r="G201" s="2">
        <v>53</v>
      </c>
      <c r="H201" s="2">
        <v>26.5</v>
      </c>
      <c r="I201" s="3">
        <v>592</v>
      </c>
      <c r="J201" s="4">
        <v>204</v>
      </c>
      <c r="K201" s="4">
        <v>544</v>
      </c>
      <c r="L201" s="3">
        <v>37.200000000000003</v>
      </c>
      <c r="M201" s="4">
        <v>116</v>
      </c>
      <c r="N201" s="4">
        <v>354</v>
      </c>
      <c r="O201" s="3">
        <v>32.200000000000003</v>
      </c>
      <c r="P201" s="3">
        <v>68</v>
      </c>
      <c r="Q201" s="3">
        <v>95</v>
      </c>
      <c r="R201" s="3">
        <v>75.3</v>
      </c>
      <c r="S201" s="4">
        <v>48</v>
      </c>
      <c r="T201" s="4">
        <v>238</v>
      </c>
      <c r="U201" s="4">
        <v>286</v>
      </c>
      <c r="V201" s="4">
        <v>170</v>
      </c>
      <c r="W201" s="4">
        <v>95</v>
      </c>
      <c r="X201" s="4">
        <v>68</v>
      </c>
      <c r="Y201" s="4">
        <v>48</v>
      </c>
      <c r="Z201" s="4">
        <v>204</v>
      </c>
      <c r="AA201" s="3">
        <v>1442</v>
      </c>
      <c r="AB201" s="3">
        <v>1</v>
      </c>
      <c r="AC201" s="3">
        <v>0</v>
      </c>
      <c r="AD201" s="2">
        <v>-5.3</v>
      </c>
      <c r="AE201" s="2">
        <v>105.4</v>
      </c>
      <c r="AF201" s="2">
        <v>115.5</v>
      </c>
      <c r="AG201" s="2">
        <v>-10.1</v>
      </c>
      <c r="AH201" s="2">
        <v>13.3</v>
      </c>
      <c r="AI201" s="2">
        <v>1.74</v>
      </c>
      <c r="AJ201" s="2">
        <v>19.8</v>
      </c>
      <c r="AK201" s="2">
        <v>2.5</v>
      </c>
      <c r="AL201" s="2">
        <v>12.2</v>
      </c>
      <c r="AM201" s="2">
        <v>7.4</v>
      </c>
      <c r="AN201" s="2">
        <v>11.4</v>
      </c>
      <c r="AO201" s="2">
        <v>47.6</v>
      </c>
      <c r="AP201" s="2">
        <v>50.3</v>
      </c>
      <c r="AQ201" s="2">
        <v>15.6</v>
      </c>
      <c r="AR201" s="2">
        <v>102.7</v>
      </c>
      <c r="AS201" s="2">
        <v>5.8</v>
      </c>
      <c r="AT201" s="2">
        <v>3869</v>
      </c>
      <c r="AU201" s="53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6"/>
    </row>
    <row r="202" spans="1:69" ht="13.2">
      <c r="A202" s="1" t="s">
        <v>430</v>
      </c>
      <c r="B202" s="1" t="s">
        <v>431</v>
      </c>
      <c r="C202" s="24" t="str">
        <f>VLOOKUP(B202,Equipe!$A$1:$B$31,2,FALSE)</f>
        <v>Miami Heat</v>
      </c>
      <c r="D202" s="2">
        <v>26</v>
      </c>
      <c r="E202" s="2">
        <v>74</v>
      </c>
      <c r="F202" s="2">
        <v>25</v>
      </c>
      <c r="G202" s="2">
        <v>49</v>
      </c>
      <c r="H202" s="2">
        <v>27.4</v>
      </c>
      <c r="I202" s="3">
        <v>585</v>
      </c>
      <c r="J202" s="4">
        <v>222</v>
      </c>
      <c r="K202" s="4">
        <v>474</v>
      </c>
      <c r="L202" s="3">
        <v>46.8</v>
      </c>
      <c r="M202" s="4">
        <v>81</v>
      </c>
      <c r="N202" s="4">
        <v>215</v>
      </c>
      <c r="O202" s="3">
        <v>39.799999999999997</v>
      </c>
      <c r="P202" s="3">
        <v>59</v>
      </c>
      <c r="Q202" s="3">
        <v>81</v>
      </c>
      <c r="R202" s="3">
        <v>69</v>
      </c>
      <c r="S202" s="4">
        <v>37</v>
      </c>
      <c r="T202" s="4">
        <v>133</v>
      </c>
      <c r="U202" s="4">
        <v>170</v>
      </c>
      <c r="V202" s="4">
        <v>363</v>
      </c>
      <c r="W202" s="4">
        <v>126</v>
      </c>
      <c r="X202" s="4">
        <v>74</v>
      </c>
      <c r="Y202" s="4">
        <v>15</v>
      </c>
      <c r="Z202" s="4">
        <v>185</v>
      </c>
      <c r="AA202" s="3">
        <v>1473</v>
      </c>
      <c r="AB202" s="3">
        <v>1</v>
      </c>
      <c r="AC202" s="3">
        <v>0</v>
      </c>
      <c r="AD202" s="2">
        <v>0</v>
      </c>
      <c r="AE202" s="2">
        <v>111</v>
      </c>
      <c r="AF202" s="2">
        <v>110.7</v>
      </c>
      <c r="AG202" s="2">
        <v>0.3</v>
      </c>
      <c r="AH202" s="2">
        <v>23.7</v>
      </c>
      <c r="AI202" s="2">
        <v>2.84</v>
      </c>
      <c r="AJ202" s="2">
        <v>36.200000000000003</v>
      </c>
      <c r="AK202" s="2">
        <v>1.7</v>
      </c>
      <c r="AL202" s="2">
        <v>6.3</v>
      </c>
      <c r="AM202" s="2">
        <v>4.0999999999999996</v>
      </c>
      <c r="AN202" s="2">
        <v>12.8</v>
      </c>
      <c r="AO202" s="2">
        <v>55.7</v>
      </c>
      <c r="AP202" s="2">
        <v>57.3</v>
      </c>
      <c r="AQ202" s="2">
        <v>13.5</v>
      </c>
      <c r="AR202" s="2">
        <v>98.76</v>
      </c>
      <c r="AS202" s="2">
        <v>6.9</v>
      </c>
      <c r="AT202" s="2">
        <v>4164</v>
      </c>
      <c r="AU202" s="53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6"/>
    </row>
    <row r="203" spans="1:69" ht="13.2">
      <c r="A203" s="1" t="s">
        <v>428</v>
      </c>
      <c r="B203" s="1" t="s">
        <v>429</v>
      </c>
      <c r="C203" s="24" t="str">
        <f>VLOOKUP(B203,Equipe!$A$1:$B$31,2,FALSE)</f>
        <v>Denver Nuggets</v>
      </c>
      <c r="D203" s="2">
        <v>23</v>
      </c>
      <c r="E203" s="2">
        <v>65</v>
      </c>
      <c r="F203" s="2">
        <v>41</v>
      </c>
      <c r="G203" s="2">
        <v>24</v>
      </c>
      <c r="H203" s="2">
        <v>21.3</v>
      </c>
      <c r="I203" s="3">
        <v>585</v>
      </c>
      <c r="J203" s="4">
        <v>208</v>
      </c>
      <c r="K203" s="4">
        <v>488</v>
      </c>
      <c r="L203" s="3">
        <v>43.2</v>
      </c>
      <c r="M203" s="4">
        <v>91</v>
      </c>
      <c r="N203" s="4">
        <v>267</v>
      </c>
      <c r="O203" s="3">
        <v>34.9</v>
      </c>
      <c r="P203" s="3">
        <v>72</v>
      </c>
      <c r="Q203" s="3">
        <v>91</v>
      </c>
      <c r="R203" s="3">
        <v>82.2</v>
      </c>
      <c r="S203" s="4">
        <v>20</v>
      </c>
      <c r="T203" s="4">
        <v>124</v>
      </c>
      <c r="U203" s="4">
        <v>143</v>
      </c>
      <c r="V203" s="4">
        <v>85</v>
      </c>
      <c r="W203" s="4">
        <v>59</v>
      </c>
      <c r="X203" s="4">
        <v>39</v>
      </c>
      <c r="Y203" s="4">
        <v>13</v>
      </c>
      <c r="Z203" s="4">
        <v>150</v>
      </c>
      <c r="AA203" s="3">
        <v>988</v>
      </c>
      <c r="AB203" s="3">
        <v>0</v>
      </c>
      <c r="AC203" s="3">
        <v>0</v>
      </c>
      <c r="AD203" s="2">
        <v>-1.1000000000000001</v>
      </c>
      <c r="AE203" s="2">
        <v>111.9</v>
      </c>
      <c r="AF203" s="2">
        <v>114.4</v>
      </c>
      <c r="AG203" s="2">
        <v>-2.5</v>
      </c>
      <c r="AH203" s="2">
        <v>8.1999999999999993</v>
      </c>
      <c r="AI203" s="2">
        <v>1.46</v>
      </c>
      <c r="AJ203" s="2">
        <v>12.5</v>
      </c>
      <c r="AK203" s="2">
        <v>1.2</v>
      </c>
      <c r="AL203" s="2">
        <v>8.3000000000000007</v>
      </c>
      <c r="AM203" s="2">
        <v>4.9000000000000004</v>
      </c>
      <c r="AN203" s="2">
        <v>8.6</v>
      </c>
      <c r="AO203" s="2">
        <v>52.9</v>
      </c>
      <c r="AP203" s="2">
        <v>55.9</v>
      </c>
      <c r="AQ203" s="2">
        <v>17.3</v>
      </c>
      <c r="AR203" s="2">
        <v>102.79</v>
      </c>
      <c r="AS203" s="2">
        <v>5.7</v>
      </c>
      <c r="AT203" s="2">
        <v>2964</v>
      </c>
      <c r="AU203" s="53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6"/>
    </row>
    <row r="204" spans="1:69" ht="13.2">
      <c r="A204" s="1" t="s">
        <v>432</v>
      </c>
      <c r="B204" s="1" t="s">
        <v>433</v>
      </c>
      <c r="C204" s="24" t="str">
        <f>VLOOKUP(B204,Equipe!$A$1:$B$31,2,FALSE)</f>
        <v>Los Angeles Clippers</v>
      </c>
      <c r="D204" s="2">
        <v>32</v>
      </c>
      <c r="E204" s="2">
        <v>54</v>
      </c>
      <c r="F204" s="2">
        <v>33</v>
      </c>
      <c r="G204" s="2">
        <v>21</v>
      </c>
      <c r="H204" s="2">
        <v>25</v>
      </c>
      <c r="I204" s="3">
        <v>583</v>
      </c>
      <c r="J204" s="4">
        <v>211</v>
      </c>
      <c r="K204" s="4">
        <v>491</v>
      </c>
      <c r="L204" s="3">
        <v>42.7</v>
      </c>
      <c r="M204" s="4">
        <v>103</v>
      </c>
      <c r="N204" s="4">
        <v>292</v>
      </c>
      <c r="O204" s="3">
        <v>36.299999999999997</v>
      </c>
      <c r="P204" s="3">
        <v>59</v>
      </c>
      <c r="Q204" s="3">
        <v>65</v>
      </c>
      <c r="R204" s="3">
        <v>87.9</v>
      </c>
      <c r="S204" s="4">
        <v>22</v>
      </c>
      <c r="T204" s="4">
        <v>135</v>
      </c>
      <c r="U204" s="4">
        <v>157</v>
      </c>
      <c r="V204" s="4">
        <v>146</v>
      </c>
      <c r="W204" s="4">
        <v>76</v>
      </c>
      <c r="X204" s="4">
        <v>43</v>
      </c>
      <c r="Y204" s="4">
        <v>11</v>
      </c>
      <c r="Z204" s="4">
        <v>130</v>
      </c>
      <c r="AA204" s="3">
        <v>1075</v>
      </c>
      <c r="AB204" s="3">
        <v>1</v>
      </c>
      <c r="AC204" s="3">
        <v>0</v>
      </c>
      <c r="AD204" s="2">
        <v>2</v>
      </c>
      <c r="AE204" s="2">
        <v>112.7</v>
      </c>
      <c r="AF204" s="2">
        <v>110</v>
      </c>
      <c r="AG204" s="2">
        <v>2.7</v>
      </c>
      <c r="AH204" s="2">
        <v>15.2</v>
      </c>
      <c r="AI204" s="2">
        <v>1.97</v>
      </c>
      <c r="AJ204" s="2">
        <v>19.7</v>
      </c>
      <c r="AK204" s="2">
        <v>1.7</v>
      </c>
      <c r="AL204" s="2">
        <v>9.8000000000000007</v>
      </c>
      <c r="AM204" s="2">
        <v>5.7</v>
      </c>
      <c r="AN204" s="2">
        <v>10</v>
      </c>
      <c r="AO204" s="2">
        <v>53.4</v>
      </c>
      <c r="AP204" s="2">
        <v>55.9</v>
      </c>
      <c r="AQ204" s="2">
        <v>18.3</v>
      </c>
      <c r="AR204" s="2">
        <v>101.35</v>
      </c>
      <c r="AS204" s="2">
        <v>7.4</v>
      </c>
      <c r="AT204" s="2">
        <v>2858</v>
      </c>
      <c r="AU204" s="53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6"/>
    </row>
    <row r="205" spans="1:69" ht="13.2">
      <c r="A205" s="1" t="s">
        <v>434</v>
      </c>
      <c r="B205" s="1" t="s">
        <v>435</v>
      </c>
      <c r="C205" s="24" t="str">
        <f>VLOOKUP(B205,Equipe!$A$1:$B$31,2,FALSE)</f>
        <v>Minnesota Timberwolves</v>
      </c>
      <c r="D205" s="2">
        <v>37</v>
      </c>
      <c r="E205" s="2">
        <v>71</v>
      </c>
      <c r="F205" s="2">
        <v>44</v>
      </c>
      <c r="G205" s="2">
        <v>27</v>
      </c>
      <c r="H205" s="2">
        <v>24.7</v>
      </c>
      <c r="I205" s="3">
        <v>582</v>
      </c>
      <c r="J205" s="4">
        <v>185</v>
      </c>
      <c r="K205" s="4">
        <v>469</v>
      </c>
      <c r="L205" s="3">
        <v>40</v>
      </c>
      <c r="M205" s="4">
        <v>128</v>
      </c>
      <c r="N205" s="4">
        <v>312</v>
      </c>
      <c r="O205" s="3">
        <v>41</v>
      </c>
      <c r="P205" s="3">
        <v>78</v>
      </c>
      <c r="Q205" s="3">
        <v>92</v>
      </c>
      <c r="R205" s="3">
        <v>90</v>
      </c>
      <c r="S205" s="4">
        <v>36</v>
      </c>
      <c r="T205" s="4">
        <v>149</v>
      </c>
      <c r="U205" s="4">
        <v>185</v>
      </c>
      <c r="V205" s="4">
        <v>320</v>
      </c>
      <c r="W205" s="4">
        <v>78</v>
      </c>
      <c r="X205" s="4">
        <v>78</v>
      </c>
      <c r="Y205" s="4">
        <v>14</v>
      </c>
      <c r="Z205" s="4">
        <v>114</v>
      </c>
      <c r="AA205" s="3">
        <v>1484</v>
      </c>
      <c r="AB205" s="3">
        <v>1</v>
      </c>
      <c r="AC205" s="3">
        <v>0</v>
      </c>
      <c r="AD205" s="2">
        <v>3.7</v>
      </c>
      <c r="AE205" s="2">
        <v>115.5</v>
      </c>
      <c r="AF205" s="2">
        <v>109</v>
      </c>
      <c r="AG205" s="2">
        <v>6.5</v>
      </c>
      <c r="AH205" s="2">
        <v>24.3</v>
      </c>
      <c r="AI205" s="2">
        <v>4.25</v>
      </c>
      <c r="AJ205" s="2">
        <v>35.6</v>
      </c>
      <c r="AK205" s="2">
        <v>1.8</v>
      </c>
      <c r="AL205" s="2">
        <v>8.5</v>
      </c>
      <c r="AM205" s="2">
        <v>5.2</v>
      </c>
      <c r="AN205" s="2">
        <v>8.4</v>
      </c>
      <c r="AO205" s="2">
        <v>53.5</v>
      </c>
      <c r="AP205" s="2">
        <v>57.3</v>
      </c>
      <c r="AQ205" s="2">
        <v>14.1</v>
      </c>
      <c r="AR205" s="2">
        <v>97.92</v>
      </c>
      <c r="AS205" s="2">
        <v>9.1999999999999993</v>
      </c>
      <c r="AT205" s="2">
        <v>3596</v>
      </c>
      <c r="AU205" s="53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6"/>
    </row>
    <row r="206" spans="1:69" ht="13.2">
      <c r="A206" s="1" t="s">
        <v>436</v>
      </c>
      <c r="B206" s="1" t="s">
        <v>437</v>
      </c>
      <c r="C206" s="24" t="str">
        <f>VLOOKUP(B206,Equipe!$A$1:$B$31,2,FALSE)</f>
        <v>Memphis Grizzlies</v>
      </c>
      <c r="D206" s="2">
        <v>28</v>
      </c>
      <c r="E206" s="2">
        <v>65</v>
      </c>
      <c r="F206" s="2">
        <v>37</v>
      </c>
      <c r="G206" s="2">
        <v>28</v>
      </c>
      <c r="H206" s="2">
        <v>22.6</v>
      </c>
      <c r="I206" s="3">
        <v>579</v>
      </c>
      <c r="J206" s="4">
        <v>208</v>
      </c>
      <c r="K206" s="4">
        <v>429</v>
      </c>
      <c r="L206" s="3">
        <v>47.8</v>
      </c>
      <c r="M206" s="4">
        <v>111</v>
      </c>
      <c r="N206" s="4">
        <v>260</v>
      </c>
      <c r="O206" s="3">
        <v>43.3</v>
      </c>
      <c r="P206" s="3">
        <v>52</v>
      </c>
      <c r="Q206" s="3">
        <v>59</v>
      </c>
      <c r="R206" s="3">
        <v>89.5</v>
      </c>
      <c r="S206" s="4">
        <v>39</v>
      </c>
      <c r="T206" s="4">
        <v>143</v>
      </c>
      <c r="U206" s="4">
        <v>182</v>
      </c>
      <c r="V206" s="4">
        <v>215</v>
      </c>
      <c r="W206" s="4">
        <v>72</v>
      </c>
      <c r="X206" s="4">
        <v>52</v>
      </c>
      <c r="Y206" s="4">
        <v>7</v>
      </c>
      <c r="Z206" s="4">
        <v>59</v>
      </c>
      <c r="AA206" s="3">
        <v>1209</v>
      </c>
      <c r="AB206" s="3">
        <v>0</v>
      </c>
      <c r="AC206" s="3">
        <v>0</v>
      </c>
      <c r="AD206" s="2">
        <v>1.9</v>
      </c>
      <c r="AE206" s="2">
        <v>117.6</v>
      </c>
      <c r="AF206" s="2">
        <v>114.5</v>
      </c>
      <c r="AG206" s="2">
        <v>3.1</v>
      </c>
      <c r="AH206" s="2">
        <v>17.899999999999999</v>
      </c>
      <c r="AI206" s="2">
        <v>2.99</v>
      </c>
      <c r="AJ206" s="2">
        <v>29.3</v>
      </c>
      <c r="AK206" s="2">
        <v>2.4</v>
      </c>
      <c r="AL206" s="2">
        <v>9.4</v>
      </c>
      <c r="AM206" s="2">
        <v>5.9</v>
      </c>
      <c r="AN206" s="2">
        <v>9.8000000000000007</v>
      </c>
      <c r="AO206" s="2">
        <v>60.9</v>
      </c>
      <c r="AP206" s="2">
        <v>63.1</v>
      </c>
      <c r="AQ206" s="2">
        <v>14</v>
      </c>
      <c r="AR206" s="2">
        <v>104.99</v>
      </c>
      <c r="AS206" s="2">
        <v>9.3000000000000007</v>
      </c>
      <c r="AT206" s="2">
        <v>3228</v>
      </c>
      <c r="AU206" s="53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6"/>
    </row>
    <row r="207" spans="1:69" ht="13.2">
      <c r="A207" s="1" t="s">
        <v>438</v>
      </c>
      <c r="B207" s="1" t="s">
        <v>439</v>
      </c>
      <c r="C207" s="24" t="str">
        <f>VLOOKUP(B207,Equipe!$A$1:$B$31,2,FALSE)</f>
        <v>New Orleans Pelicans</v>
      </c>
      <c r="D207" s="2">
        <v>27</v>
      </c>
      <c r="E207" s="2">
        <v>56</v>
      </c>
      <c r="F207" s="2">
        <v>19</v>
      </c>
      <c r="G207" s="2">
        <v>37</v>
      </c>
      <c r="H207" s="2">
        <v>24.4</v>
      </c>
      <c r="I207" s="3">
        <v>577</v>
      </c>
      <c r="J207" s="4">
        <v>202</v>
      </c>
      <c r="K207" s="4">
        <v>521</v>
      </c>
      <c r="L207" s="3">
        <v>39.200000000000003</v>
      </c>
      <c r="M207" s="4">
        <v>112</v>
      </c>
      <c r="N207" s="4">
        <v>308</v>
      </c>
      <c r="O207" s="3">
        <v>35.9</v>
      </c>
      <c r="P207" s="3">
        <v>62</v>
      </c>
      <c r="Q207" s="3">
        <v>73</v>
      </c>
      <c r="R207" s="3">
        <v>81.099999999999994</v>
      </c>
      <c r="S207" s="4">
        <v>28</v>
      </c>
      <c r="T207" s="4">
        <v>106</v>
      </c>
      <c r="U207" s="4">
        <v>134</v>
      </c>
      <c r="V207" s="4">
        <v>258</v>
      </c>
      <c r="W207" s="4">
        <v>84</v>
      </c>
      <c r="X207" s="4">
        <v>73</v>
      </c>
      <c r="Y207" s="4">
        <v>17</v>
      </c>
      <c r="Z207" s="4">
        <v>90</v>
      </c>
      <c r="AA207" s="3">
        <v>1310</v>
      </c>
      <c r="AB207" s="3">
        <v>2</v>
      </c>
      <c r="AC207" s="3">
        <v>0</v>
      </c>
      <c r="AD207" s="2">
        <v>-4.0999999999999996</v>
      </c>
      <c r="AE207" s="2">
        <v>108.4</v>
      </c>
      <c r="AF207" s="2">
        <v>117.1</v>
      </c>
      <c r="AG207" s="2">
        <v>-8.6999999999999993</v>
      </c>
      <c r="AH207" s="2">
        <v>27.8</v>
      </c>
      <c r="AI207" s="2">
        <v>3.01</v>
      </c>
      <c r="AJ207" s="2">
        <v>29</v>
      </c>
      <c r="AK207" s="2">
        <v>1.9</v>
      </c>
      <c r="AL207" s="2">
        <v>7.7</v>
      </c>
      <c r="AM207" s="2">
        <v>4.7</v>
      </c>
      <c r="AN207" s="2">
        <v>9.6</v>
      </c>
      <c r="AO207" s="2">
        <v>49.8</v>
      </c>
      <c r="AP207" s="2">
        <v>52.3</v>
      </c>
      <c r="AQ207" s="2">
        <v>19.3</v>
      </c>
      <c r="AR207" s="2">
        <v>99.89</v>
      </c>
      <c r="AS207" s="2">
        <v>9</v>
      </c>
      <c r="AT207" s="2">
        <v>2849</v>
      </c>
      <c r="AU207" s="53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6"/>
    </row>
    <row r="208" spans="1:69" ht="13.2">
      <c r="A208" s="1" t="s">
        <v>440</v>
      </c>
      <c r="B208" s="1" t="s">
        <v>441</v>
      </c>
      <c r="C208" s="24" t="str">
        <f>VLOOKUP(B208,Equipe!$A$1:$B$31,2,FALSE)</f>
        <v>Portland Trail Blazers</v>
      </c>
      <c r="D208" s="2">
        <v>26</v>
      </c>
      <c r="E208" s="2">
        <v>40</v>
      </c>
      <c r="F208" s="2">
        <v>17</v>
      </c>
      <c r="G208" s="2">
        <v>23</v>
      </c>
      <c r="H208" s="2">
        <v>30.1</v>
      </c>
      <c r="I208" s="3">
        <v>576</v>
      </c>
      <c r="J208" s="4">
        <v>264</v>
      </c>
      <c r="K208" s="4">
        <v>468</v>
      </c>
      <c r="L208" s="3">
        <v>56.6</v>
      </c>
      <c r="M208" s="4">
        <v>8</v>
      </c>
      <c r="N208" s="4">
        <v>32</v>
      </c>
      <c r="O208" s="3">
        <v>18.8</v>
      </c>
      <c r="P208" s="3">
        <v>40</v>
      </c>
      <c r="Q208" s="3">
        <v>60</v>
      </c>
      <c r="R208" s="3">
        <v>66.7</v>
      </c>
      <c r="S208" s="4">
        <v>124</v>
      </c>
      <c r="T208" s="4">
        <v>284</v>
      </c>
      <c r="U208" s="4">
        <v>408</v>
      </c>
      <c r="V208" s="4">
        <v>64</v>
      </c>
      <c r="W208" s="4">
        <v>68</v>
      </c>
      <c r="X208" s="4">
        <v>32</v>
      </c>
      <c r="Y208" s="4">
        <v>40</v>
      </c>
      <c r="Z208" s="4">
        <v>88</v>
      </c>
      <c r="AA208" s="3">
        <v>1300</v>
      </c>
      <c r="AB208" s="3">
        <v>20</v>
      </c>
      <c r="AC208" s="3">
        <v>0</v>
      </c>
      <c r="AD208" s="2">
        <v>-4.0999999999999996</v>
      </c>
      <c r="AE208" s="2">
        <v>110</v>
      </c>
      <c r="AF208" s="2">
        <v>116.8</v>
      </c>
      <c r="AG208" s="2">
        <v>-6.9</v>
      </c>
      <c r="AH208" s="2">
        <v>8.3000000000000007</v>
      </c>
      <c r="AI208" s="2">
        <v>0.93</v>
      </c>
      <c r="AJ208" s="2">
        <v>10.199999999999999</v>
      </c>
      <c r="AK208" s="2">
        <v>9.9</v>
      </c>
      <c r="AL208" s="2">
        <v>24.3</v>
      </c>
      <c r="AM208" s="2">
        <v>16.8</v>
      </c>
      <c r="AN208" s="2">
        <v>11</v>
      </c>
      <c r="AO208" s="2">
        <v>57.3</v>
      </c>
      <c r="AP208" s="2">
        <v>58.3</v>
      </c>
      <c r="AQ208" s="2">
        <v>19.7</v>
      </c>
      <c r="AR208" s="2">
        <v>98.94</v>
      </c>
      <c r="AS208" s="2">
        <v>12.5</v>
      </c>
      <c r="AT208" s="2">
        <v>2489</v>
      </c>
      <c r="AU208" s="53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6"/>
    </row>
    <row r="209" spans="1:69" ht="13.2">
      <c r="A209" s="1" t="s">
        <v>442</v>
      </c>
      <c r="B209" s="1" t="s">
        <v>443</v>
      </c>
      <c r="C209" s="24" t="str">
        <f>VLOOKUP(B209,Equipe!$A$1:$B$31,2,FALSE)</f>
        <v>Oklahoma City Thunder</v>
      </c>
      <c r="D209" s="2">
        <v>21</v>
      </c>
      <c r="E209" s="2">
        <v>68</v>
      </c>
      <c r="F209" s="2">
        <v>55</v>
      </c>
      <c r="G209" s="2">
        <v>13</v>
      </c>
      <c r="H209" s="2">
        <v>27.6</v>
      </c>
      <c r="I209" s="3">
        <v>571</v>
      </c>
      <c r="J209" s="4">
        <v>231</v>
      </c>
      <c r="K209" s="4">
        <v>490</v>
      </c>
      <c r="L209" s="3">
        <v>47.4</v>
      </c>
      <c r="M209" s="4">
        <v>75</v>
      </c>
      <c r="N209" s="4">
        <v>211</v>
      </c>
      <c r="O209" s="3">
        <v>35.6</v>
      </c>
      <c r="P209" s="3">
        <v>27</v>
      </c>
      <c r="Q209" s="3">
        <v>34</v>
      </c>
      <c r="R209" s="3">
        <v>81.099999999999994</v>
      </c>
      <c r="S209" s="4">
        <v>68</v>
      </c>
      <c r="T209" s="4">
        <v>156</v>
      </c>
      <c r="U209" s="4">
        <v>231</v>
      </c>
      <c r="V209" s="4">
        <v>170</v>
      </c>
      <c r="W209" s="4">
        <v>61</v>
      </c>
      <c r="X209" s="4">
        <v>122</v>
      </c>
      <c r="Y209" s="4">
        <v>34</v>
      </c>
      <c r="Z209" s="4">
        <v>143</v>
      </c>
      <c r="AA209" s="3">
        <v>1510</v>
      </c>
      <c r="AB209" s="3">
        <v>0</v>
      </c>
      <c r="AC209" s="3">
        <v>0</v>
      </c>
      <c r="AD209" s="2">
        <v>5.4</v>
      </c>
      <c r="AE209" s="2">
        <v>117.2</v>
      </c>
      <c r="AF209" s="2">
        <v>107.1</v>
      </c>
      <c r="AG209" s="2">
        <v>10.1</v>
      </c>
      <c r="AH209" s="2">
        <v>11.7</v>
      </c>
      <c r="AI209" s="2">
        <v>2.93</v>
      </c>
      <c r="AJ209" s="2">
        <v>23.5</v>
      </c>
      <c r="AK209" s="2">
        <v>3.6</v>
      </c>
      <c r="AL209" s="2">
        <v>7.9</v>
      </c>
      <c r="AM209" s="2">
        <v>5.7</v>
      </c>
      <c r="AN209" s="2">
        <v>8</v>
      </c>
      <c r="AO209" s="2">
        <v>55</v>
      </c>
      <c r="AP209" s="2">
        <v>56.2</v>
      </c>
      <c r="AQ209" s="2">
        <v>12.4</v>
      </c>
      <c r="AR209" s="2">
        <v>101.87</v>
      </c>
      <c r="AS209" s="2">
        <v>7.5</v>
      </c>
      <c r="AT209" s="2">
        <v>3967</v>
      </c>
      <c r="AU209" s="53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6"/>
    </row>
    <row r="210" spans="1:69" ht="13.2">
      <c r="A210" s="1" t="s">
        <v>444</v>
      </c>
      <c r="B210" s="1" t="s">
        <v>445</v>
      </c>
      <c r="C210" s="24" t="str">
        <f>VLOOKUP(B210,Equipe!$A$1:$B$31,2,FALSE)</f>
        <v>Utah Jazz</v>
      </c>
      <c r="D210" s="2">
        <v>24</v>
      </c>
      <c r="E210" s="2">
        <v>64</v>
      </c>
      <c r="F210" s="2">
        <v>15</v>
      </c>
      <c r="G210" s="2">
        <v>49</v>
      </c>
      <c r="H210" s="2">
        <v>19.8</v>
      </c>
      <c r="I210" s="3">
        <v>570</v>
      </c>
      <c r="J210" s="4">
        <v>205</v>
      </c>
      <c r="K210" s="4">
        <v>474</v>
      </c>
      <c r="L210" s="3">
        <v>42.9</v>
      </c>
      <c r="M210" s="4">
        <v>115</v>
      </c>
      <c r="N210" s="4">
        <v>314</v>
      </c>
      <c r="O210" s="3">
        <v>37.6</v>
      </c>
      <c r="P210" s="3">
        <v>45</v>
      </c>
      <c r="Q210" s="3">
        <v>51</v>
      </c>
      <c r="R210" s="3">
        <v>84.9</v>
      </c>
      <c r="S210" s="4">
        <v>45</v>
      </c>
      <c r="T210" s="4">
        <v>141</v>
      </c>
      <c r="U210" s="4">
        <v>186</v>
      </c>
      <c r="V210" s="4">
        <v>70</v>
      </c>
      <c r="W210" s="4">
        <v>38</v>
      </c>
      <c r="X210" s="4">
        <v>38</v>
      </c>
      <c r="Y210" s="4">
        <v>6</v>
      </c>
      <c r="Z210" s="4">
        <v>128</v>
      </c>
      <c r="AA210" s="3">
        <v>998</v>
      </c>
      <c r="AB210" s="3">
        <v>0</v>
      </c>
      <c r="AC210" s="3">
        <v>0</v>
      </c>
      <c r="AD210" s="2">
        <v>-5.6</v>
      </c>
      <c r="AE210" s="2">
        <v>107.2</v>
      </c>
      <c r="AF210" s="2">
        <v>120.3</v>
      </c>
      <c r="AG210" s="2">
        <v>-13.1</v>
      </c>
      <c r="AH210" s="2">
        <v>8</v>
      </c>
      <c r="AI210" s="2">
        <v>1.89</v>
      </c>
      <c r="AJ210" s="2">
        <v>11.3</v>
      </c>
      <c r="AK210" s="2">
        <v>3.1</v>
      </c>
      <c r="AL210" s="2">
        <v>10.9</v>
      </c>
      <c r="AM210" s="2">
        <v>7</v>
      </c>
      <c r="AN210" s="2">
        <v>6</v>
      </c>
      <c r="AO210" s="2">
        <v>55.4</v>
      </c>
      <c r="AP210" s="2">
        <v>57.3</v>
      </c>
      <c r="AQ210" s="2">
        <v>17.399999999999999</v>
      </c>
      <c r="AR210" s="2">
        <v>102.1</v>
      </c>
      <c r="AS210" s="2">
        <v>7.1</v>
      </c>
      <c r="AT210" s="2">
        <v>2700</v>
      </c>
      <c r="AU210" s="53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6"/>
    </row>
    <row r="211" spans="1:69" ht="13.2">
      <c r="A211" s="8" t="s">
        <v>446</v>
      </c>
      <c r="B211" s="1" t="s">
        <v>447</v>
      </c>
      <c r="C211" s="24" t="str">
        <f>VLOOKUP(B211,Equipe!$A$1:$B$31,2,FALSE)</f>
        <v>Miami Heat</v>
      </c>
      <c r="D211" s="2">
        <v>24</v>
      </c>
      <c r="E211" s="2">
        <v>66</v>
      </c>
      <c r="F211" s="2">
        <v>32</v>
      </c>
      <c r="G211" s="2">
        <v>34</v>
      </c>
      <c r="H211" s="2">
        <v>20.7</v>
      </c>
      <c r="I211" s="3">
        <v>568</v>
      </c>
      <c r="J211" s="4">
        <v>211</v>
      </c>
      <c r="K211" s="4">
        <v>462</v>
      </c>
      <c r="L211" s="3">
        <v>46.1</v>
      </c>
      <c r="M211" s="4">
        <v>40</v>
      </c>
      <c r="N211" s="4">
        <v>119</v>
      </c>
      <c r="O211" s="3">
        <v>31.1</v>
      </c>
      <c r="P211" s="3">
        <v>106</v>
      </c>
      <c r="Q211" s="3">
        <v>145</v>
      </c>
      <c r="R211" s="3">
        <v>75.400000000000006</v>
      </c>
      <c r="S211" s="4">
        <v>86</v>
      </c>
      <c r="T211" s="4">
        <v>205</v>
      </c>
      <c r="U211" s="4">
        <v>290</v>
      </c>
      <c r="V211" s="4">
        <v>165</v>
      </c>
      <c r="W211" s="4">
        <v>99</v>
      </c>
      <c r="X211" s="4">
        <v>59</v>
      </c>
      <c r="Y211" s="4">
        <v>13</v>
      </c>
      <c r="Z211" s="4">
        <v>79</v>
      </c>
      <c r="AA211" s="3">
        <v>1294</v>
      </c>
      <c r="AB211" s="3">
        <v>3</v>
      </c>
      <c r="AC211" s="3">
        <v>1</v>
      </c>
      <c r="AD211" s="2">
        <v>-2.2999999999999998</v>
      </c>
      <c r="AE211" s="2">
        <v>107.9</v>
      </c>
      <c r="AF211" s="2">
        <v>113.9</v>
      </c>
      <c r="AG211" s="2">
        <v>-6</v>
      </c>
      <c r="AH211" s="2">
        <v>18.100000000000001</v>
      </c>
      <c r="AI211" s="2">
        <v>1.69</v>
      </c>
      <c r="AJ211" s="2">
        <v>21.1</v>
      </c>
      <c r="AK211" s="2">
        <v>6</v>
      </c>
      <c r="AL211" s="2">
        <v>14.5</v>
      </c>
      <c r="AM211" s="2">
        <v>10.3</v>
      </c>
      <c r="AN211" s="2">
        <v>12.4</v>
      </c>
      <c r="AO211" s="2">
        <v>50.1</v>
      </c>
      <c r="AP211" s="2">
        <v>54.3</v>
      </c>
      <c r="AQ211" s="2">
        <v>19.399999999999999</v>
      </c>
      <c r="AR211" s="2">
        <v>99.18</v>
      </c>
      <c r="AS211" s="2">
        <v>9.8000000000000007</v>
      </c>
      <c r="AT211" s="2">
        <v>2835</v>
      </c>
      <c r="AU211" s="53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6"/>
    </row>
    <row r="212" spans="1:69" ht="13.2">
      <c r="A212" s="1" t="s">
        <v>452</v>
      </c>
      <c r="B212" s="1" t="s">
        <v>453</v>
      </c>
      <c r="C212" s="24" t="str">
        <f>VLOOKUP(B212,Equipe!$A$1:$B$31,2,FALSE)</f>
        <v>Orlando Magic</v>
      </c>
      <c r="D212" s="2">
        <v>24</v>
      </c>
      <c r="E212" s="2">
        <v>35</v>
      </c>
      <c r="F212" s="2">
        <v>20</v>
      </c>
      <c r="G212" s="2">
        <v>15</v>
      </c>
      <c r="H212" s="2">
        <v>28.6</v>
      </c>
      <c r="I212" s="3">
        <v>567</v>
      </c>
      <c r="J212" s="4">
        <v>196</v>
      </c>
      <c r="K212" s="4">
        <v>480</v>
      </c>
      <c r="L212" s="3">
        <v>41</v>
      </c>
      <c r="M212" s="4">
        <v>77</v>
      </c>
      <c r="N212" s="4">
        <v>242</v>
      </c>
      <c r="O212" s="3">
        <v>31.4</v>
      </c>
      <c r="P212" s="3">
        <v>98</v>
      </c>
      <c r="Q212" s="3">
        <v>109</v>
      </c>
      <c r="R212" s="3">
        <v>88.2</v>
      </c>
      <c r="S212" s="4">
        <v>25</v>
      </c>
      <c r="T212" s="4">
        <v>119</v>
      </c>
      <c r="U212" s="4">
        <v>140</v>
      </c>
      <c r="V212" s="4">
        <v>130</v>
      </c>
      <c r="W212" s="4">
        <v>102</v>
      </c>
      <c r="X212" s="4">
        <v>53</v>
      </c>
      <c r="Y212" s="4">
        <v>32</v>
      </c>
      <c r="Z212" s="4">
        <v>98</v>
      </c>
      <c r="AA212" s="3">
        <v>1078</v>
      </c>
      <c r="AB212" s="3">
        <v>0</v>
      </c>
      <c r="AC212" s="3">
        <v>0</v>
      </c>
      <c r="AD212" s="2">
        <v>0.1</v>
      </c>
      <c r="AE212" s="2">
        <v>105.7</v>
      </c>
      <c r="AF212" s="2">
        <v>104.8</v>
      </c>
      <c r="AG212" s="2">
        <v>1</v>
      </c>
      <c r="AH212" s="2">
        <v>21.6</v>
      </c>
      <c r="AI212" s="2">
        <v>1.26</v>
      </c>
      <c r="AJ212" s="2">
        <v>17</v>
      </c>
      <c r="AK212" s="2">
        <v>2.2999999999999998</v>
      </c>
      <c r="AL212" s="2">
        <v>12.6</v>
      </c>
      <c r="AM212" s="2">
        <v>7.2</v>
      </c>
      <c r="AN212" s="2">
        <v>13.5</v>
      </c>
      <c r="AO212" s="2">
        <v>48.9</v>
      </c>
      <c r="AP212" s="2">
        <v>53.6</v>
      </c>
      <c r="AQ212" s="2">
        <v>26.8</v>
      </c>
      <c r="AR212" s="2">
        <v>99.02</v>
      </c>
      <c r="AS212" s="2">
        <v>10.7</v>
      </c>
      <c r="AT212" s="2">
        <v>2060</v>
      </c>
      <c r="AU212" s="53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6"/>
    </row>
    <row r="213" spans="1:69" ht="13.2">
      <c r="A213" s="1" t="s">
        <v>450</v>
      </c>
      <c r="B213" s="1" t="s">
        <v>451</v>
      </c>
      <c r="C213" s="24" t="str">
        <f>VLOOKUP(B213,Equipe!$A$1:$B$31,2,FALSE)</f>
        <v>Chicago Bulls</v>
      </c>
      <c r="D213" s="2">
        <v>23</v>
      </c>
      <c r="E213" s="2">
        <v>63</v>
      </c>
      <c r="F213" s="2">
        <v>31</v>
      </c>
      <c r="G213" s="2">
        <v>32</v>
      </c>
      <c r="H213" s="2">
        <v>25</v>
      </c>
      <c r="I213" s="3">
        <v>567</v>
      </c>
      <c r="J213" s="4">
        <v>208</v>
      </c>
      <c r="K213" s="4">
        <v>517</v>
      </c>
      <c r="L213" s="3">
        <v>39.700000000000003</v>
      </c>
      <c r="M213" s="4">
        <v>95</v>
      </c>
      <c r="N213" s="4">
        <v>271</v>
      </c>
      <c r="O213" s="3">
        <v>35.299999999999997</v>
      </c>
      <c r="P213" s="3">
        <v>63</v>
      </c>
      <c r="Q213" s="3">
        <v>82</v>
      </c>
      <c r="R213" s="3">
        <v>72.3</v>
      </c>
      <c r="S213" s="4">
        <v>44</v>
      </c>
      <c r="T213" s="4">
        <v>195</v>
      </c>
      <c r="U213" s="4">
        <v>239</v>
      </c>
      <c r="V213" s="4">
        <v>126</v>
      </c>
      <c r="W213" s="4">
        <v>88</v>
      </c>
      <c r="X213" s="4">
        <v>50</v>
      </c>
      <c r="Y213" s="4">
        <v>32</v>
      </c>
      <c r="Z213" s="4">
        <v>88</v>
      </c>
      <c r="AA213" s="3">
        <v>1191</v>
      </c>
      <c r="AB213" s="3">
        <v>1</v>
      </c>
      <c r="AC213" s="3">
        <v>0</v>
      </c>
      <c r="AD213" s="2">
        <v>-2.9</v>
      </c>
      <c r="AE213" s="2">
        <v>108.7</v>
      </c>
      <c r="AF213" s="2">
        <v>113.5</v>
      </c>
      <c r="AG213" s="2">
        <v>-4.8</v>
      </c>
      <c r="AH213" s="2">
        <v>10.6</v>
      </c>
      <c r="AI213" s="2">
        <v>1.44</v>
      </c>
      <c r="AJ213" s="2">
        <v>16.3</v>
      </c>
      <c r="AK213" s="2">
        <v>2.5</v>
      </c>
      <c r="AL213" s="2">
        <v>11.3</v>
      </c>
      <c r="AM213" s="2">
        <v>7</v>
      </c>
      <c r="AN213" s="2">
        <v>11.3</v>
      </c>
      <c r="AO213" s="2">
        <v>49</v>
      </c>
      <c r="AP213" s="2">
        <v>51.2</v>
      </c>
      <c r="AQ213" s="2">
        <v>16.5</v>
      </c>
      <c r="AR213" s="2">
        <v>105.94</v>
      </c>
      <c r="AS213" s="2">
        <v>6.2</v>
      </c>
      <c r="AT213" s="2">
        <v>3473</v>
      </c>
      <c r="AU213" s="53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6"/>
    </row>
    <row r="214" spans="1:69" ht="13.2">
      <c r="A214" s="1" t="s">
        <v>448</v>
      </c>
      <c r="B214" s="1" t="s">
        <v>449</v>
      </c>
      <c r="C214" s="24" t="str">
        <f>VLOOKUP(B214,Equipe!$A$1:$B$31,2,FALSE)</f>
        <v>Charlotte Hornets</v>
      </c>
      <c r="D214" s="2">
        <v>22</v>
      </c>
      <c r="E214" s="2">
        <v>27</v>
      </c>
      <c r="F214" s="2">
        <v>8</v>
      </c>
      <c r="G214" s="2">
        <v>19</v>
      </c>
      <c r="H214" s="2">
        <v>34.200000000000003</v>
      </c>
      <c r="I214" s="3">
        <v>567</v>
      </c>
      <c r="J214" s="4">
        <v>197</v>
      </c>
      <c r="K214" s="4">
        <v>491</v>
      </c>
      <c r="L214" s="3">
        <v>40.299999999999997</v>
      </c>
      <c r="M214" s="4">
        <v>105</v>
      </c>
      <c r="N214" s="4">
        <v>294</v>
      </c>
      <c r="O214" s="3">
        <v>35.5</v>
      </c>
      <c r="P214" s="3">
        <v>68</v>
      </c>
      <c r="Q214" s="3">
        <v>78</v>
      </c>
      <c r="R214" s="3">
        <v>86.1</v>
      </c>
      <c r="S214" s="4">
        <v>24</v>
      </c>
      <c r="T214" s="4">
        <v>105</v>
      </c>
      <c r="U214" s="4">
        <v>132</v>
      </c>
      <c r="V214" s="4">
        <v>97</v>
      </c>
      <c r="W214" s="4">
        <v>76</v>
      </c>
      <c r="X214" s="4">
        <v>30</v>
      </c>
      <c r="Y214" s="4">
        <v>19</v>
      </c>
      <c r="Z214" s="4">
        <v>73</v>
      </c>
      <c r="AA214" s="3">
        <v>942</v>
      </c>
      <c r="AB214" s="3">
        <v>2</v>
      </c>
      <c r="AC214" s="3">
        <v>0</v>
      </c>
      <c r="AD214" s="2">
        <v>-4.5999999999999996</v>
      </c>
      <c r="AE214" s="2">
        <v>106.9</v>
      </c>
      <c r="AF214" s="2">
        <v>113.8</v>
      </c>
      <c r="AG214" s="2">
        <v>-6.8</v>
      </c>
      <c r="AH214" s="2">
        <v>18.2</v>
      </c>
      <c r="AI214" s="2">
        <v>1.29</v>
      </c>
      <c r="AJ214" s="2">
        <v>14</v>
      </c>
      <c r="AK214" s="2">
        <v>2.4</v>
      </c>
      <c r="AL214" s="2">
        <v>11.7</v>
      </c>
      <c r="AM214" s="2">
        <v>6.8</v>
      </c>
      <c r="AN214" s="2">
        <v>10.9</v>
      </c>
      <c r="AO214" s="2">
        <v>50.9</v>
      </c>
      <c r="AP214" s="2">
        <v>54</v>
      </c>
      <c r="AQ214" s="2">
        <v>27</v>
      </c>
      <c r="AR214" s="2">
        <v>98.77</v>
      </c>
      <c r="AS214" s="2">
        <v>10</v>
      </c>
      <c r="AT214" s="2">
        <v>1903</v>
      </c>
      <c r="AU214" s="53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6"/>
    </row>
    <row r="215" spans="1:69" ht="13.2">
      <c r="A215" s="1" t="s">
        <v>454</v>
      </c>
      <c r="B215" s="1" t="s">
        <v>455</v>
      </c>
      <c r="C215" s="24" t="str">
        <f>VLOOKUP(B215,Equipe!$A$1:$B$31,2,FALSE)</f>
        <v>Chicago Bulls</v>
      </c>
      <c r="D215" s="2">
        <v>25</v>
      </c>
      <c r="E215" s="2">
        <v>46</v>
      </c>
      <c r="F215" s="2">
        <v>17</v>
      </c>
      <c r="G215" s="2">
        <v>29</v>
      </c>
      <c r="H215" s="2">
        <v>30.3</v>
      </c>
      <c r="I215" s="3">
        <v>566</v>
      </c>
      <c r="J215" s="4">
        <v>221</v>
      </c>
      <c r="K215" s="4">
        <v>451</v>
      </c>
      <c r="L215" s="3">
        <v>49.2</v>
      </c>
      <c r="M215" s="4">
        <v>60</v>
      </c>
      <c r="N215" s="4">
        <v>189</v>
      </c>
      <c r="O215" s="3">
        <v>32.799999999999997</v>
      </c>
      <c r="P215" s="3">
        <v>60</v>
      </c>
      <c r="Q215" s="3">
        <v>78</v>
      </c>
      <c r="R215" s="3">
        <v>78.5</v>
      </c>
      <c r="S215" s="4">
        <v>28</v>
      </c>
      <c r="T215" s="4">
        <v>133</v>
      </c>
      <c r="U215" s="4">
        <v>161</v>
      </c>
      <c r="V215" s="4">
        <v>207</v>
      </c>
      <c r="W215" s="4">
        <v>69</v>
      </c>
      <c r="X215" s="4">
        <v>41</v>
      </c>
      <c r="Y215" s="4">
        <v>18</v>
      </c>
      <c r="Z215" s="4">
        <v>106</v>
      </c>
      <c r="AA215" s="3">
        <v>1187</v>
      </c>
      <c r="AB215" s="3">
        <v>1</v>
      </c>
      <c r="AC215" s="3">
        <v>1</v>
      </c>
      <c r="AD215" s="2">
        <v>-5.0999999999999996</v>
      </c>
      <c r="AE215" s="2">
        <v>110.1</v>
      </c>
      <c r="AF215" s="2">
        <v>117.8</v>
      </c>
      <c r="AG215" s="2">
        <v>-7.7</v>
      </c>
      <c r="AH215" s="2">
        <v>21</v>
      </c>
      <c r="AI215" s="2">
        <v>3.01</v>
      </c>
      <c r="AJ215" s="2">
        <v>27.4</v>
      </c>
      <c r="AK215" s="2">
        <v>1.8</v>
      </c>
      <c r="AL215" s="2">
        <v>9</v>
      </c>
      <c r="AM215" s="2">
        <v>5.4</v>
      </c>
      <c r="AN215" s="2">
        <v>9.1</v>
      </c>
      <c r="AO215" s="2">
        <v>56.1</v>
      </c>
      <c r="AP215" s="2">
        <v>58.5</v>
      </c>
      <c r="AQ215" s="2">
        <v>16.3</v>
      </c>
      <c r="AR215" s="2">
        <v>104.63</v>
      </c>
      <c r="AS215" s="2">
        <v>8.4</v>
      </c>
      <c r="AT215" s="2">
        <v>3039</v>
      </c>
      <c r="AU215" s="53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6"/>
    </row>
    <row r="216" spans="1:69" ht="13.2">
      <c r="A216" s="1" t="s">
        <v>456</v>
      </c>
      <c r="B216" s="1" t="s">
        <v>457</v>
      </c>
      <c r="C216" s="24" t="str">
        <f>VLOOKUP(B216,Equipe!$A$1:$B$31,2,FALSE)</f>
        <v>Toronto Raptors</v>
      </c>
      <c r="D216" s="2">
        <v>25</v>
      </c>
      <c r="E216" s="2">
        <v>33</v>
      </c>
      <c r="F216" s="2">
        <v>12</v>
      </c>
      <c r="G216" s="2">
        <v>21</v>
      </c>
      <c r="H216" s="2">
        <v>27.8</v>
      </c>
      <c r="I216" s="3">
        <v>564</v>
      </c>
      <c r="J216" s="4">
        <v>185</v>
      </c>
      <c r="K216" s="4">
        <v>439</v>
      </c>
      <c r="L216" s="3">
        <v>42</v>
      </c>
      <c r="M216" s="4">
        <v>86</v>
      </c>
      <c r="N216" s="4">
        <v>224</v>
      </c>
      <c r="O216" s="3">
        <v>37.799999999999997</v>
      </c>
      <c r="P216" s="3">
        <v>112</v>
      </c>
      <c r="Q216" s="3">
        <v>129</v>
      </c>
      <c r="R216" s="3">
        <v>86.7</v>
      </c>
      <c r="S216" s="4">
        <v>17</v>
      </c>
      <c r="T216" s="4">
        <v>102</v>
      </c>
      <c r="U216" s="4">
        <v>116</v>
      </c>
      <c r="V216" s="4">
        <v>191</v>
      </c>
      <c r="W216" s="4">
        <v>59</v>
      </c>
      <c r="X216" s="4">
        <v>23</v>
      </c>
      <c r="Y216" s="4">
        <v>3</v>
      </c>
      <c r="Z216" s="4">
        <v>59</v>
      </c>
      <c r="AA216" s="3">
        <v>1013</v>
      </c>
      <c r="AB216" s="3">
        <v>2</v>
      </c>
      <c r="AC216" s="3">
        <v>0</v>
      </c>
      <c r="AD216" s="2">
        <v>-1.2</v>
      </c>
      <c r="AE216" s="2">
        <v>109</v>
      </c>
      <c r="AF216" s="2">
        <v>110.7</v>
      </c>
      <c r="AG216" s="2">
        <v>-1.6</v>
      </c>
      <c r="AH216" s="2">
        <v>32</v>
      </c>
      <c r="AI216" s="2">
        <v>3.29</v>
      </c>
      <c r="AJ216" s="2">
        <v>25.7</v>
      </c>
      <c r="AK216" s="2">
        <v>1.6</v>
      </c>
      <c r="AL216" s="2">
        <v>10.7</v>
      </c>
      <c r="AM216" s="2">
        <v>6</v>
      </c>
      <c r="AN216" s="2">
        <v>7.8</v>
      </c>
      <c r="AO216" s="2">
        <v>51.7</v>
      </c>
      <c r="AP216" s="2">
        <v>57</v>
      </c>
      <c r="AQ216" s="2">
        <v>24.6</v>
      </c>
      <c r="AR216" s="2">
        <v>101.44</v>
      </c>
      <c r="AS216" s="2">
        <v>12.8</v>
      </c>
      <c r="AT216" s="2">
        <v>1936</v>
      </c>
      <c r="AU216" s="53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6"/>
    </row>
    <row r="217" spans="1:69" ht="13.2">
      <c r="A217" s="1" t="s">
        <v>458</v>
      </c>
      <c r="B217" s="1" t="s">
        <v>459</v>
      </c>
      <c r="C217" s="24" t="str">
        <f>VLOOKUP(B217,Equipe!$A$1:$B$31,2,FALSE)</f>
        <v>Portland Trail Blazers</v>
      </c>
      <c r="D217" s="2">
        <v>25</v>
      </c>
      <c r="E217" s="2">
        <v>67</v>
      </c>
      <c r="F217" s="2">
        <v>28</v>
      </c>
      <c r="G217" s="2">
        <v>39</v>
      </c>
      <c r="H217" s="2">
        <v>16.7</v>
      </c>
      <c r="I217" s="3">
        <v>556</v>
      </c>
      <c r="J217" s="4">
        <v>201</v>
      </c>
      <c r="K217" s="4">
        <v>509</v>
      </c>
      <c r="L217" s="3">
        <v>39.1</v>
      </c>
      <c r="M217" s="4">
        <v>74</v>
      </c>
      <c r="N217" s="4">
        <v>221</v>
      </c>
      <c r="O217" s="3">
        <v>32.4</v>
      </c>
      <c r="P217" s="3">
        <v>94</v>
      </c>
      <c r="Q217" s="3">
        <v>127</v>
      </c>
      <c r="R217" s="3">
        <v>72.8</v>
      </c>
      <c r="S217" s="4">
        <v>27</v>
      </c>
      <c r="T217" s="4">
        <v>107</v>
      </c>
      <c r="U217" s="4">
        <v>134</v>
      </c>
      <c r="V217" s="4">
        <v>161</v>
      </c>
      <c r="W217" s="4">
        <v>87</v>
      </c>
      <c r="X217" s="4">
        <v>40</v>
      </c>
      <c r="Y217" s="4">
        <v>34</v>
      </c>
      <c r="Z217" s="4">
        <v>60</v>
      </c>
      <c r="AA217" s="3">
        <v>1106</v>
      </c>
      <c r="AB217" s="3">
        <v>0</v>
      </c>
      <c r="AC217" s="3">
        <v>0</v>
      </c>
      <c r="AD217" s="2">
        <v>-0.8</v>
      </c>
      <c r="AE217" s="2">
        <v>110.2</v>
      </c>
      <c r="AF217" s="2">
        <v>111.8</v>
      </c>
      <c r="AG217" s="2">
        <v>-1.5</v>
      </c>
      <c r="AH217" s="2">
        <v>21.3</v>
      </c>
      <c r="AI217" s="2">
        <v>1.86</v>
      </c>
      <c r="AJ217" s="2">
        <v>19.8</v>
      </c>
      <c r="AK217" s="2">
        <v>2.5</v>
      </c>
      <c r="AL217" s="2">
        <v>8.8000000000000007</v>
      </c>
      <c r="AM217" s="2">
        <v>5.6</v>
      </c>
      <c r="AN217" s="2">
        <v>10.7</v>
      </c>
      <c r="AO217" s="2">
        <v>46.2</v>
      </c>
      <c r="AP217" s="2">
        <v>49.7</v>
      </c>
      <c r="AQ217" s="2">
        <v>23.7</v>
      </c>
      <c r="AR217" s="2">
        <v>101.21</v>
      </c>
      <c r="AS217" s="2">
        <v>8.9</v>
      </c>
      <c r="AT217" s="2">
        <v>2353</v>
      </c>
      <c r="AU217" s="53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6"/>
    </row>
    <row r="218" spans="1:69" ht="13.2">
      <c r="A218" s="1" t="s">
        <v>460</v>
      </c>
      <c r="B218" s="1" t="s">
        <v>461</v>
      </c>
      <c r="C218" s="24" t="str">
        <f>VLOOKUP(B218,Equipe!$A$1:$B$31,2,FALSE)</f>
        <v>Denver Nuggets</v>
      </c>
      <c r="D218" s="2">
        <v>22</v>
      </c>
      <c r="E218" s="2">
        <v>68</v>
      </c>
      <c r="F218" s="2">
        <v>40</v>
      </c>
      <c r="G218" s="2">
        <v>28</v>
      </c>
      <c r="H218" s="2">
        <v>24.3</v>
      </c>
      <c r="I218" s="3">
        <v>551</v>
      </c>
      <c r="J218" s="4">
        <v>204</v>
      </c>
      <c r="K218" s="4">
        <v>428</v>
      </c>
      <c r="L218" s="3">
        <v>47.7</v>
      </c>
      <c r="M218" s="4">
        <v>48</v>
      </c>
      <c r="N218" s="4">
        <v>136</v>
      </c>
      <c r="O218" s="3">
        <v>35.299999999999997</v>
      </c>
      <c r="P218" s="3">
        <v>95</v>
      </c>
      <c r="Q218" s="3">
        <v>136</v>
      </c>
      <c r="R218" s="3">
        <v>69.3</v>
      </c>
      <c r="S218" s="4">
        <v>48</v>
      </c>
      <c r="T218" s="4">
        <v>184</v>
      </c>
      <c r="U218" s="4">
        <v>231</v>
      </c>
      <c r="V218" s="4">
        <v>95</v>
      </c>
      <c r="W218" s="4">
        <v>54</v>
      </c>
      <c r="X218" s="4">
        <v>48</v>
      </c>
      <c r="Y218" s="4">
        <v>95</v>
      </c>
      <c r="Z218" s="4">
        <v>122</v>
      </c>
      <c r="AA218" s="3">
        <v>1340</v>
      </c>
      <c r="AB218" s="3">
        <v>0</v>
      </c>
      <c r="AC218" s="3">
        <v>0</v>
      </c>
      <c r="AD218" s="2">
        <v>-0.4</v>
      </c>
      <c r="AE218" s="2">
        <v>113.9</v>
      </c>
      <c r="AF218" s="2">
        <v>113.9</v>
      </c>
      <c r="AG218" s="2">
        <v>0</v>
      </c>
      <c r="AH218" s="2">
        <v>7.3</v>
      </c>
      <c r="AI218" s="2">
        <v>1.68</v>
      </c>
      <c r="AJ218" s="2">
        <v>14.7</v>
      </c>
      <c r="AK218" s="2">
        <v>3</v>
      </c>
      <c r="AL218" s="2">
        <v>10.3</v>
      </c>
      <c r="AM218" s="2">
        <v>6.9</v>
      </c>
      <c r="AN218" s="2">
        <v>8.8000000000000007</v>
      </c>
      <c r="AO218" s="2">
        <v>53.3</v>
      </c>
      <c r="AP218" s="2">
        <v>56.4</v>
      </c>
      <c r="AQ218" s="2">
        <v>13.8</v>
      </c>
      <c r="AR218" s="2">
        <v>101.83</v>
      </c>
      <c r="AS218" s="2">
        <v>6.6</v>
      </c>
      <c r="AT218" s="2">
        <v>3501</v>
      </c>
      <c r="AU218" s="53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6"/>
    </row>
    <row r="219" spans="1:69" ht="13.2">
      <c r="A219" s="1" t="s">
        <v>462</v>
      </c>
      <c r="B219" s="1" t="s">
        <v>463</v>
      </c>
      <c r="C219" s="24" t="str">
        <f>VLOOKUP(B219,Equipe!$A$1:$B$31,2,FALSE)</f>
        <v>Los Angeles Lakers</v>
      </c>
      <c r="D219" s="2">
        <v>32</v>
      </c>
      <c r="E219" s="2">
        <v>63</v>
      </c>
      <c r="F219" s="2">
        <v>36</v>
      </c>
      <c r="G219" s="2">
        <v>27</v>
      </c>
      <c r="H219" s="2">
        <v>28.9</v>
      </c>
      <c r="I219" s="3">
        <v>548</v>
      </c>
      <c r="J219" s="4">
        <v>195</v>
      </c>
      <c r="K219" s="4">
        <v>435</v>
      </c>
      <c r="L219" s="3">
        <v>44.8</v>
      </c>
      <c r="M219" s="4">
        <v>126</v>
      </c>
      <c r="N219" s="4">
        <v>315</v>
      </c>
      <c r="O219" s="3">
        <v>41.1</v>
      </c>
      <c r="P219" s="3">
        <v>32</v>
      </c>
      <c r="Q219" s="3">
        <v>44</v>
      </c>
      <c r="R219" s="3">
        <v>66.7</v>
      </c>
      <c r="S219" s="4">
        <v>82</v>
      </c>
      <c r="T219" s="4">
        <v>170</v>
      </c>
      <c r="U219" s="4">
        <v>246</v>
      </c>
      <c r="V219" s="4">
        <v>88</v>
      </c>
      <c r="W219" s="4">
        <v>57</v>
      </c>
      <c r="X219" s="4">
        <v>57</v>
      </c>
      <c r="Y219" s="4">
        <v>25</v>
      </c>
      <c r="Z219" s="4">
        <v>139</v>
      </c>
      <c r="AA219" s="3">
        <v>1166</v>
      </c>
      <c r="AB219" s="3">
        <v>0</v>
      </c>
      <c r="AC219" s="3">
        <v>0</v>
      </c>
      <c r="AD219" s="2">
        <v>4.9000000000000004</v>
      </c>
      <c r="AE219" s="2">
        <v>119.1</v>
      </c>
      <c r="AF219" s="2">
        <v>110.3</v>
      </c>
      <c r="AG219" s="2">
        <v>8.8000000000000007</v>
      </c>
      <c r="AH219" s="2">
        <v>6.6</v>
      </c>
      <c r="AI219" s="2">
        <v>1.61</v>
      </c>
      <c r="AJ219" s="2">
        <v>15</v>
      </c>
      <c r="AK219" s="2">
        <v>4.7</v>
      </c>
      <c r="AL219" s="2">
        <v>8.9</v>
      </c>
      <c r="AM219" s="2">
        <v>6.9</v>
      </c>
      <c r="AN219" s="2">
        <v>9.3000000000000007</v>
      </c>
      <c r="AO219" s="2">
        <v>59.7</v>
      </c>
      <c r="AP219" s="2">
        <v>60.4</v>
      </c>
      <c r="AQ219" s="2">
        <v>12.3</v>
      </c>
      <c r="AR219" s="2">
        <v>98.14</v>
      </c>
      <c r="AS219" s="2">
        <v>6</v>
      </c>
      <c r="AT219" s="2">
        <v>3711</v>
      </c>
      <c r="AU219" s="53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6"/>
    </row>
    <row r="220" spans="1:69" ht="13.2">
      <c r="A220" s="1" t="s">
        <v>464</v>
      </c>
      <c r="B220" s="1" t="s">
        <v>465</v>
      </c>
      <c r="C220" s="24" t="str">
        <f>VLOOKUP(B220,Equipe!$A$1:$B$31,2,FALSE)</f>
        <v>Washington Wizards</v>
      </c>
      <c r="D220" s="2">
        <v>23</v>
      </c>
      <c r="E220" s="2">
        <v>62</v>
      </c>
      <c r="F220" s="2">
        <v>16</v>
      </c>
      <c r="G220" s="2">
        <v>46</v>
      </c>
      <c r="H220" s="2">
        <v>21.6</v>
      </c>
      <c r="I220" s="3">
        <v>546</v>
      </c>
      <c r="J220" s="4">
        <v>211</v>
      </c>
      <c r="K220" s="4">
        <v>409</v>
      </c>
      <c r="L220" s="3">
        <v>51.1</v>
      </c>
      <c r="M220" s="4">
        <v>74</v>
      </c>
      <c r="N220" s="4">
        <v>192</v>
      </c>
      <c r="O220" s="3">
        <v>38.299999999999997</v>
      </c>
      <c r="P220" s="3">
        <v>50</v>
      </c>
      <c r="Q220" s="3">
        <v>74</v>
      </c>
      <c r="R220" s="3">
        <v>68.5</v>
      </c>
      <c r="S220" s="4">
        <v>112</v>
      </c>
      <c r="T220" s="4">
        <v>242</v>
      </c>
      <c r="U220" s="4">
        <v>353</v>
      </c>
      <c r="V220" s="4">
        <v>62</v>
      </c>
      <c r="W220" s="4">
        <v>56</v>
      </c>
      <c r="X220" s="4">
        <v>62</v>
      </c>
      <c r="Y220" s="4">
        <v>37</v>
      </c>
      <c r="Z220" s="4">
        <v>112</v>
      </c>
      <c r="AA220" s="3">
        <v>1314</v>
      </c>
      <c r="AB220" s="3">
        <v>8</v>
      </c>
      <c r="AC220" s="3">
        <v>0</v>
      </c>
      <c r="AD220" s="2">
        <v>-4.5999999999999996</v>
      </c>
      <c r="AE220" s="2">
        <v>107.1</v>
      </c>
      <c r="AF220" s="2">
        <v>116.8</v>
      </c>
      <c r="AG220" s="2">
        <v>-9.6999999999999993</v>
      </c>
      <c r="AH220" s="2">
        <v>6.6</v>
      </c>
      <c r="AI220" s="2">
        <v>1.1100000000000001</v>
      </c>
      <c r="AJ220" s="2">
        <v>10.8</v>
      </c>
      <c r="AK220" s="2">
        <v>7.7</v>
      </c>
      <c r="AL220" s="2">
        <v>15.9</v>
      </c>
      <c r="AM220" s="2">
        <v>11.9</v>
      </c>
      <c r="AN220" s="2">
        <v>9.6999999999999993</v>
      </c>
      <c r="AO220" s="2">
        <v>60.1</v>
      </c>
      <c r="AP220" s="2">
        <v>61.4</v>
      </c>
      <c r="AQ220" s="2">
        <v>15</v>
      </c>
      <c r="AR220" s="2">
        <v>102.96</v>
      </c>
      <c r="AS220" s="2">
        <v>10.1</v>
      </c>
      <c r="AT220" s="2">
        <v>2871</v>
      </c>
      <c r="AU220" s="53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6"/>
    </row>
    <row r="221" spans="1:69" ht="13.2">
      <c r="A221" s="1" t="s">
        <v>466</v>
      </c>
      <c r="B221" s="1" t="s">
        <v>467</v>
      </c>
      <c r="C221" s="24" t="str">
        <f>VLOOKUP(B221,Equipe!$A$1:$B$31,2,FALSE)</f>
        <v>New Orleans Pelicans</v>
      </c>
      <c r="D221" s="2">
        <v>28</v>
      </c>
      <c r="E221" s="2">
        <v>31</v>
      </c>
      <c r="F221" s="2">
        <v>9</v>
      </c>
      <c r="G221" s="2">
        <v>22</v>
      </c>
      <c r="H221" s="2">
        <v>32.6</v>
      </c>
      <c r="I221" s="3">
        <v>543</v>
      </c>
      <c r="J221" s="4">
        <v>195</v>
      </c>
      <c r="K221" s="4">
        <v>493</v>
      </c>
      <c r="L221" s="3">
        <v>39.299999999999997</v>
      </c>
      <c r="M221" s="4">
        <v>53</v>
      </c>
      <c r="N221" s="4">
        <v>174</v>
      </c>
      <c r="O221" s="3">
        <v>29.9</v>
      </c>
      <c r="P221" s="3">
        <v>102</v>
      </c>
      <c r="Q221" s="3">
        <v>124</v>
      </c>
      <c r="R221" s="3">
        <v>82.3</v>
      </c>
      <c r="S221" s="4">
        <v>16</v>
      </c>
      <c r="T221" s="4">
        <v>183</v>
      </c>
      <c r="U221" s="4">
        <v>202</v>
      </c>
      <c r="V221" s="4">
        <v>229</v>
      </c>
      <c r="W221" s="4">
        <v>105</v>
      </c>
      <c r="X221" s="4">
        <v>62</v>
      </c>
      <c r="Y221" s="4">
        <v>12</v>
      </c>
      <c r="Z221" s="4">
        <v>62</v>
      </c>
      <c r="AA221" s="3">
        <v>1243</v>
      </c>
      <c r="AB221" s="3">
        <v>8</v>
      </c>
      <c r="AC221" s="3">
        <v>1</v>
      </c>
      <c r="AD221" s="2">
        <v>-6.7</v>
      </c>
      <c r="AE221" s="2">
        <v>109</v>
      </c>
      <c r="AF221" s="2">
        <v>118.1</v>
      </c>
      <c r="AG221" s="2">
        <v>-9.1</v>
      </c>
      <c r="AH221" s="2">
        <v>34.700000000000003</v>
      </c>
      <c r="AI221" s="2">
        <v>2.15</v>
      </c>
      <c r="AJ221" s="2">
        <v>25.9</v>
      </c>
      <c r="AK221" s="2">
        <v>1.5</v>
      </c>
      <c r="AL221" s="2">
        <v>18.3</v>
      </c>
      <c r="AM221" s="2">
        <v>9.4</v>
      </c>
      <c r="AN221" s="2">
        <v>12</v>
      </c>
      <c r="AO221" s="2">
        <v>44.5</v>
      </c>
      <c r="AP221" s="2">
        <v>49.4</v>
      </c>
      <c r="AQ221" s="2">
        <v>26.3</v>
      </c>
      <c r="AR221" s="2">
        <v>102.86</v>
      </c>
      <c r="AS221" s="2">
        <v>11.8</v>
      </c>
      <c r="AT221" s="2">
        <v>2165</v>
      </c>
      <c r="AU221" s="53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6"/>
    </row>
    <row r="222" spans="1:69" ht="13.2">
      <c r="A222" s="1" t="s">
        <v>474</v>
      </c>
      <c r="B222" s="1" t="s">
        <v>475</v>
      </c>
      <c r="C222" s="24" t="str">
        <f>VLOOKUP(B222,Equipe!$A$1:$B$31,2,FALSE)</f>
        <v>Philadelphia 76ers</v>
      </c>
      <c r="D222" s="2">
        <v>24</v>
      </c>
      <c r="E222" s="2">
        <v>60</v>
      </c>
      <c r="F222" s="2">
        <v>6</v>
      </c>
      <c r="G222" s="2">
        <v>54</v>
      </c>
      <c r="H222" s="2">
        <v>17.399999999999999</v>
      </c>
      <c r="I222" s="3">
        <v>540</v>
      </c>
      <c r="J222" s="4">
        <v>204</v>
      </c>
      <c r="K222" s="4">
        <v>456</v>
      </c>
      <c r="L222" s="3">
        <v>44.8</v>
      </c>
      <c r="M222" s="4">
        <v>60</v>
      </c>
      <c r="N222" s="4">
        <v>168</v>
      </c>
      <c r="O222" s="3">
        <v>35.5</v>
      </c>
      <c r="P222" s="3">
        <v>78</v>
      </c>
      <c r="Q222" s="3">
        <v>90</v>
      </c>
      <c r="R222" s="3">
        <v>82.4</v>
      </c>
      <c r="S222" s="4">
        <v>24</v>
      </c>
      <c r="T222" s="4">
        <v>84</v>
      </c>
      <c r="U222" s="4">
        <v>108</v>
      </c>
      <c r="V222" s="4">
        <v>222</v>
      </c>
      <c r="W222" s="4">
        <v>78</v>
      </c>
      <c r="X222" s="4">
        <v>42</v>
      </c>
      <c r="Y222" s="4">
        <v>12</v>
      </c>
      <c r="Z222" s="4">
        <v>96</v>
      </c>
      <c r="AA222" s="3">
        <v>1086</v>
      </c>
      <c r="AB222" s="3">
        <v>1</v>
      </c>
      <c r="AC222" s="3">
        <v>0</v>
      </c>
      <c r="AD222" s="2">
        <v>-2.2000000000000002</v>
      </c>
      <c r="AE222" s="2">
        <v>108.5</v>
      </c>
      <c r="AF222" s="2">
        <v>114.5</v>
      </c>
      <c r="AG222" s="2">
        <v>-6</v>
      </c>
      <c r="AH222" s="2">
        <v>31.7</v>
      </c>
      <c r="AI222" s="2">
        <v>2.75</v>
      </c>
      <c r="AJ222" s="2">
        <v>27.9</v>
      </c>
      <c r="AK222" s="2">
        <v>2.2000000000000002</v>
      </c>
      <c r="AL222" s="2">
        <v>7.6</v>
      </c>
      <c r="AM222" s="2">
        <v>4.9000000000000004</v>
      </c>
      <c r="AN222" s="2">
        <v>10.199999999999999</v>
      </c>
      <c r="AO222" s="2">
        <v>51.4</v>
      </c>
      <c r="AP222" s="2">
        <v>54.9</v>
      </c>
      <c r="AQ222" s="2">
        <v>22.2</v>
      </c>
      <c r="AR222" s="2">
        <v>102.6</v>
      </c>
      <c r="AS222" s="2">
        <v>10.199999999999999</v>
      </c>
      <c r="AT222" s="2">
        <v>2232</v>
      </c>
      <c r="AU222" s="53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6"/>
    </row>
    <row r="223" spans="1:69" ht="13.2">
      <c r="A223" s="1" t="s">
        <v>468</v>
      </c>
      <c r="B223" s="1" t="s">
        <v>469</v>
      </c>
      <c r="C223" s="24" t="str">
        <f>VLOOKUP(B223,Equipe!$A$1:$B$31,2,FALSE)</f>
        <v>Boston Celtics</v>
      </c>
      <c r="D223" s="2">
        <v>39</v>
      </c>
      <c r="E223" s="2">
        <v>60</v>
      </c>
      <c r="F223" s="2">
        <v>44</v>
      </c>
      <c r="G223" s="2">
        <v>16</v>
      </c>
      <c r="H223" s="2">
        <v>27.6</v>
      </c>
      <c r="I223" s="3">
        <v>540</v>
      </c>
      <c r="J223" s="4">
        <v>198</v>
      </c>
      <c r="K223" s="4">
        <v>462</v>
      </c>
      <c r="L223" s="3">
        <v>42.3</v>
      </c>
      <c r="M223" s="4">
        <v>114</v>
      </c>
      <c r="N223" s="4">
        <v>312</v>
      </c>
      <c r="O223" s="3">
        <v>36.299999999999997</v>
      </c>
      <c r="P223" s="3">
        <v>36</v>
      </c>
      <c r="Q223" s="3">
        <v>36</v>
      </c>
      <c r="R223" s="3">
        <v>89.5</v>
      </c>
      <c r="S223" s="4">
        <v>78</v>
      </c>
      <c r="T223" s="4">
        <v>288</v>
      </c>
      <c r="U223" s="4">
        <v>372</v>
      </c>
      <c r="V223" s="4">
        <v>126</v>
      </c>
      <c r="W223" s="4">
        <v>48</v>
      </c>
      <c r="X223" s="4">
        <v>36</v>
      </c>
      <c r="Y223" s="4">
        <v>54</v>
      </c>
      <c r="Z223" s="4">
        <v>84</v>
      </c>
      <c r="AA223" s="3">
        <v>1386</v>
      </c>
      <c r="AB223" s="3">
        <v>7</v>
      </c>
      <c r="AC223" s="3">
        <v>0</v>
      </c>
      <c r="AD223" s="2">
        <v>6.6</v>
      </c>
      <c r="AE223" s="2">
        <v>119.6</v>
      </c>
      <c r="AF223" s="2">
        <v>108.1</v>
      </c>
      <c r="AG223" s="2">
        <v>11.5</v>
      </c>
      <c r="AH223" s="2">
        <v>10.199999999999999</v>
      </c>
      <c r="AI223" s="2">
        <v>2.78</v>
      </c>
      <c r="AJ223" s="2">
        <v>19.600000000000001</v>
      </c>
      <c r="AK223" s="2">
        <v>4.5999999999999996</v>
      </c>
      <c r="AL223" s="2">
        <v>16.5</v>
      </c>
      <c r="AM223" s="2">
        <v>10.6</v>
      </c>
      <c r="AN223" s="2">
        <v>7</v>
      </c>
      <c r="AO223" s="2">
        <v>54.7</v>
      </c>
      <c r="AP223" s="2">
        <v>56.3</v>
      </c>
      <c r="AQ223" s="2">
        <v>13.6</v>
      </c>
      <c r="AR223" s="2">
        <v>97.75</v>
      </c>
      <c r="AS223" s="2">
        <v>9.1</v>
      </c>
      <c r="AT223" s="2">
        <v>3381</v>
      </c>
      <c r="AU223" s="53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6"/>
    </row>
    <row r="224" spans="1:69" ht="13.2">
      <c r="A224" s="1" t="s">
        <v>472</v>
      </c>
      <c r="B224" s="1" t="s">
        <v>473</v>
      </c>
      <c r="C224" s="24" t="str">
        <f>VLOOKUP(B224,Equipe!$A$1:$B$31,2,FALSE)</f>
        <v>Milwaukee Bucks</v>
      </c>
      <c r="D224" s="2">
        <v>25</v>
      </c>
      <c r="E224" s="2">
        <v>73</v>
      </c>
      <c r="F224" s="2">
        <v>44</v>
      </c>
      <c r="G224" s="2">
        <v>29</v>
      </c>
      <c r="H224" s="2">
        <v>22.7</v>
      </c>
      <c r="I224" s="3">
        <v>540</v>
      </c>
      <c r="J224" s="4">
        <v>183</v>
      </c>
      <c r="K224" s="4">
        <v>423</v>
      </c>
      <c r="L224" s="3">
        <v>42.9</v>
      </c>
      <c r="M224" s="4">
        <v>153</v>
      </c>
      <c r="N224" s="4">
        <v>365</v>
      </c>
      <c r="O224" s="3">
        <v>42.7</v>
      </c>
      <c r="P224" s="3">
        <v>22</v>
      </c>
      <c r="Q224" s="3">
        <v>29</v>
      </c>
      <c r="R224" s="3">
        <v>81.5</v>
      </c>
      <c r="S224" s="4">
        <v>15</v>
      </c>
      <c r="T224" s="4">
        <v>153</v>
      </c>
      <c r="U224" s="4">
        <v>175</v>
      </c>
      <c r="V224" s="4">
        <v>110</v>
      </c>
      <c r="W224" s="4">
        <v>37</v>
      </c>
      <c r="X224" s="4">
        <v>37</v>
      </c>
      <c r="Y224" s="4">
        <v>7</v>
      </c>
      <c r="Z224" s="4">
        <v>161</v>
      </c>
      <c r="AA224" s="3">
        <v>1007</v>
      </c>
      <c r="AB224" s="3">
        <v>0</v>
      </c>
      <c r="AC224" s="3">
        <v>0</v>
      </c>
      <c r="AD224" s="2">
        <v>3.1</v>
      </c>
      <c r="AE224" s="2">
        <v>114</v>
      </c>
      <c r="AF224" s="2">
        <v>107.6</v>
      </c>
      <c r="AG224" s="2">
        <v>6.4</v>
      </c>
      <c r="AH224" s="2">
        <v>8.6</v>
      </c>
      <c r="AI224" s="2">
        <v>2.7</v>
      </c>
      <c r="AJ224" s="2">
        <v>18.600000000000001</v>
      </c>
      <c r="AK224" s="2">
        <v>1.1000000000000001</v>
      </c>
      <c r="AL224" s="2">
        <v>8.6999999999999993</v>
      </c>
      <c r="AM224" s="2">
        <v>5.0999999999999996</v>
      </c>
      <c r="AN224" s="2">
        <v>6.9</v>
      </c>
      <c r="AO224" s="2">
        <v>61.2</v>
      </c>
      <c r="AP224" s="2">
        <v>62.1</v>
      </c>
      <c r="AQ224" s="2">
        <v>12.3</v>
      </c>
      <c r="AR224" s="2">
        <v>100.84</v>
      </c>
      <c r="AS224" s="2">
        <v>5.8</v>
      </c>
      <c r="AT224" s="2">
        <v>3487</v>
      </c>
      <c r="AU224" s="53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6"/>
    </row>
    <row r="225" spans="1:69" ht="13.2">
      <c r="A225" s="1" t="s">
        <v>470</v>
      </c>
      <c r="B225" s="1" t="s">
        <v>471</v>
      </c>
      <c r="C225" s="24" t="str">
        <f>VLOOKUP(B225,Equipe!$A$1:$B$31,2,FALSE)</f>
        <v>Indiana Pacers</v>
      </c>
      <c r="D225" s="2">
        <v>25</v>
      </c>
      <c r="E225" s="2">
        <v>45</v>
      </c>
      <c r="F225" s="2">
        <v>29</v>
      </c>
      <c r="G225" s="2">
        <v>16</v>
      </c>
      <c r="H225" s="2">
        <v>24.9</v>
      </c>
      <c r="I225" s="3">
        <v>540</v>
      </c>
      <c r="J225" s="4">
        <v>194</v>
      </c>
      <c r="K225" s="4">
        <v>378</v>
      </c>
      <c r="L225" s="3">
        <v>50.7</v>
      </c>
      <c r="M225" s="4">
        <v>86</v>
      </c>
      <c r="N225" s="4">
        <v>194</v>
      </c>
      <c r="O225" s="3">
        <v>43.1</v>
      </c>
      <c r="P225" s="3">
        <v>72</v>
      </c>
      <c r="Q225" s="3">
        <v>81</v>
      </c>
      <c r="R225" s="3">
        <v>91.3</v>
      </c>
      <c r="S225" s="4">
        <v>36</v>
      </c>
      <c r="T225" s="4">
        <v>140</v>
      </c>
      <c r="U225" s="4">
        <v>180</v>
      </c>
      <c r="V225" s="4">
        <v>54</v>
      </c>
      <c r="W225" s="4">
        <v>36</v>
      </c>
      <c r="X225" s="4">
        <v>36</v>
      </c>
      <c r="Y225" s="4">
        <v>18</v>
      </c>
      <c r="Z225" s="4">
        <v>113</v>
      </c>
      <c r="AA225" s="3">
        <v>954</v>
      </c>
      <c r="AB225" s="3">
        <v>0</v>
      </c>
      <c r="AC225" s="3">
        <v>0</v>
      </c>
      <c r="AD225" s="2">
        <v>4.4000000000000004</v>
      </c>
      <c r="AE225" s="2">
        <v>120.1</v>
      </c>
      <c r="AF225" s="2">
        <v>111.5</v>
      </c>
      <c r="AG225" s="2">
        <v>8.5</v>
      </c>
      <c r="AH225" s="2">
        <v>6.3</v>
      </c>
      <c r="AI225" s="2">
        <v>1.46</v>
      </c>
      <c r="AJ225" s="2">
        <v>10.8</v>
      </c>
      <c r="AK225" s="2">
        <v>3.4</v>
      </c>
      <c r="AL225" s="2">
        <v>11.8</v>
      </c>
      <c r="AM225" s="2">
        <v>7.8</v>
      </c>
      <c r="AN225" s="2">
        <v>7.4</v>
      </c>
      <c r="AO225" s="2">
        <v>61.7</v>
      </c>
      <c r="AP225" s="2">
        <v>65.3</v>
      </c>
      <c r="AQ225" s="2">
        <v>17.100000000000001</v>
      </c>
      <c r="AR225" s="2">
        <v>101.64</v>
      </c>
      <c r="AS225" s="2">
        <v>8.6999999999999993</v>
      </c>
      <c r="AT225" s="2">
        <v>2373</v>
      </c>
      <c r="AU225" s="53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6"/>
    </row>
    <row r="226" spans="1:69" ht="13.2">
      <c r="A226" s="1" t="s">
        <v>480</v>
      </c>
      <c r="B226" s="1" t="s">
        <v>481</v>
      </c>
      <c r="C226" s="24" t="str">
        <f>VLOOKUP(B226,Equipe!$A$1:$B$31,2,FALSE)</f>
        <v>Toronto Raptors</v>
      </c>
      <c r="D226" s="2">
        <v>22</v>
      </c>
      <c r="E226" s="2">
        <v>75</v>
      </c>
      <c r="F226" s="2">
        <v>28</v>
      </c>
      <c r="G226" s="2">
        <v>47</v>
      </c>
      <c r="H226" s="2">
        <v>19.600000000000001</v>
      </c>
      <c r="I226" s="3">
        <v>533</v>
      </c>
      <c r="J226" s="4">
        <v>203</v>
      </c>
      <c r="K226" s="4">
        <v>503</v>
      </c>
      <c r="L226" s="3">
        <v>40.5</v>
      </c>
      <c r="M226" s="4">
        <v>75</v>
      </c>
      <c r="N226" s="4">
        <v>225</v>
      </c>
      <c r="O226" s="3">
        <v>32.299999999999997</v>
      </c>
      <c r="P226" s="3">
        <v>53</v>
      </c>
      <c r="Q226" s="3">
        <v>68</v>
      </c>
      <c r="R226" s="3">
        <v>76.8</v>
      </c>
      <c r="S226" s="4">
        <v>30</v>
      </c>
      <c r="T226" s="4">
        <v>83</v>
      </c>
      <c r="U226" s="4">
        <v>113</v>
      </c>
      <c r="V226" s="4">
        <v>315</v>
      </c>
      <c r="W226" s="4">
        <v>120</v>
      </c>
      <c r="X226" s="4">
        <v>60</v>
      </c>
      <c r="Y226" s="4">
        <v>8</v>
      </c>
      <c r="Z226" s="4">
        <v>158</v>
      </c>
      <c r="AA226" s="3">
        <v>1230</v>
      </c>
      <c r="AB226" s="3">
        <v>1</v>
      </c>
      <c r="AC226" s="3">
        <v>0</v>
      </c>
      <c r="AD226" s="2">
        <v>-3.1</v>
      </c>
      <c r="AE226" s="2">
        <v>105.5</v>
      </c>
      <c r="AF226" s="2">
        <v>113.3</v>
      </c>
      <c r="AG226" s="2">
        <v>-7.8</v>
      </c>
      <c r="AH226" s="2">
        <v>30.7</v>
      </c>
      <c r="AI226" s="2">
        <v>2.7</v>
      </c>
      <c r="AJ226" s="2">
        <v>32.799999999999997</v>
      </c>
      <c r="AK226" s="2">
        <v>1.9</v>
      </c>
      <c r="AL226" s="2">
        <v>5.7</v>
      </c>
      <c r="AM226" s="2">
        <v>3.7</v>
      </c>
      <c r="AN226" s="2">
        <v>12.1</v>
      </c>
      <c r="AO226" s="2">
        <v>47.6</v>
      </c>
      <c r="AP226" s="2">
        <v>49.9</v>
      </c>
      <c r="AQ226" s="2">
        <v>17.899999999999999</v>
      </c>
      <c r="AR226" s="2">
        <v>102.18</v>
      </c>
      <c r="AS226" s="2">
        <v>7</v>
      </c>
      <c r="AT226" s="2">
        <v>3127</v>
      </c>
      <c r="AU226" s="53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6"/>
    </row>
    <row r="227" spans="1:69" ht="13.2">
      <c r="A227" s="1" t="s">
        <v>476</v>
      </c>
      <c r="B227" s="1" t="s">
        <v>477</v>
      </c>
      <c r="C227" s="24" t="str">
        <f>VLOOKUP(B227,Equipe!$A$1:$B$31,2,FALSE)</f>
        <v>Orlando Magic</v>
      </c>
      <c r="D227" s="2">
        <v>24</v>
      </c>
      <c r="E227" s="2">
        <v>74</v>
      </c>
      <c r="F227" s="2">
        <v>35</v>
      </c>
      <c r="G227" s="2">
        <v>39</v>
      </c>
      <c r="H227" s="2">
        <v>22</v>
      </c>
      <c r="I227" s="3">
        <v>533</v>
      </c>
      <c r="J227" s="4">
        <v>200</v>
      </c>
      <c r="K227" s="4">
        <v>481</v>
      </c>
      <c r="L227" s="3">
        <v>41.2</v>
      </c>
      <c r="M227" s="4">
        <v>81</v>
      </c>
      <c r="N227" s="4">
        <v>237</v>
      </c>
      <c r="O227" s="3">
        <v>33.5</v>
      </c>
      <c r="P227" s="3">
        <v>52</v>
      </c>
      <c r="Q227" s="3">
        <v>67</v>
      </c>
      <c r="R227" s="3">
        <v>87.3</v>
      </c>
      <c r="S227" s="4">
        <v>74</v>
      </c>
      <c r="T227" s="4">
        <v>170</v>
      </c>
      <c r="U227" s="4">
        <v>244</v>
      </c>
      <c r="V227" s="4">
        <v>111</v>
      </c>
      <c r="W227" s="4">
        <v>59</v>
      </c>
      <c r="X227" s="4">
        <v>30</v>
      </c>
      <c r="Y227" s="4">
        <v>15</v>
      </c>
      <c r="Z227" s="4">
        <v>96</v>
      </c>
      <c r="AA227" s="3">
        <v>1095</v>
      </c>
      <c r="AB227" s="3">
        <v>1</v>
      </c>
      <c r="AC227" s="3">
        <v>0</v>
      </c>
      <c r="AD227" s="2">
        <v>-1.7</v>
      </c>
      <c r="AE227" s="2">
        <v>106.1</v>
      </c>
      <c r="AF227" s="2">
        <v>110.3</v>
      </c>
      <c r="AG227" s="2">
        <v>-4.2</v>
      </c>
      <c r="AH227" s="2">
        <v>10.5</v>
      </c>
      <c r="AI227" s="2">
        <v>2.02</v>
      </c>
      <c r="AJ227" s="2">
        <v>16.600000000000001</v>
      </c>
      <c r="AK227" s="2">
        <v>4.2</v>
      </c>
      <c r="AL227" s="2">
        <v>11.4</v>
      </c>
      <c r="AM227" s="2">
        <v>7.6</v>
      </c>
      <c r="AN227" s="2">
        <v>8.1999999999999993</v>
      </c>
      <c r="AO227" s="2">
        <v>49.5</v>
      </c>
      <c r="AP227" s="2">
        <v>52.2</v>
      </c>
      <c r="AQ227" s="2">
        <v>14.9</v>
      </c>
      <c r="AR227" s="2">
        <v>96.97</v>
      </c>
      <c r="AS227" s="2">
        <v>7.4</v>
      </c>
      <c r="AT227" s="2">
        <v>3295</v>
      </c>
      <c r="AU227" s="53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6"/>
    </row>
    <row r="228" spans="1:69" ht="13.2">
      <c r="A228" s="1" t="s">
        <v>478</v>
      </c>
      <c r="B228" s="1" t="s">
        <v>479</v>
      </c>
      <c r="C228" s="24" t="str">
        <f>VLOOKUP(B228,Equipe!$A$1:$B$31,2,FALSE)</f>
        <v>Philadelphia 76ers</v>
      </c>
      <c r="D228" s="2">
        <v>23</v>
      </c>
      <c r="E228" s="2">
        <v>73</v>
      </c>
      <c r="F228" s="2">
        <v>16</v>
      </c>
      <c r="G228" s="2">
        <v>57</v>
      </c>
      <c r="H228" s="2">
        <v>17.100000000000001</v>
      </c>
      <c r="I228" s="3">
        <v>533</v>
      </c>
      <c r="J228" s="4">
        <v>175</v>
      </c>
      <c r="K228" s="4">
        <v>460</v>
      </c>
      <c r="L228" s="3">
        <v>38.200000000000003</v>
      </c>
      <c r="M228" s="4">
        <v>58</v>
      </c>
      <c r="N228" s="4">
        <v>212</v>
      </c>
      <c r="O228" s="3">
        <v>25.8</v>
      </c>
      <c r="P228" s="3">
        <v>124</v>
      </c>
      <c r="Q228" s="3">
        <v>153</v>
      </c>
      <c r="R228" s="3">
        <v>80.400000000000006</v>
      </c>
      <c r="S228" s="4">
        <v>51</v>
      </c>
      <c r="T228" s="4">
        <v>161</v>
      </c>
      <c r="U228" s="4">
        <v>212</v>
      </c>
      <c r="V228" s="4">
        <v>95</v>
      </c>
      <c r="W228" s="4">
        <v>51</v>
      </c>
      <c r="X228" s="4">
        <v>29</v>
      </c>
      <c r="Y228" s="4">
        <v>15</v>
      </c>
      <c r="Z228" s="4">
        <v>66</v>
      </c>
      <c r="AA228" s="3">
        <v>1015</v>
      </c>
      <c r="AB228" s="3">
        <v>3</v>
      </c>
      <c r="AC228" s="3">
        <v>0</v>
      </c>
      <c r="AD228" s="2">
        <v>-2.2000000000000002</v>
      </c>
      <c r="AE228" s="2">
        <v>109.9</v>
      </c>
      <c r="AF228" s="2">
        <v>116</v>
      </c>
      <c r="AG228" s="2">
        <v>-6.1</v>
      </c>
      <c r="AH228" s="2">
        <v>11.5</v>
      </c>
      <c r="AI228" s="2">
        <v>1.87</v>
      </c>
      <c r="AJ228" s="2">
        <v>14.3</v>
      </c>
      <c r="AK228" s="2">
        <v>3.9</v>
      </c>
      <c r="AL228" s="2">
        <v>13</v>
      </c>
      <c r="AM228" s="2">
        <v>8.4</v>
      </c>
      <c r="AN228" s="2">
        <v>7.7</v>
      </c>
      <c r="AO228" s="2">
        <v>44.2</v>
      </c>
      <c r="AP228" s="2">
        <v>50.2</v>
      </c>
      <c r="AQ228" s="2">
        <v>19.600000000000001</v>
      </c>
      <c r="AR228" s="2">
        <v>99.93</v>
      </c>
      <c r="AS228" s="2">
        <v>8</v>
      </c>
      <c r="AT228" s="2">
        <v>2602</v>
      </c>
      <c r="AU228" s="53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6"/>
    </row>
    <row r="229" spans="1:69" ht="13.2">
      <c r="A229" s="1" t="s">
        <v>482</v>
      </c>
      <c r="B229" s="1" t="s">
        <v>483</v>
      </c>
      <c r="C229" s="24" t="str">
        <f>VLOOKUP(B229,Equipe!$A$1:$B$31,2,FALSE)</f>
        <v>Memphis Grizzlies</v>
      </c>
      <c r="D229" s="2">
        <v>28</v>
      </c>
      <c r="E229" s="2">
        <v>64</v>
      </c>
      <c r="F229" s="2">
        <v>40</v>
      </c>
      <c r="G229" s="2">
        <v>24</v>
      </c>
      <c r="H229" s="2">
        <v>18.899999999999999</v>
      </c>
      <c r="I229" s="3">
        <v>531</v>
      </c>
      <c r="J229" s="4">
        <v>237</v>
      </c>
      <c r="K229" s="4">
        <v>378</v>
      </c>
      <c r="L229" s="3">
        <v>62.1</v>
      </c>
      <c r="M229" s="3">
        <v>0</v>
      </c>
      <c r="N229" s="4">
        <v>19</v>
      </c>
      <c r="O229" s="3">
        <v>5.9</v>
      </c>
      <c r="P229" s="3">
        <v>64</v>
      </c>
      <c r="Q229" s="3">
        <v>90</v>
      </c>
      <c r="R229" s="3">
        <v>70.099999999999994</v>
      </c>
      <c r="S229" s="4">
        <v>128</v>
      </c>
      <c r="T229" s="4">
        <v>198</v>
      </c>
      <c r="U229" s="4">
        <v>326</v>
      </c>
      <c r="V229" s="4">
        <v>64</v>
      </c>
      <c r="W229" s="4">
        <v>38</v>
      </c>
      <c r="X229" s="4">
        <v>51</v>
      </c>
      <c r="Y229" s="4">
        <v>38</v>
      </c>
      <c r="Z229" s="4">
        <v>147</v>
      </c>
      <c r="AA229" s="3">
        <v>1248</v>
      </c>
      <c r="AB229" s="3">
        <v>2</v>
      </c>
      <c r="AC229" s="3">
        <v>0</v>
      </c>
      <c r="AD229" s="2">
        <v>2.8</v>
      </c>
      <c r="AE229" s="2">
        <v>116.5</v>
      </c>
      <c r="AF229" s="2">
        <v>108.2</v>
      </c>
      <c r="AG229" s="2">
        <v>8.1999999999999993</v>
      </c>
      <c r="AH229" s="2">
        <v>7.2</v>
      </c>
      <c r="AI229" s="2">
        <v>1.61</v>
      </c>
      <c r="AJ229" s="2">
        <v>12.7</v>
      </c>
      <c r="AK229" s="2">
        <v>10.199999999999999</v>
      </c>
      <c r="AL229" s="2">
        <v>14.8</v>
      </c>
      <c r="AM229" s="2">
        <v>12.6</v>
      </c>
      <c r="AN229" s="2">
        <v>7.9</v>
      </c>
      <c r="AO229" s="2">
        <v>62.2</v>
      </c>
      <c r="AP229" s="2">
        <v>63.8</v>
      </c>
      <c r="AQ229" s="2">
        <v>15</v>
      </c>
      <c r="AR229" s="2">
        <v>105.54</v>
      </c>
      <c r="AS229" s="2">
        <v>10.8</v>
      </c>
      <c r="AT229" s="2">
        <v>2637</v>
      </c>
      <c r="AU229" s="53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6"/>
    </row>
    <row r="230" spans="1:69" ht="13.2">
      <c r="A230" s="1" t="s">
        <v>484</v>
      </c>
      <c r="B230" s="1" t="s">
        <v>485</v>
      </c>
      <c r="C230" s="24" t="str">
        <f>VLOOKUP(B230,Equipe!$A$1:$B$31,2,FALSE)</f>
        <v>Phoenix Suns</v>
      </c>
      <c r="D230" s="2">
        <v>27</v>
      </c>
      <c r="E230" s="2">
        <v>57</v>
      </c>
      <c r="F230" s="2">
        <v>17</v>
      </c>
      <c r="G230" s="2">
        <v>40</v>
      </c>
      <c r="H230" s="2">
        <v>22</v>
      </c>
      <c r="I230" s="3">
        <v>530</v>
      </c>
      <c r="J230" s="4">
        <v>205</v>
      </c>
      <c r="K230" s="4">
        <v>348</v>
      </c>
      <c r="L230" s="3">
        <v>59.1</v>
      </c>
      <c r="M230" s="3">
        <v>0</v>
      </c>
      <c r="N230" s="3">
        <v>0</v>
      </c>
      <c r="O230" s="3">
        <v>0</v>
      </c>
      <c r="P230" s="3">
        <v>120</v>
      </c>
      <c r="Q230" s="3">
        <v>160</v>
      </c>
      <c r="R230" s="3">
        <v>74.400000000000006</v>
      </c>
      <c r="S230" s="4">
        <v>148</v>
      </c>
      <c r="T230" s="4">
        <v>319</v>
      </c>
      <c r="U230" s="4">
        <v>467</v>
      </c>
      <c r="V230" s="4">
        <v>51</v>
      </c>
      <c r="W230" s="4">
        <v>80</v>
      </c>
      <c r="X230" s="4">
        <v>11</v>
      </c>
      <c r="Y230" s="4">
        <v>57</v>
      </c>
      <c r="Z230" s="4">
        <v>143</v>
      </c>
      <c r="AA230" s="3">
        <v>1288</v>
      </c>
      <c r="AB230" s="3">
        <v>16</v>
      </c>
      <c r="AC230" s="3">
        <v>0</v>
      </c>
      <c r="AD230" s="2">
        <v>-4.0999999999999996</v>
      </c>
      <c r="AE230" s="2">
        <v>112.3</v>
      </c>
      <c r="AF230" s="2">
        <v>120.9</v>
      </c>
      <c r="AG230" s="2">
        <v>-8.6999999999999993</v>
      </c>
      <c r="AH230" s="2">
        <v>5.8</v>
      </c>
      <c r="AI230" s="2">
        <v>0.6</v>
      </c>
      <c r="AJ230" s="2">
        <v>8.9</v>
      </c>
      <c r="AK230" s="2">
        <v>11.8</v>
      </c>
      <c r="AL230" s="2">
        <v>24.3</v>
      </c>
      <c r="AM230" s="2">
        <v>18.100000000000001</v>
      </c>
      <c r="AN230" s="2">
        <v>14.8</v>
      </c>
      <c r="AO230" s="2">
        <v>59.1</v>
      </c>
      <c r="AP230" s="2">
        <v>63.4</v>
      </c>
      <c r="AQ230" s="2">
        <v>16.899999999999999</v>
      </c>
      <c r="AR230" s="2">
        <v>98.62</v>
      </c>
      <c r="AS230" s="2">
        <v>10.7</v>
      </c>
      <c r="AT230" s="2">
        <v>2576</v>
      </c>
      <c r="AU230" s="53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6"/>
    </row>
    <row r="231" spans="1:69" ht="13.2">
      <c r="A231" s="1" t="s">
        <v>486</v>
      </c>
      <c r="B231" s="1" t="s">
        <v>487</v>
      </c>
      <c r="C231" s="24" t="str">
        <f>VLOOKUP(B231,Equipe!$A$1:$B$31,2,FALSE)</f>
        <v>Detroit Pistons</v>
      </c>
      <c r="D231" s="2">
        <v>23</v>
      </c>
      <c r="E231" s="2">
        <v>30</v>
      </c>
      <c r="F231" s="2">
        <v>14</v>
      </c>
      <c r="G231" s="2">
        <v>16</v>
      </c>
      <c r="H231" s="2">
        <v>29.9</v>
      </c>
      <c r="I231" s="3">
        <v>528</v>
      </c>
      <c r="J231" s="4">
        <v>189</v>
      </c>
      <c r="K231" s="4">
        <v>414</v>
      </c>
      <c r="L231" s="3">
        <v>46</v>
      </c>
      <c r="M231" s="4">
        <v>63</v>
      </c>
      <c r="N231" s="4">
        <v>153</v>
      </c>
      <c r="O231" s="3">
        <v>40.9</v>
      </c>
      <c r="P231" s="3">
        <v>84</v>
      </c>
      <c r="Q231" s="3">
        <v>117</v>
      </c>
      <c r="R231" s="3">
        <v>73.3</v>
      </c>
      <c r="S231" s="4">
        <v>39</v>
      </c>
      <c r="T231" s="4">
        <v>84</v>
      </c>
      <c r="U231" s="4">
        <v>123</v>
      </c>
      <c r="V231" s="4">
        <v>120</v>
      </c>
      <c r="W231" s="4">
        <v>90</v>
      </c>
      <c r="X231" s="4">
        <v>27</v>
      </c>
      <c r="Y231" s="4">
        <v>12</v>
      </c>
      <c r="Z231" s="4">
        <v>66</v>
      </c>
      <c r="AA231" s="3">
        <v>882</v>
      </c>
      <c r="AB231" s="3">
        <v>0</v>
      </c>
      <c r="AC231" s="3">
        <v>0</v>
      </c>
      <c r="AD231" s="2">
        <v>-2.1</v>
      </c>
      <c r="AE231" s="2">
        <v>110.5</v>
      </c>
      <c r="AF231" s="2">
        <v>114.6</v>
      </c>
      <c r="AG231" s="2">
        <v>-4.0999999999999996</v>
      </c>
      <c r="AH231" s="2">
        <v>20.7</v>
      </c>
      <c r="AI231" s="2">
        <v>1.34</v>
      </c>
      <c r="AJ231" s="2">
        <v>17.7</v>
      </c>
      <c r="AK231" s="2">
        <v>4.3</v>
      </c>
      <c r="AL231" s="2">
        <v>9.1</v>
      </c>
      <c r="AM231" s="2">
        <v>6.7</v>
      </c>
      <c r="AN231" s="2">
        <v>13.2</v>
      </c>
      <c r="AO231" s="2">
        <v>53.6</v>
      </c>
      <c r="AP231" s="2">
        <v>56.9</v>
      </c>
      <c r="AQ231" s="2">
        <v>25.6</v>
      </c>
      <c r="AR231" s="2">
        <v>99.52</v>
      </c>
      <c r="AS231" s="2">
        <v>9.9</v>
      </c>
      <c r="AT231" s="2">
        <v>1868</v>
      </c>
      <c r="AU231" s="53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6"/>
    </row>
    <row r="232" spans="1:69" ht="13.2">
      <c r="A232" s="1" t="s">
        <v>488</v>
      </c>
      <c r="B232" s="1" t="s">
        <v>489</v>
      </c>
      <c r="C232" s="24" t="str">
        <f>VLOOKUP(B232,Equipe!$A$1:$B$31,2,FALSE)</f>
        <v>Chicago Bulls</v>
      </c>
      <c r="D232" s="2">
        <v>25</v>
      </c>
      <c r="E232" s="2">
        <v>64</v>
      </c>
      <c r="F232" s="2">
        <v>28</v>
      </c>
      <c r="G232" s="2">
        <v>36</v>
      </c>
      <c r="H232" s="2">
        <v>15</v>
      </c>
      <c r="I232" s="3">
        <v>525</v>
      </c>
      <c r="J232" s="4">
        <v>192</v>
      </c>
      <c r="K232" s="4">
        <v>410</v>
      </c>
      <c r="L232" s="3">
        <v>46.6</v>
      </c>
      <c r="M232" s="4">
        <v>70</v>
      </c>
      <c r="N232" s="4">
        <v>224</v>
      </c>
      <c r="O232" s="3">
        <v>32.4</v>
      </c>
      <c r="P232" s="3">
        <v>70</v>
      </c>
      <c r="Q232" s="3">
        <v>90</v>
      </c>
      <c r="R232" s="3">
        <v>80.900000000000006</v>
      </c>
      <c r="S232" s="4">
        <v>90</v>
      </c>
      <c r="T232" s="4">
        <v>269</v>
      </c>
      <c r="U232" s="4">
        <v>358</v>
      </c>
      <c r="V232" s="4">
        <v>64</v>
      </c>
      <c r="W232" s="4">
        <v>38</v>
      </c>
      <c r="X232" s="4">
        <v>19</v>
      </c>
      <c r="Y232" s="4">
        <v>45</v>
      </c>
      <c r="Z232" s="4">
        <v>96</v>
      </c>
      <c r="AA232" s="3">
        <v>1197</v>
      </c>
      <c r="AB232" s="3">
        <v>4</v>
      </c>
      <c r="AC232" s="3">
        <v>0</v>
      </c>
      <c r="AD232" s="2">
        <v>-0.6</v>
      </c>
      <c r="AE232" s="2">
        <v>110.3</v>
      </c>
      <c r="AF232" s="2">
        <v>111.5</v>
      </c>
      <c r="AG232" s="2">
        <v>-1.2</v>
      </c>
      <c r="AH232" s="2">
        <v>10.1</v>
      </c>
      <c r="AI232" s="2">
        <v>1.76</v>
      </c>
      <c r="AJ232" s="2">
        <v>11.9</v>
      </c>
      <c r="AK232" s="2">
        <v>8.5</v>
      </c>
      <c r="AL232" s="2">
        <v>24.1</v>
      </c>
      <c r="AM232" s="2">
        <v>16.5</v>
      </c>
      <c r="AN232" s="2">
        <v>6.8</v>
      </c>
      <c r="AO232" s="2">
        <v>55.4</v>
      </c>
      <c r="AP232" s="2">
        <v>58.6</v>
      </c>
      <c r="AQ232" s="2">
        <v>20.100000000000001</v>
      </c>
      <c r="AR232" s="2">
        <v>106.06</v>
      </c>
      <c r="AS232" s="2">
        <v>13.3</v>
      </c>
      <c r="AT232" s="2">
        <v>2122</v>
      </c>
      <c r="AU232" s="53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6"/>
    </row>
    <row r="233" spans="1:69" ht="13.2">
      <c r="A233" s="1" t="s">
        <v>490</v>
      </c>
      <c r="B233" s="1" t="s">
        <v>491</v>
      </c>
      <c r="C233" s="24" t="str">
        <f>VLOOKUP(B233,Equipe!$A$1:$B$31,2,FALSE)</f>
        <v>Brooklyn Nets</v>
      </c>
      <c r="D233" s="2">
        <v>26</v>
      </c>
      <c r="E233" s="2">
        <v>60</v>
      </c>
      <c r="F233" s="2">
        <v>16</v>
      </c>
      <c r="G233" s="2">
        <v>44</v>
      </c>
      <c r="H233" s="2">
        <v>21.9</v>
      </c>
      <c r="I233" s="3">
        <v>522</v>
      </c>
      <c r="J233" s="4">
        <v>192</v>
      </c>
      <c r="K233" s="4">
        <v>468</v>
      </c>
      <c r="L233" s="3">
        <v>40.6</v>
      </c>
      <c r="M233" s="4">
        <v>102</v>
      </c>
      <c r="N233" s="4">
        <v>282</v>
      </c>
      <c r="O233" s="3">
        <v>35.1</v>
      </c>
      <c r="P233" s="3">
        <v>48</v>
      </c>
      <c r="Q233" s="3">
        <v>60</v>
      </c>
      <c r="R233" s="3">
        <v>79.3</v>
      </c>
      <c r="S233" s="4">
        <v>60</v>
      </c>
      <c r="T233" s="4">
        <v>162</v>
      </c>
      <c r="U233" s="4">
        <v>222</v>
      </c>
      <c r="V233" s="4">
        <v>120</v>
      </c>
      <c r="W233" s="4">
        <v>72</v>
      </c>
      <c r="X233" s="4">
        <v>36</v>
      </c>
      <c r="Y233" s="4">
        <v>12</v>
      </c>
      <c r="Z233" s="4">
        <v>78</v>
      </c>
      <c r="AA233" s="3">
        <v>1026</v>
      </c>
      <c r="AB233" s="3">
        <v>1</v>
      </c>
      <c r="AC233" s="3">
        <v>0</v>
      </c>
      <c r="AD233" s="2">
        <v>-4.3</v>
      </c>
      <c r="AE233" s="2">
        <v>103.2</v>
      </c>
      <c r="AF233" s="2">
        <v>113.4</v>
      </c>
      <c r="AG233" s="2">
        <v>-10.199999999999999</v>
      </c>
      <c r="AH233" s="2">
        <v>15</v>
      </c>
      <c r="AI233" s="2">
        <v>1.65</v>
      </c>
      <c r="AJ233" s="2">
        <v>17.7</v>
      </c>
      <c r="AK233" s="2">
        <v>4</v>
      </c>
      <c r="AL233" s="2">
        <v>13.3</v>
      </c>
      <c r="AM233" s="2">
        <v>8.3000000000000007</v>
      </c>
      <c r="AN233" s="2">
        <v>10.8</v>
      </c>
      <c r="AO233" s="2">
        <v>51.3</v>
      </c>
      <c r="AP233" s="2">
        <v>53.3</v>
      </c>
      <c r="AQ233" s="2">
        <v>17.899999999999999</v>
      </c>
      <c r="AR233" s="2">
        <v>98.64</v>
      </c>
      <c r="AS233" s="2">
        <v>8.4</v>
      </c>
      <c r="AT233" s="2">
        <v>2711</v>
      </c>
      <c r="AU233" s="53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6"/>
    </row>
    <row r="234" spans="1:69" ht="13.2">
      <c r="A234" s="1" t="s">
        <v>492</v>
      </c>
      <c r="B234" s="1" t="s">
        <v>493</v>
      </c>
      <c r="C234" s="24" t="str">
        <f>VLOOKUP(B234,Equipe!$A$1:$B$31,2,FALSE)</f>
        <v>Detroit Pistons</v>
      </c>
      <c r="D234" s="2">
        <v>19</v>
      </c>
      <c r="E234" s="2">
        <v>81</v>
      </c>
      <c r="F234" s="2">
        <v>44</v>
      </c>
      <c r="G234" s="2">
        <v>37</v>
      </c>
      <c r="H234" s="2">
        <v>15.6</v>
      </c>
      <c r="I234" s="3">
        <v>518</v>
      </c>
      <c r="J234" s="4">
        <v>194</v>
      </c>
      <c r="K234" s="4">
        <v>413</v>
      </c>
      <c r="L234" s="3">
        <v>47.4</v>
      </c>
      <c r="M234" s="4">
        <v>32</v>
      </c>
      <c r="N234" s="4">
        <v>154</v>
      </c>
      <c r="O234" s="3">
        <v>23.8</v>
      </c>
      <c r="P234" s="3">
        <v>89</v>
      </c>
      <c r="Q234" s="3">
        <v>122</v>
      </c>
      <c r="R234" s="3">
        <v>75.400000000000006</v>
      </c>
      <c r="S234" s="4">
        <v>41</v>
      </c>
      <c r="T234" s="4">
        <v>178</v>
      </c>
      <c r="U234" s="4">
        <v>219</v>
      </c>
      <c r="V234" s="4">
        <v>81</v>
      </c>
      <c r="W234" s="4">
        <v>73</v>
      </c>
      <c r="X234" s="4">
        <v>49</v>
      </c>
      <c r="Y234" s="4">
        <v>16</v>
      </c>
      <c r="Z234" s="4">
        <v>138</v>
      </c>
      <c r="AA234" s="3">
        <v>1029</v>
      </c>
      <c r="AB234" s="3">
        <v>0</v>
      </c>
      <c r="AC234" s="3">
        <v>0</v>
      </c>
      <c r="AD234" s="2">
        <v>-0.7</v>
      </c>
      <c r="AE234" s="2">
        <v>109.8</v>
      </c>
      <c r="AF234" s="2">
        <v>110.9</v>
      </c>
      <c r="AG234" s="2">
        <v>-1</v>
      </c>
      <c r="AH234" s="2">
        <v>9.5</v>
      </c>
      <c r="AI234" s="2">
        <v>1.1399999999999999</v>
      </c>
      <c r="AJ234" s="2">
        <v>13.2</v>
      </c>
      <c r="AK234" s="2">
        <v>3</v>
      </c>
      <c r="AL234" s="2">
        <v>13.6</v>
      </c>
      <c r="AM234" s="2">
        <v>8.3000000000000007</v>
      </c>
      <c r="AN234" s="2">
        <v>11.6</v>
      </c>
      <c r="AO234" s="2">
        <v>51.7</v>
      </c>
      <c r="AP234" s="2">
        <v>55.6</v>
      </c>
      <c r="AQ234" s="2">
        <v>17.7</v>
      </c>
      <c r="AR234" s="2">
        <v>101</v>
      </c>
      <c r="AS234" s="2">
        <v>7.8</v>
      </c>
      <c r="AT234" s="2">
        <v>2652</v>
      </c>
      <c r="AU234" s="53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6"/>
    </row>
    <row r="235" spans="1:69" ht="13.2">
      <c r="A235" s="1" t="s">
        <v>494</v>
      </c>
      <c r="B235" s="1" t="s">
        <v>495</v>
      </c>
      <c r="C235" s="24" t="str">
        <f>VLOOKUP(B235,Equipe!$A$1:$B$31,2,FALSE)</f>
        <v>Atlanta Hawks</v>
      </c>
      <c r="D235" s="2">
        <v>28</v>
      </c>
      <c r="E235" s="2">
        <v>67</v>
      </c>
      <c r="F235" s="2">
        <v>37</v>
      </c>
      <c r="G235" s="2">
        <v>30</v>
      </c>
      <c r="H235" s="2">
        <v>21.1</v>
      </c>
      <c r="I235" s="3">
        <v>516</v>
      </c>
      <c r="J235" s="4">
        <v>208</v>
      </c>
      <c r="K235" s="4">
        <v>415</v>
      </c>
      <c r="L235" s="3">
        <v>49.6</v>
      </c>
      <c r="M235" s="4">
        <v>60</v>
      </c>
      <c r="N235" s="4">
        <v>161</v>
      </c>
      <c r="O235" s="3">
        <v>36.799999999999997</v>
      </c>
      <c r="P235" s="3">
        <v>47</v>
      </c>
      <c r="Q235" s="3">
        <v>67</v>
      </c>
      <c r="R235" s="3">
        <v>69.099999999999994</v>
      </c>
      <c r="S235" s="4">
        <v>67</v>
      </c>
      <c r="T235" s="4">
        <v>134</v>
      </c>
      <c r="U235" s="4">
        <v>201</v>
      </c>
      <c r="V235" s="4">
        <v>121</v>
      </c>
      <c r="W235" s="4">
        <v>47</v>
      </c>
      <c r="X235" s="4">
        <v>47</v>
      </c>
      <c r="Y235" s="4">
        <v>13</v>
      </c>
      <c r="Z235" s="4">
        <v>127</v>
      </c>
      <c r="AA235" s="3">
        <v>1079</v>
      </c>
      <c r="AB235" s="3">
        <v>0</v>
      </c>
      <c r="AC235" s="3">
        <v>0</v>
      </c>
      <c r="AD235" s="2">
        <v>-1.4</v>
      </c>
      <c r="AE235" s="2">
        <v>112.9</v>
      </c>
      <c r="AF235" s="2">
        <v>115.2</v>
      </c>
      <c r="AG235" s="2">
        <v>-2.2999999999999998</v>
      </c>
      <c r="AH235" s="2">
        <v>11.8</v>
      </c>
      <c r="AI235" s="2">
        <v>2.57</v>
      </c>
      <c r="AJ235" s="2">
        <v>19.8</v>
      </c>
      <c r="AK235" s="2">
        <v>4.7</v>
      </c>
      <c r="AL235" s="2">
        <v>9.4</v>
      </c>
      <c r="AM235" s="2">
        <v>7</v>
      </c>
      <c r="AN235" s="2">
        <v>7.7</v>
      </c>
      <c r="AO235" s="2">
        <v>56.9</v>
      </c>
      <c r="AP235" s="2">
        <v>58.4</v>
      </c>
      <c r="AQ235" s="2">
        <v>14.5</v>
      </c>
      <c r="AR235" s="2">
        <v>100.43</v>
      </c>
      <c r="AS235" s="2">
        <v>7.4</v>
      </c>
      <c r="AT235" s="2">
        <v>2947</v>
      </c>
      <c r="AU235" s="53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6"/>
    </row>
    <row r="236" spans="1:69" ht="13.2">
      <c r="A236" s="1" t="s">
        <v>496</v>
      </c>
      <c r="B236" s="1" t="s">
        <v>497</v>
      </c>
      <c r="C236" s="24" t="str">
        <f>VLOOKUP(B236,Equipe!$A$1:$B$31,2,FALSE)</f>
        <v>Cleveland Cavaliers</v>
      </c>
      <c r="D236" s="2">
        <v>29</v>
      </c>
      <c r="E236" s="2">
        <v>71</v>
      </c>
      <c r="F236" s="2">
        <v>54</v>
      </c>
      <c r="G236" s="2">
        <v>17</v>
      </c>
      <c r="H236" s="2">
        <v>19.7</v>
      </c>
      <c r="I236" s="3">
        <v>511</v>
      </c>
      <c r="J236" s="4">
        <v>170</v>
      </c>
      <c r="K236" s="4">
        <v>426</v>
      </c>
      <c r="L236" s="3">
        <v>40.6</v>
      </c>
      <c r="M236" s="4">
        <v>135</v>
      </c>
      <c r="N236" s="4">
        <v>369</v>
      </c>
      <c r="O236" s="3">
        <v>37.200000000000003</v>
      </c>
      <c r="P236" s="3">
        <v>28</v>
      </c>
      <c r="Q236" s="3">
        <v>28</v>
      </c>
      <c r="R236" s="3">
        <v>96.6</v>
      </c>
      <c r="S236" s="4">
        <v>36</v>
      </c>
      <c r="T236" s="4">
        <v>121</v>
      </c>
      <c r="U236" s="4">
        <v>156</v>
      </c>
      <c r="V236" s="4">
        <v>107</v>
      </c>
      <c r="W236" s="4">
        <v>36</v>
      </c>
      <c r="X236" s="4">
        <v>50</v>
      </c>
      <c r="Y236" s="4">
        <v>14</v>
      </c>
      <c r="Z236" s="4">
        <v>121</v>
      </c>
      <c r="AA236" s="3">
        <v>1022</v>
      </c>
      <c r="AB236" s="3">
        <v>0</v>
      </c>
      <c r="AC236" s="3">
        <v>0</v>
      </c>
      <c r="AD236" s="2">
        <v>4.5</v>
      </c>
      <c r="AE236" s="2">
        <v>117.4</v>
      </c>
      <c r="AF236" s="2">
        <v>107.1</v>
      </c>
      <c r="AG236" s="2">
        <v>10.3</v>
      </c>
      <c r="AH236" s="2">
        <v>9.9</v>
      </c>
      <c r="AI236" s="2">
        <v>3.09</v>
      </c>
      <c r="AJ236" s="2">
        <v>18.7</v>
      </c>
      <c r="AK236" s="2">
        <v>2.6</v>
      </c>
      <c r="AL236" s="2">
        <v>7.7</v>
      </c>
      <c r="AM236" s="2">
        <v>5.2</v>
      </c>
      <c r="AN236" s="2">
        <v>6</v>
      </c>
      <c r="AO236" s="2">
        <v>56.7</v>
      </c>
      <c r="AP236" s="2">
        <v>58.3</v>
      </c>
      <c r="AQ236" s="2">
        <v>14</v>
      </c>
      <c r="AR236" s="2">
        <v>101.26</v>
      </c>
      <c r="AS236" s="2">
        <v>6.9</v>
      </c>
      <c r="AT236" s="2">
        <v>2963</v>
      </c>
      <c r="AU236" s="53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6"/>
    </row>
    <row r="237" spans="1:69" ht="13.2">
      <c r="A237" s="1" t="s">
        <v>498</v>
      </c>
      <c r="B237" s="1" t="s">
        <v>499</v>
      </c>
      <c r="C237" s="24" t="str">
        <f>VLOOKUP(B237,Equipe!$A$1:$B$31,2,FALSE)</f>
        <v>Phoenix Suns</v>
      </c>
      <c r="D237" s="2">
        <v>22</v>
      </c>
      <c r="E237" s="2">
        <v>74</v>
      </c>
      <c r="F237" s="2">
        <v>32</v>
      </c>
      <c r="G237" s="2">
        <v>42</v>
      </c>
      <c r="H237" s="2">
        <v>19.100000000000001</v>
      </c>
      <c r="I237" s="3">
        <v>511</v>
      </c>
      <c r="J237" s="4">
        <v>207</v>
      </c>
      <c r="K237" s="4">
        <v>474</v>
      </c>
      <c r="L237" s="3">
        <v>43</v>
      </c>
      <c r="M237" s="4">
        <v>81</v>
      </c>
      <c r="N237" s="4">
        <v>266</v>
      </c>
      <c r="O237" s="3">
        <v>31.1</v>
      </c>
      <c r="P237" s="3">
        <v>22</v>
      </c>
      <c r="Q237" s="3">
        <v>37</v>
      </c>
      <c r="R237" s="3">
        <v>48.7</v>
      </c>
      <c r="S237" s="4">
        <v>89</v>
      </c>
      <c r="T237" s="4">
        <v>178</v>
      </c>
      <c r="U237" s="4">
        <v>266</v>
      </c>
      <c r="V237" s="4">
        <v>59</v>
      </c>
      <c r="W237" s="4">
        <v>37</v>
      </c>
      <c r="X237" s="4">
        <v>44</v>
      </c>
      <c r="Y237" s="4">
        <v>37</v>
      </c>
      <c r="Z237" s="4">
        <v>163</v>
      </c>
      <c r="AA237" s="3">
        <v>1132</v>
      </c>
      <c r="AB237" s="3">
        <v>3</v>
      </c>
      <c r="AC237" s="3">
        <v>0</v>
      </c>
      <c r="AD237" s="2">
        <v>-2.2999999999999998</v>
      </c>
      <c r="AE237" s="2">
        <v>110.4</v>
      </c>
      <c r="AF237" s="2">
        <v>115.1</v>
      </c>
      <c r="AG237" s="2">
        <v>-4.7</v>
      </c>
      <c r="AH237" s="2">
        <v>5.9</v>
      </c>
      <c r="AI237" s="2">
        <v>1.43</v>
      </c>
      <c r="AJ237" s="2">
        <v>9.6</v>
      </c>
      <c r="AK237" s="2">
        <v>6.3</v>
      </c>
      <c r="AL237" s="2">
        <v>11.7</v>
      </c>
      <c r="AM237" s="2">
        <v>9</v>
      </c>
      <c r="AN237" s="2">
        <v>6.8</v>
      </c>
      <c r="AO237" s="2">
        <v>51.6</v>
      </c>
      <c r="AP237" s="2">
        <v>51.7</v>
      </c>
      <c r="AQ237" s="2">
        <v>16.100000000000001</v>
      </c>
      <c r="AR237" s="2">
        <v>98.59</v>
      </c>
      <c r="AS237" s="2">
        <v>5.9</v>
      </c>
      <c r="AT237" s="2">
        <v>2882</v>
      </c>
      <c r="AU237" s="53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6"/>
    </row>
    <row r="238" spans="1:69" ht="13.2">
      <c r="A238" s="1" t="s">
        <v>500</v>
      </c>
      <c r="B238" s="1" t="s">
        <v>501</v>
      </c>
      <c r="C238" s="24" t="str">
        <f>VLOOKUP(B238,Equipe!$A$1:$B$31,2,FALSE)</f>
        <v>Orlando Magic</v>
      </c>
      <c r="D238" s="2">
        <v>25</v>
      </c>
      <c r="E238" s="2">
        <v>70</v>
      </c>
      <c r="F238" s="2">
        <v>38</v>
      </c>
      <c r="G238" s="2">
        <v>32</v>
      </c>
      <c r="H238" s="2">
        <v>20.399999999999999</v>
      </c>
      <c r="I238" s="3">
        <v>504</v>
      </c>
      <c r="J238" s="4">
        <v>210</v>
      </c>
      <c r="K238" s="4">
        <v>336</v>
      </c>
      <c r="L238" s="3">
        <v>61.1</v>
      </c>
      <c r="M238" s="3">
        <v>0</v>
      </c>
      <c r="N238" s="4">
        <v>28</v>
      </c>
      <c r="O238" s="3">
        <v>10.7</v>
      </c>
      <c r="P238" s="3">
        <v>84</v>
      </c>
      <c r="Q238" s="3">
        <v>133</v>
      </c>
      <c r="R238" s="3">
        <v>63.9</v>
      </c>
      <c r="S238" s="4">
        <v>168</v>
      </c>
      <c r="T238" s="4">
        <v>294</v>
      </c>
      <c r="U238" s="4">
        <v>462</v>
      </c>
      <c r="V238" s="4">
        <v>140</v>
      </c>
      <c r="W238" s="4">
        <v>70</v>
      </c>
      <c r="X238" s="4">
        <v>49</v>
      </c>
      <c r="Y238" s="4">
        <v>98</v>
      </c>
      <c r="Z238" s="4">
        <v>147</v>
      </c>
      <c r="AA238" s="3">
        <v>1631</v>
      </c>
      <c r="AB238" s="3">
        <v>15</v>
      </c>
      <c r="AC238" s="3">
        <v>0</v>
      </c>
      <c r="AD238" s="2">
        <v>1.1000000000000001</v>
      </c>
      <c r="AE238" s="2">
        <v>110.1</v>
      </c>
      <c r="AF238" s="2">
        <v>107.4</v>
      </c>
      <c r="AG238" s="2">
        <v>2.7</v>
      </c>
      <c r="AH238" s="2">
        <v>14.2</v>
      </c>
      <c r="AI238" s="2">
        <v>1.9</v>
      </c>
      <c r="AJ238" s="2">
        <v>22.6</v>
      </c>
      <c r="AK238" s="2">
        <v>11.6</v>
      </c>
      <c r="AL238" s="2">
        <v>22.7</v>
      </c>
      <c r="AM238" s="2">
        <v>16.899999999999999</v>
      </c>
      <c r="AN238" s="2">
        <v>11.9</v>
      </c>
      <c r="AO238" s="2">
        <v>61.5</v>
      </c>
      <c r="AP238" s="2">
        <v>63.1</v>
      </c>
      <c r="AQ238" s="2">
        <v>14.2</v>
      </c>
      <c r="AR238" s="2">
        <v>95.8</v>
      </c>
      <c r="AS238" s="2">
        <v>13.4</v>
      </c>
      <c r="AT238" s="2">
        <v>2855</v>
      </c>
      <c r="AU238" s="53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6"/>
    </row>
    <row r="239" spans="1:69" ht="13.2">
      <c r="A239" s="1" t="s">
        <v>502</v>
      </c>
      <c r="B239" s="1" t="s">
        <v>503</v>
      </c>
      <c r="C239" s="24" t="str">
        <f>VLOOKUP(B239,Equipe!$A$1:$B$31,2,FALSE)</f>
        <v>Charlotte Hornets</v>
      </c>
      <c r="D239" s="2">
        <v>24</v>
      </c>
      <c r="E239" s="2">
        <v>68</v>
      </c>
      <c r="F239" s="2">
        <v>17</v>
      </c>
      <c r="G239" s="2">
        <v>51</v>
      </c>
      <c r="H239" s="2">
        <v>27.8</v>
      </c>
      <c r="I239" s="3">
        <v>503</v>
      </c>
      <c r="J239" s="4">
        <v>177</v>
      </c>
      <c r="K239" s="4">
        <v>422</v>
      </c>
      <c r="L239" s="3">
        <v>42.8</v>
      </c>
      <c r="M239" s="4">
        <v>95</v>
      </c>
      <c r="N239" s="4">
        <v>245</v>
      </c>
      <c r="O239" s="3">
        <v>39.1</v>
      </c>
      <c r="P239" s="3">
        <v>48</v>
      </c>
      <c r="Q239" s="3">
        <v>75</v>
      </c>
      <c r="R239" s="3">
        <v>68.099999999999994</v>
      </c>
      <c r="S239" s="4">
        <v>54</v>
      </c>
      <c r="T239" s="4">
        <v>116</v>
      </c>
      <c r="U239" s="4">
        <v>170</v>
      </c>
      <c r="V239" s="4">
        <v>109</v>
      </c>
      <c r="W239" s="4">
        <v>68</v>
      </c>
      <c r="X239" s="4">
        <v>75</v>
      </c>
      <c r="Y239" s="4">
        <v>14</v>
      </c>
      <c r="Z239" s="4">
        <v>163</v>
      </c>
      <c r="AA239" s="3">
        <v>1074</v>
      </c>
      <c r="AB239" s="3">
        <v>0</v>
      </c>
      <c r="AC239" s="3">
        <v>0</v>
      </c>
      <c r="AD239" s="2">
        <v>-5.4</v>
      </c>
      <c r="AE239" s="2">
        <v>105.3</v>
      </c>
      <c r="AF239" s="2">
        <v>114.2</v>
      </c>
      <c r="AG239" s="2">
        <v>-8.9</v>
      </c>
      <c r="AH239" s="2">
        <v>8.1</v>
      </c>
      <c r="AI239" s="2">
        <v>1.54</v>
      </c>
      <c r="AJ239" s="2">
        <v>17.100000000000001</v>
      </c>
      <c r="AK239" s="2">
        <v>2.7</v>
      </c>
      <c r="AL239" s="2">
        <v>6</v>
      </c>
      <c r="AM239" s="2">
        <v>4.3</v>
      </c>
      <c r="AN239" s="2">
        <v>11.1</v>
      </c>
      <c r="AO239" s="2">
        <v>54.3</v>
      </c>
      <c r="AP239" s="2">
        <v>55.9</v>
      </c>
      <c r="AQ239" s="2">
        <v>11.5</v>
      </c>
      <c r="AR239" s="2">
        <v>100.08</v>
      </c>
      <c r="AS239" s="2">
        <v>4.3</v>
      </c>
      <c r="AT239" s="2">
        <v>3929</v>
      </c>
      <c r="AU239" s="53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6"/>
    </row>
    <row r="240" spans="1:69" ht="13.2">
      <c r="A240" s="1" t="s">
        <v>504</v>
      </c>
      <c r="B240" s="1" t="s">
        <v>505</v>
      </c>
      <c r="C240" s="24" t="str">
        <f>VLOOKUP(B240,Equipe!$A$1:$B$31,2,FALSE)</f>
        <v>Toronto Raptors</v>
      </c>
      <c r="D240" s="2">
        <v>32</v>
      </c>
      <c r="E240" s="2">
        <v>50</v>
      </c>
      <c r="F240" s="2">
        <v>18</v>
      </c>
      <c r="G240" s="2">
        <v>32</v>
      </c>
      <c r="H240" s="2">
        <v>17.2</v>
      </c>
      <c r="I240" s="3">
        <v>500</v>
      </c>
      <c r="J240" s="4">
        <v>180</v>
      </c>
      <c r="K240" s="4">
        <v>370</v>
      </c>
      <c r="L240" s="3">
        <v>49.2</v>
      </c>
      <c r="M240" s="4">
        <v>70</v>
      </c>
      <c r="N240" s="4">
        <v>195</v>
      </c>
      <c r="O240" s="3">
        <v>36.299999999999997</v>
      </c>
      <c r="P240" s="3">
        <v>70</v>
      </c>
      <c r="Q240" s="3">
        <v>85</v>
      </c>
      <c r="R240" s="3">
        <v>78.2</v>
      </c>
      <c r="S240" s="4">
        <v>70</v>
      </c>
      <c r="T240" s="4">
        <v>155</v>
      </c>
      <c r="U240" s="4">
        <v>225</v>
      </c>
      <c r="V240" s="4">
        <v>35</v>
      </c>
      <c r="W240" s="4">
        <v>30</v>
      </c>
      <c r="X240" s="4">
        <v>25</v>
      </c>
      <c r="Y240" s="4">
        <v>25</v>
      </c>
      <c r="Z240" s="4">
        <v>70</v>
      </c>
      <c r="AA240" s="3">
        <v>940</v>
      </c>
      <c r="AB240" s="3">
        <v>3</v>
      </c>
      <c r="AC240" s="3">
        <v>0</v>
      </c>
      <c r="AD240" s="2">
        <v>0.1</v>
      </c>
      <c r="AE240" s="2">
        <v>113.3</v>
      </c>
      <c r="AF240" s="2">
        <v>113.5</v>
      </c>
      <c r="AG240" s="2">
        <v>-0.2</v>
      </c>
      <c r="AH240" s="2">
        <v>5.7</v>
      </c>
      <c r="AI240" s="2">
        <v>1.1399999999999999</v>
      </c>
      <c r="AJ240" s="2">
        <v>7</v>
      </c>
      <c r="AK240" s="2">
        <v>7.7</v>
      </c>
      <c r="AL240" s="2">
        <v>17.5</v>
      </c>
      <c r="AM240" s="2">
        <v>12.5</v>
      </c>
      <c r="AN240" s="2">
        <v>6.2</v>
      </c>
      <c r="AO240" s="2">
        <v>58.6</v>
      </c>
      <c r="AP240" s="2">
        <v>61.5</v>
      </c>
      <c r="AQ240" s="2">
        <v>20.8</v>
      </c>
      <c r="AR240" s="2">
        <v>99.28</v>
      </c>
      <c r="AS240" s="2">
        <v>12.6</v>
      </c>
      <c r="AT240" s="2">
        <v>1787</v>
      </c>
      <c r="AU240" s="53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6"/>
    </row>
    <row r="241" spans="1:69" ht="13.2">
      <c r="A241" s="1" t="s">
        <v>506</v>
      </c>
      <c r="B241" s="1" t="s">
        <v>507</v>
      </c>
      <c r="C241" s="24" t="str">
        <f>VLOOKUP(B241,Equipe!$A$1:$B$31,2,FALSE)</f>
        <v>New York Knicks</v>
      </c>
      <c r="D241" s="2">
        <v>30</v>
      </c>
      <c r="E241" s="2">
        <v>72</v>
      </c>
      <c r="F241" s="2">
        <v>46</v>
      </c>
      <c r="G241" s="2">
        <v>26</v>
      </c>
      <c r="H241" s="2">
        <v>15.1</v>
      </c>
      <c r="I241" s="3">
        <v>497</v>
      </c>
      <c r="J241" s="4">
        <v>180</v>
      </c>
      <c r="K241" s="4">
        <v>446</v>
      </c>
      <c r="L241" s="3">
        <v>40.1</v>
      </c>
      <c r="M241" s="4">
        <v>94</v>
      </c>
      <c r="N241" s="4">
        <v>259</v>
      </c>
      <c r="O241" s="3">
        <v>36.299999999999997</v>
      </c>
      <c r="P241" s="3">
        <v>50</v>
      </c>
      <c r="Q241" s="3">
        <v>58</v>
      </c>
      <c r="R241" s="3">
        <v>90.7</v>
      </c>
      <c r="S241" s="4">
        <v>14</v>
      </c>
      <c r="T241" s="4">
        <v>94</v>
      </c>
      <c r="U241" s="4">
        <v>101</v>
      </c>
      <c r="V241" s="4">
        <v>202</v>
      </c>
      <c r="W241" s="4">
        <v>50</v>
      </c>
      <c r="X241" s="4">
        <v>36</v>
      </c>
      <c r="Y241" s="4">
        <v>14</v>
      </c>
      <c r="Z241" s="4">
        <v>108</v>
      </c>
      <c r="AA241" s="3">
        <v>1044</v>
      </c>
      <c r="AB241" s="3">
        <v>0</v>
      </c>
      <c r="AC241" s="3">
        <v>0</v>
      </c>
      <c r="AD241" s="2">
        <v>2.8</v>
      </c>
      <c r="AE241" s="2">
        <v>116.6</v>
      </c>
      <c r="AF241" s="2">
        <v>107.5</v>
      </c>
      <c r="AG241" s="2">
        <v>9.1</v>
      </c>
      <c r="AH241" s="2">
        <v>25.1</v>
      </c>
      <c r="AI241" s="2">
        <v>3.9</v>
      </c>
      <c r="AJ241" s="2">
        <v>28.1</v>
      </c>
      <c r="AK241" s="2">
        <v>1.3</v>
      </c>
      <c r="AL241" s="2">
        <v>8.1</v>
      </c>
      <c r="AM241" s="2">
        <v>4.7</v>
      </c>
      <c r="AN241" s="2">
        <v>7.2</v>
      </c>
      <c r="AO241" s="2">
        <v>50.6</v>
      </c>
      <c r="AP241" s="2">
        <v>53.2</v>
      </c>
      <c r="AQ241" s="2">
        <v>20</v>
      </c>
      <c r="AR241" s="2">
        <v>100.23</v>
      </c>
      <c r="AS241" s="2">
        <v>8.9</v>
      </c>
      <c r="AT241" s="2">
        <v>2275</v>
      </c>
      <c r="AU241" s="53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6"/>
    </row>
    <row r="242" spans="1:69" ht="13.2">
      <c r="A242" s="1" t="s">
        <v>508</v>
      </c>
      <c r="B242" s="1" t="s">
        <v>509</v>
      </c>
      <c r="C242" s="24" t="str">
        <f>VLOOKUP(B242,Equipe!$A$1:$B$31,2,FALSE)</f>
        <v>Dallas Mavericks</v>
      </c>
      <c r="D242" s="2">
        <v>22</v>
      </c>
      <c r="E242" s="2">
        <v>57</v>
      </c>
      <c r="F242" s="2">
        <v>30</v>
      </c>
      <c r="G242" s="2">
        <v>27</v>
      </c>
      <c r="H242" s="2">
        <v>15.9</v>
      </c>
      <c r="I242" s="3">
        <v>496</v>
      </c>
      <c r="J242" s="4">
        <v>182</v>
      </c>
      <c r="K242" s="4">
        <v>416</v>
      </c>
      <c r="L242" s="3">
        <v>43.5</v>
      </c>
      <c r="M242" s="4">
        <v>74</v>
      </c>
      <c r="N242" s="4">
        <v>200</v>
      </c>
      <c r="O242" s="3">
        <v>38.6</v>
      </c>
      <c r="P242" s="3">
        <v>63</v>
      </c>
      <c r="Q242" s="3">
        <v>86</v>
      </c>
      <c r="R242" s="3">
        <v>69.8</v>
      </c>
      <c r="S242" s="4">
        <v>11</v>
      </c>
      <c r="T242" s="4">
        <v>80</v>
      </c>
      <c r="U242" s="4">
        <v>91</v>
      </c>
      <c r="V242" s="4">
        <v>80</v>
      </c>
      <c r="W242" s="4">
        <v>80</v>
      </c>
      <c r="X242" s="4">
        <v>29</v>
      </c>
      <c r="Y242" s="4">
        <v>6</v>
      </c>
      <c r="Z242" s="4">
        <v>91</v>
      </c>
      <c r="AA242" s="3">
        <v>741</v>
      </c>
      <c r="AB242" s="3">
        <v>0</v>
      </c>
      <c r="AC242" s="3">
        <v>0</v>
      </c>
      <c r="AD242" s="2">
        <v>-1.1000000000000001</v>
      </c>
      <c r="AE242" s="2">
        <v>108.3</v>
      </c>
      <c r="AF242" s="2">
        <v>111.6</v>
      </c>
      <c r="AG242" s="2">
        <v>-3.2</v>
      </c>
      <c r="AH242" s="2">
        <v>13.8</v>
      </c>
      <c r="AI242" s="2">
        <v>0.99</v>
      </c>
      <c r="AJ242" s="2">
        <v>13.2</v>
      </c>
      <c r="AK242" s="2">
        <v>1</v>
      </c>
      <c r="AL242" s="2">
        <v>8.5</v>
      </c>
      <c r="AM242" s="2">
        <v>4.8</v>
      </c>
      <c r="AN242" s="2">
        <v>13.3</v>
      </c>
      <c r="AO242" s="2">
        <v>52.7</v>
      </c>
      <c r="AP242" s="2">
        <v>54.9</v>
      </c>
      <c r="AQ242" s="2">
        <v>24.4</v>
      </c>
      <c r="AR242" s="2">
        <v>102.83</v>
      </c>
      <c r="AS242" s="2">
        <v>6.9</v>
      </c>
      <c r="AT242" s="2">
        <v>1943</v>
      </c>
      <c r="AU242" s="53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6"/>
    </row>
    <row r="243" spans="1:69" ht="13.2">
      <c r="A243" s="1" t="s">
        <v>510</v>
      </c>
      <c r="B243" s="1" t="s">
        <v>511</v>
      </c>
      <c r="C243" s="24" t="str">
        <f>VLOOKUP(B243,Equipe!$A$1:$B$31,2,FALSE)</f>
        <v>Miami Heat</v>
      </c>
      <c r="D243" s="2">
        <v>22</v>
      </c>
      <c r="E243" s="2">
        <v>46</v>
      </c>
      <c r="F243" s="2">
        <v>21</v>
      </c>
      <c r="G243" s="2">
        <v>25</v>
      </c>
      <c r="H243" s="2">
        <v>25.1</v>
      </c>
      <c r="I243" s="3">
        <v>492</v>
      </c>
      <c r="J243" s="4">
        <v>170</v>
      </c>
      <c r="K243" s="4">
        <v>377</v>
      </c>
      <c r="L243" s="3">
        <v>45.6</v>
      </c>
      <c r="M243" s="4">
        <v>78</v>
      </c>
      <c r="N243" s="4">
        <v>212</v>
      </c>
      <c r="O243" s="3">
        <v>37.1</v>
      </c>
      <c r="P243" s="3">
        <v>74</v>
      </c>
      <c r="Q243" s="3">
        <v>87</v>
      </c>
      <c r="R243" s="3">
        <v>82.8</v>
      </c>
      <c r="S243" s="4">
        <v>28</v>
      </c>
      <c r="T243" s="4">
        <v>152</v>
      </c>
      <c r="U243" s="4">
        <v>179</v>
      </c>
      <c r="V243" s="4">
        <v>129</v>
      </c>
      <c r="W243" s="4">
        <v>60</v>
      </c>
      <c r="X243" s="4">
        <v>37</v>
      </c>
      <c r="Y243" s="4">
        <v>14</v>
      </c>
      <c r="Z243" s="4">
        <v>83</v>
      </c>
      <c r="AA243" s="3">
        <v>998</v>
      </c>
      <c r="AB243" s="3">
        <v>0</v>
      </c>
      <c r="AC243" s="3">
        <v>0</v>
      </c>
      <c r="AD243" s="2">
        <v>-0.4</v>
      </c>
      <c r="AE243" s="2">
        <v>109.6</v>
      </c>
      <c r="AF243" s="2">
        <v>110.7</v>
      </c>
      <c r="AG243" s="2">
        <v>-1.1000000000000001</v>
      </c>
      <c r="AH243" s="2">
        <v>17.399999999999999</v>
      </c>
      <c r="AI243" s="2">
        <v>2.1800000000000002</v>
      </c>
      <c r="AJ243" s="2">
        <v>21.7</v>
      </c>
      <c r="AK243" s="2">
        <v>2.2000000000000002</v>
      </c>
      <c r="AL243" s="2">
        <v>12.7</v>
      </c>
      <c r="AM243" s="2">
        <v>7.6</v>
      </c>
      <c r="AN243" s="2">
        <v>9.9</v>
      </c>
      <c r="AO243" s="2">
        <v>56</v>
      </c>
      <c r="AP243" s="2">
        <v>59.5</v>
      </c>
      <c r="AQ243" s="2">
        <v>17.8</v>
      </c>
      <c r="AR243" s="2">
        <v>98.48</v>
      </c>
      <c r="AS243" s="2">
        <v>9.8000000000000007</v>
      </c>
      <c r="AT243" s="2">
        <v>2374</v>
      </c>
      <c r="AU243" s="53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6"/>
    </row>
    <row r="244" spans="1:69" ht="13.2">
      <c r="A244" s="1" t="s">
        <v>512</v>
      </c>
      <c r="B244" s="1" t="s">
        <v>513</v>
      </c>
      <c r="C244" s="24" t="str">
        <f>VLOOKUP(B244,Equipe!$A$1:$B$31,2,FALSE)</f>
        <v>Atlanta Hawks</v>
      </c>
      <c r="D244" s="2">
        <v>31</v>
      </c>
      <c r="E244" s="2">
        <v>55</v>
      </c>
      <c r="F244" s="2">
        <v>27</v>
      </c>
      <c r="G244" s="2">
        <v>28</v>
      </c>
      <c r="H244" s="2">
        <v>21.4</v>
      </c>
      <c r="I244" s="3">
        <v>490</v>
      </c>
      <c r="J244" s="4">
        <v>220</v>
      </c>
      <c r="K244" s="4">
        <v>391</v>
      </c>
      <c r="L244" s="3">
        <v>55.9</v>
      </c>
      <c r="M244" s="3">
        <v>0</v>
      </c>
      <c r="N244" s="3">
        <v>0</v>
      </c>
      <c r="O244" s="3">
        <v>0</v>
      </c>
      <c r="P244" s="3">
        <v>50</v>
      </c>
      <c r="Q244" s="3">
        <v>99</v>
      </c>
      <c r="R244" s="3">
        <v>53.6</v>
      </c>
      <c r="S244" s="4">
        <v>176</v>
      </c>
      <c r="T244" s="4">
        <v>297</v>
      </c>
      <c r="U244" s="4">
        <v>468</v>
      </c>
      <c r="V244" s="4">
        <v>61</v>
      </c>
      <c r="W244" s="4">
        <v>50</v>
      </c>
      <c r="X244" s="4">
        <v>33</v>
      </c>
      <c r="Y244" s="4">
        <v>55</v>
      </c>
      <c r="Z244" s="4">
        <v>105</v>
      </c>
      <c r="AA244" s="3">
        <v>1359</v>
      </c>
      <c r="AB244" s="3">
        <v>11</v>
      </c>
      <c r="AC244" s="3">
        <v>0</v>
      </c>
      <c r="AD244" s="2">
        <v>-1.4</v>
      </c>
      <c r="AE244" s="2">
        <v>108.7</v>
      </c>
      <c r="AF244" s="2">
        <v>111.5</v>
      </c>
      <c r="AG244" s="2">
        <v>-2.7</v>
      </c>
      <c r="AH244" s="2">
        <v>7.3</v>
      </c>
      <c r="AI244" s="2">
        <v>1.32</v>
      </c>
      <c r="AJ244" s="2">
        <v>11.4</v>
      </c>
      <c r="AK244" s="2">
        <v>13.2</v>
      </c>
      <c r="AL244" s="2">
        <v>23.8</v>
      </c>
      <c r="AM244" s="2">
        <v>18.3</v>
      </c>
      <c r="AN244" s="2">
        <v>8.6999999999999993</v>
      </c>
      <c r="AO244" s="2">
        <v>55.9</v>
      </c>
      <c r="AP244" s="2">
        <v>56.4</v>
      </c>
      <c r="AQ244" s="2">
        <v>16</v>
      </c>
      <c r="AR244" s="2">
        <v>105.23</v>
      </c>
      <c r="AS244" s="2">
        <v>11.7</v>
      </c>
      <c r="AT244" s="2">
        <v>2575</v>
      </c>
      <c r="AU244" s="53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6"/>
    </row>
    <row r="245" spans="1:69" ht="13.2">
      <c r="A245" s="1" t="s">
        <v>514</v>
      </c>
      <c r="B245" s="1" t="s">
        <v>515</v>
      </c>
      <c r="C245" s="24" t="str">
        <f>VLOOKUP(B245,Equipe!$A$1:$B$31,2,FALSE)</f>
        <v>Miami Heat</v>
      </c>
      <c r="D245" s="2">
        <v>28</v>
      </c>
      <c r="E245" s="2">
        <v>74</v>
      </c>
      <c r="F245" s="2">
        <v>35</v>
      </c>
      <c r="G245" s="2">
        <v>39</v>
      </c>
      <c r="H245" s="2">
        <v>24.6</v>
      </c>
      <c r="I245" s="3">
        <v>481</v>
      </c>
      <c r="J245" s="4">
        <v>178</v>
      </c>
      <c r="K245" s="4">
        <v>392</v>
      </c>
      <c r="L245" s="3">
        <v>45.8</v>
      </c>
      <c r="M245" s="4">
        <v>89</v>
      </c>
      <c r="N245" s="4">
        <v>229</v>
      </c>
      <c r="O245" s="3">
        <v>38.200000000000003</v>
      </c>
      <c r="P245" s="3">
        <v>30</v>
      </c>
      <c r="Q245" s="3">
        <v>44</v>
      </c>
      <c r="R245" s="3">
        <v>72.099999999999994</v>
      </c>
      <c r="S245" s="4">
        <v>74</v>
      </c>
      <c r="T245" s="4">
        <v>178</v>
      </c>
      <c r="U245" s="4">
        <v>252</v>
      </c>
      <c r="V245" s="4">
        <v>111</v>
      </c>
      <c r="W245" s="4">
        <v>52</v>
      </c>
      <c r="X245" s="4">
        <v>67</v>
      </c>
      <c r="Y245" s="4">
        <v>37</v>
      </c>
      <c r="Z245" s="4">
        <v>163</v>
      </c>
      <c r="AA245" s="3">
        <v>1206</v>
      </c>
      <c r="AB245" s="3">
        <v>0</v>
      </c>
      <c r="AC245" s="3">
        <v>0</v>
      </c>
      <c r="AD245" s="2">
        <v>0.8</v>
      </c>
      <c r="AE245" s="2">
        <v>111.8</v>
      </c>
      <c r="AF245" s="2">
        <v>110.4</v>
      </c>
      <c r="AG245" s="2">
        <v>1.4</v>
      </c>
      <c r="AH245" s="2">
        <v>8.4</v>
      </c>
      <c r="AI245" s="2">
        <v>2.0699999999999998</v>
      </c>
      <c r="AJ245" s="2">
        <v>19.5</v>
      </c>
      <c r="AK245" s="2">
        <v>4</v>
      </c>
      <c r="AL245" s="2">
        <v>9.8000000000000007</v>
      </c>
      <c r="AM245" s="2">
        <v>6.9</v>
      </c>
      <c r="AN245" s="2">
        <v>9.4</v>
      </c>
      <c r="AO245" s="2">
        <v>57.2</v>
      </c>
      <c r="AP245" s="2">
        <v>58.3</v>
      </c>
      <c r="AQ245" s="2">
        <v>11.1</v>
      </c>
      <c r="AR245" s="2">
        <v>97.33</v>
      </c>
      <c r="AS245" s="2">
        <v>5.7</v>
      </c>
      <c r="AT245" s="2">
        <v>3691</v>
      </c>
      <c r="AU245" s="53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6"/>
    </row>
    <row r="246" spans="1:69" ht="13.2">
      <c r="A246" s="1" t="s">
        <v>516</v>
      </c>
      <c r="B246" s="1" t="s">
        <v>517</v>
      </c>
      <c r="C246" s="24" t="str">
        <f>VLOOKUP(B246,Equipe!$A$1:$B$31,2,FALSE)</f>
        <v>Oklahoma City Thunder</v>
      </c>
      <c r="D246" s="2">
        <v>23</v>
      </c>
      <c r="E246" s="2">
        <v>32</v>
      </c>
      <c r="F246" s="2">
        <v>26</v>
      </c>
      <c r="G246" s="2">
        <v>6</v>
      </c>
      <c r="H246" s="2">
        <v>27.4</v>
      </c>
      <c r="I246" s="3">
        <v>480</v>
      </c>
      <c r="J246" s="4">
        <v>166</v>
      </c>
      <c r="K246" s="4">
        <v>342</v>
      </c>
      <c r="L246" s="3">
        <v>49</v>
      </c>
      <c r="M246" s="4">
        <v>45</v>
      </c>
      <c r="N246" s="4">
        <v>115</v>
      </c>
      <c r="O246" s="3">
        <v>37.9</v>
      </c>
      <c r="P246" s="3">
        <v>102</v>
      </c>
      <c r="Q246" s="3">
        <v>134</v>
      </c>
      <c r="R246" s="3">
        <v>75.400000000000006</v>
      </c>
      <c r="S246" s="4">
        <v>48</v>
      </c>
      <c r="T246" s="4">
        <v>208</v>
      </c>
      <c r="U246" s="4">
        <v>256</v>
      </c>
      <c r="V246" s="4">
        <v>64</v>
      </c>
      <c r="W246" s="4">
        <v>58</v>
      </c>
      <c r="X246" s="4">
        <v>22</v>
      </c>
      <c r="Y246" s="4">
        <v>70</v>
      </c>
      <c r="Z246" s="4">
        <v>74</v>
      </c>
      <c r="AA246" s="3">
        <v>1107</v>
      </c>
      <c r="AB246" s="3">
        <v>11</v>
      </c>
      <c r="AC246" s="3">
        <v>0</v>
      </c>
      <c r="AD246" s="2">
        <v>9.1999999999999993</v>
      </c>
      <c r="AE246" s="2">
        <v>121.7</v>
      </c>
      <c r="AF246" s="2">
        <v>105.6</v>
      </c>
      <c r="AG246" s="2">
        <v>16.100000000000001</v>
      </c>
      <c r="AH246" s="2">
        <v>9.1</v>
      </c>
      <c r="AI246" s="2">
        <v>1.1299999999999999</v>
      </c>
      <c r="AJ246" s="2">
        <v>12.1</v>
      </c>
      <c r="AK246" s="2">
        <v>5.4</v>
      </c>
      <c r="AL246" s="2">
        <v>20.8</v>
      </c>
      <c r="AM246" s="2">
        <v>13.6</v>
      </c>
      <c r="AN246" s="2">
        <v>10.8</v>
      </c>
      <c r="AO246" s="2">
        <v>55.4</v>
      </c>
      <c r="AP246" s="2">
        <v>59.9</v>
      </c>
      <c r="AQ246" s="2">
        <v>21.4</v>
      </c>
      <c r="AR246" s="2">
        <v>103.83</v>
      </c>
      <c r="AS246" s="2">
        <v>12.2</v>
      </c>
      <c r="AT246" s="2">
        <v>1891</v>
      </c>
      <c r="AU246" s="53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6"/>
    </row>
    <row r="247" spans="1:69" ht="13.2">
      <c r="A247" s="1" t="s">
        <v>518</v>
      </c>
      <c r="B247" s="1" t="s">
        <v>519</v>
      </c>
      <c r="C247" s="24" t="str">
        <f>VLOOKUP(B247,Equipe!$A$1:$B$31,2,FALSE)</f>
        <v>Houston Rockets</v>
      </c>
      <c r="D247" s="2">
        <v>20</v>
      </c>
      <c r="E247" s="2">
        <v>51</v>
      </c>
      <c r="F247" s="2">
        <v>30</v>
      </c>
      <c r="G247" s="2">
        <v>21</v>
      </c>
      <c r="H247" s="2">
        <v>16.2</v>
      </c>
      <c r="I247" s="3">
        <v>479</v>
      </c>
      <c r="J247" s="4">
        <v>179</v>
      </c>
      <c r="K247" s="4">
        <v>403</v>
      </c>
      <c r="L247" s="3">
        <v>44.4</v>
      </c>
      <c r="M247" s="4">
        <v>66</v>
      </c>
      <c r="N247" s="4">
        <v>184</v>
      </c>
      <c r="O247" s="3">
        <v>35.5</v>
      </c>
      <c r="P247" s="3">
        <v>56</v>
      </c>
      <c r="Q247" s="3">
        <v>71</v>
      </c>
      <c r="R247" s="3">
        <v>75</v>
      </c>
      <c r="S247" s="4">
        <v>36</v>
      </c>
      <c r="T247" s="4">
        <v>117</v>
      </c>
      <c r="U247" s="4">
        <v>153</v>
      </c>
      <c r="V247" s="4">
        <v>51</v>
      </c>
      <c r="W247" s="4">
        <v>46</v>
      </c>
      <c r="X247" s="4">
        <v>31</v>
      </c>
      <c r="Y247" s="4">
        <v>15</v>
      </c>
      <c r="Z247" s="4">
        <v>46</v>
      </c>
      <c r="AA247" s="3">
        <v>816</v>
      </c>
      <c r="AB247" s="3">
        <v>2</v>
      </c>
      <c r="AC247" s="3">
        <v>0</v>
      </c>
      <c r="AD247" s="2">
        <v>0</v>
      </c>
      <c r="AE247" s="2">
        <v>113.4</v>
      </c>
      <c r="AF247" s="2">
        <v>112.3</v>
      </c>
      <c r="AG247" s="2">
        <v>1.1000000000000001</v>
      </c>
      <c r="AH247" s="2">
        <v>9</v>
      </c>
      <c r="AI247" s="2">
        <v>1.07</v>
      </c>
      <c r="AJ247" s="2">
        <v>9.1999999999999993</v>
      </c>
      <c r="AK247" s="2">
        <v>3.9</v>
      </c>
      <c r="AL247" s="2">
        <v>13.9</v>
      </c>
      <c r="AM247" s="2">
        <v>8.6</v>
      </c>
      <c r="AN247" s="2">
        <v>8.6999999999999993</v>
      </c>
      <c r="AO247" s="2">
        <v>52.5</v>
      </c>
      <c r="AP247" s="2">
        <v>54.9</v>
      </c>
      <c r="AQ247" s="2">
        <v>23.1</v>
      </c>
      <c r="AR247" s="2">
        <v>100.93</v>
      </c>
      <c r="AS247" s="2">
        <v>10.8</v>
      </c>
      <c r="AT247" s="2">
        <v>1729</v>
      </c>
      <c r="AU247" s="53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6"/>
    </row>
    <row r="248" spans="1:69" ht="13.2">
      <c r="A248" s="1" t="s">
        <v>520</v>
      </c>
      <c r="B248" s="1" t="s">
        <v>521</v>
      </c>
      <c r="C248" s="24" t="str">
        <f>VLOOKUP(B248,Equipe!$A$1:$B$31,2,FALSE)</f>
        <v>Los Angeles Clippers</v>
      </c>
      <c r="D248" s="2">
        <v>31</v>
      </c>
      <c r="E248" s="2">
        <v>74</v>
      </c>
      <c r="F248" s="2">
        <v>45</v>
      </c>
      <c r="G248" s="2">
        <v>29</v>
      </c>
      <c r="H248" s="2">
        <v>24.1</v>
      </c>
      <c r="I248" s="3">
        <v>474</v>
      </c>
      <c r="J248" s="4">
        <v>192</v>
      </c>
      <c r="K248" s="4">
        <v>437</v>
      </c>
      <c r="L248" s="3">
        <v>43.9</v>
      </c>
      <c r="M248" s="4">
        <v>74</v>
      </c>
      <c r="N248" s="4">
        <v>222</v>
      </c>
      <c r="O248" s="3">
        <v>33.5</v>
      </c>
      <c r="P248" s="3">
        <v>15</v>
      </c>
      <c r="Q248" s="3">
        <v>22</v>
      </c>
      <c r="R248" s="3">
        <v>68.2</v>
      </c>
      <c r="S248" s="4">
        <v>52</v>
      </c>
      <c r="T248" s="4">
        <v>200</v>
      </c>
      <c r="U248" s="4">
        <v>252</v>
      </c>
      <c r="V248" s="4">
        <v>207</v>
      </c>
      <c r="W248" s="4">
        <v>74</v>
      </c>
      <c r="X248" s="4">
        <v>126</v>
      </c>
      <c r="Y248" s="4">
        <v>30</v>
      </c>
      <c r="Z248" s="4">
        <v>200</v>
      </c>
      <c r="AA248" s="3">
        <v>1480</v>
      </c>
      <c r="AB248" s="3">
        <v>0</v>
      </c>
      <c r="AC248" s="3">
        <v>0</v>
      </c>
      <c r="AD248" s="2">
        <v>3.5</v>
      </c>
      <c r="AE248" s="2">
        <v>113.8</v>
      </c>
      <c r="AF248" s="2">
        <v>106</v>
      </c>
      <c r="AG248" s="2">
        <v>7.8</v>
      </c>
      <c r="AH248" s="2">
        <v>15.3</v>
      </c>
      <c r="AI248" s="2">
        <v>2.84</v>
      </c>
      <c r="AJ248" s="2">
        <v>28.7</v>
      </c>
      <c r="AK248" s="2">
        <v>3.1</v>
      </c>
      <c r="AL248" s="2">
        <v>11.1</v>
      </c>
      <c r="AM248" s="2">
        <v>7.2</v>
      </c>
      <c r="AN248" s="2">
        <v>10.1</v>
      </c>
      <c r="AO248" s="2">
        <v>52.5</v>
      </c>
      <c r="AP248" s="2">
        <v>53.1</v>
      </c>
      <c r="AQ248" s="2">
        <v>12.6</v>
      </c>
      <c r="AR248" s="2">
        <v>99.24</v>
      </c>
      <c r="AS248" s="2">
        <v>7</v>
      </c>
      <c r="AT248" s="2">
        <v>3675</v>
      </c>
      <c r="AU248" s="53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6"/>
    </row>
    <row r="249" spans="1:69" ht="13.2">
      <c r="A249" s="1" t="s">
        <v>522</v>
      </c>
      <c r="B249" s="1" t="s">
        <v>523</v>
      </c>
      <c r="C249" s="24" t="str">
        <f>VLOOKUP(B249,Equipe!$A$1:$B$31,2,FALSE)</f>
        <v>Cleveland Cavaliers</v>
      </c>
      <c r="D249" s="2">
        <v>29</v>
      </c>
      <c r="E249" s="2">
        <v>50</v>
      </c>
      <c r="F249" s="2">
        <v>39</v>
      </c>
      <c r="G249" s="2">
        <v>11</v>
      </c>
      <c r="H249" s="2">
        <v>25.5</v>
      </c>
      <c r="I249" s="3">
        <v>470</v>
      </c>
      <c r="J249" s="4">
        <v>165</v>
      </c>
      <c r="K249" s="4">
        <v>375</v>
      </c>
      <c r="L249" s="3">
        <v>44.2</v>
      </c>
      <c r="M249" s="4">
        <v>115</v>
      </c>
      <c r="N249" s="4">
        <v>295</v>
      </c>
      <c r="O249" s="3">
        <v>38.6</v>
      </c>
      <c r="P249" s="3">
        <v>30</v>
      </c>
      <c r="Q249" s="3">
        <v>35</v>
      </c>
      <c r="R249" s="3">
        <v>82.4</v>
      </c>
      <c r="S249" s="4">
        <v>55</v>
      </c>
      <c r="T249" s="4">
        <v>165</v>
      </c>
      <c r="U249" s="4">
        <v>215</v>
      </c>
      <c r="V249" s="4">
        <v>160</v>
      </c>
      <c r="W249" s="4">
        <v>55</v>
      </c>
      <c r="X249" s="4">
        <v>25</v>
      </c>
      <c r="Y249" s="4">
        <v>10</v>
      </c>
      <c r="Z249" s="4">
        <v>105</v>
      </c>
      <c r="AA249" s="3">
        <v>1030</v>
      </c>
      <c r="AB249" s="3">
        <v>0</v>
      </c>
      <c r="AC249" s="3">
        <v>0</v>
      </c>
      <c r="AD249" s="2">
        <v>4.4000000000000004</v>
      </c>
      <c r="AE249" s="2">
        <v>120.1</v>
      </c>
      <c r="AF249" s="2">
        <v>112.2</v>
      </c>
      <c r="AG249" s="2">
        <v>7.9</v>
      </c>
      <c r="AH249" s="2">
        <v>15.7</v>
      </c>
      <c r="AI249" s="2">
        <v>2.93</v>
      </c>
      <c r="AJ249" s="2">
        <v>26.4</v>
      </c>
      <c r="AK249" s="2">
        <v>4.0999999999999996</v>
      </c>
      <c r="AL249" s="2">
        <v>11.8</v>
      </c>
      <c r="AM249" s="2">
        <v>8.1</v>
      </c>
      <c r="AN249" s="2">
        <v>9</v>
      </c>
      <c r="AO249" s="2">
        <v>59.4</v>
      </c>
      <c r="AP249" s="2">
        <v>60.7</v>
      </c>
      <c r="AQ249" s="2">
        <v>14.3</v>
      </c>
      <c r="AR249" s="2">
        <v>101.34</v>
      </c>
      <c r="AS249" s="2">
        <v>8.3000000000000007</v>
      </c>
      <c r="AT249" s="2">
        <v>2691</v>
      </c>
      <c r="AU249" s="53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6"/>
    </row>
    <row r="250" spans="1:69" ht="13.2">
      <c r="A250" s="1" t="s">
        <v>524</v>
      </c>
      <c r="B250" s="1" t="s">
        <v>525</v>
      </c>
      <c r="C250" s="24" t="str">
        <f>VLOOKUP(B250,Equipe!$A$1:$B$31,2,FALSE)</f>
        <v>Los Angeles Lakers</v>
      </c>
      <c r="D250" s="2">
        <v>28</v>
      </c>
      <c r="E250" s="2">
        <v>72</v>
      </c>
      <c r="F250" s="2">
        <v>46</v>
      </c>
      <c r="G250" s="2">
        <v>26</v>
      </c>
      <c r="H250" s="2">
        <v>21.2</v>
      </c>
      <c r="I250" s="3">
        <v>461</v>
      </c>
      <c r="J250" s="4">
        <v>166</v>
      </c>
      <c r="K250" s="4">
        <v>418</v>
      </c>
      <c r="L250" s="3">
        <v>40</v>
      </c>
      <c r="M250" s="4">
        <v>108</v>
      </c>
      <c r="N250" s="4">
        <v>310</v>
      </c>
      <c r="O250" s="3">
        <v>35.299999999999997</v>
      </c>
      <c r="P250" s="3">
        <v>14</v>
      </c>
      <c r="Q250" s="3">
        <v>22</v>
      </c>
      <c r="R250" s="3">
        <v>71.400000000000006</v>
      </c>
      <c r="S250" s="4">
        <v>22</v>
      </c>
      <c r="T250" s="4">
        <v>72</v>
      </c>
      <c r="U250" s="4">
        <v>94</v>
      </c>
      <c r="V250" s="4">
        <v>101</v>
      </c>
      <c r="W250" s="4">
        <v>43</v>
      </c>
      <c r="X250" s="4">
        <v>50</v>
      </c>
      <c r="Y250" s="4">
        <v>14</v>
      </c>
      <c r="Z250" s="4">
        <v>151</v>
      </c>
      <c r="AA250" s="3">
        <v>871</v>
      </c>
      <c r="AB250" s="3">
        <v>0</v>
      </c>
      <c r="AC250" s="3">
        <v>0</v>
      </c>
      <c r="AD250" s="2">
        <v>0.7</v>
      </c>
      <c r="AE250" s="2">
        <v>111.8</v>
      </c>
      <c r="AF250" s="2">
        <v>110.7</v>
      </c>
      <c r="AG250" s="2">
        <v>1.1000000000000001</v>
      </c>
      <c r="AH250" s="2">
        <v>9</v>
      </c>
      <c r="AI250" s="2">
        <v>2.39</v>
      </c>
      <c r="AJ250" s="2">
        <v>17.2</v>
      </c>
      <c r="AK250" s="2">
        <v>1.3</v>
      </c>
      <c r="AL250" s="2">
        <v>4.5</v>
      </c>
      <c r="AM250" s="2">
        <v>2.9</v>
      </c>
      <c r="AN250" s="2">
        <v>7.2</v>
      </c>
      <c r="AO250" s="2">
        <v>53</v>
      </c>
      <c r="AP250" s="2">
        <v>53.6</v>
      </c>
      <c r="AQ250" s="2">
        <v>13.1</v>
      </c>
      <c r="AR250" s="2">
        <v>100.07</v>
      </c>
      <c r="AS250" s="2">
        <v>3.9</v>
      </c>
      <c r="AT250" s="2">
        <v>3190</v>
      </c>
      <c r="AU250" s="53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6"/>
    </row>
    <row r="251" spans="1:69" ht="13.2">
      <c r="A251" s="1" t="s">
        <v>526</v>
      </c>
      <c r="B251" s="1" t="s">
        <v>527</v>
      </c>
      <c r="C251" s="24" t="str">
        <f>VLOOKUP(B251,Equipe!$A$1:$B$31,2,FALSE)</f>
        <v>Indiana Pacers</v>
      </c>
      <c r="D251" s="2">
        <v>21</v>
      </c>
      <c r="E251" s="2">
        <v>75</v>
      </c>
      <c r="F251" s="2">
        <v>45</v>
      </c>
      <c r="G251" s="2">
        <v>30</v>
      </c>
      <c r="H251" s="2">
        <v>15.8</v>
      </c>
      <c r="I251" s="3">
        <v>458</v>
      </c>
      <c r="J251" s="4">
        <v>173</v>
      </c>
      <c r="K251" s="4">
        <v>360</v>
      </c>
      <c r="L251" s="3">
        <v>47.2</v>
      </c>
      <c r="M251" s="4">
        <v>75</v>
      </c>
      <c r="N251" s="4">
        <v>188</v>
      </c>
      <c r="O251" s="3">
        <v>40.5</v>
      </c>
      <c r="P251" s="3">
        <v>45</v>
      </c>
      <c r="Q251" s="3">
        <v>68</v>
      </c>
      <c r="R251" s="3">
        <v>66.7</v>
      </c>
      <c r="S251" s="4">
        <v>23</v>
      </c>
      <c r="T251" s="4">
        <v>203</v>
      </c>
      <c r="U251" s="4">
        <v>233</v>
      </c>
      <c r="V251" s="4">
        <v>113</v>
      </c>
      <c r="W251" s="4">
        <v>75</v>
      </c>
      <c r="X251" s="4">
        <v>53</v>
      </c>
      <c r="Y251" s="4">
        <v>23</v>
      </c>
      <c r="Z251" s="4">
        <v>113</v>
      </c>
      <c r="AA251" s="3">
        <v>1058</v>
      </c>
      <c r="AB251" s="3">
        <v>0</v>
      </c>
      <c r="AC251" s="3">
        <v>0</v>
      </c>
      <c r="AD251" s="2">
        <v>-1.9</v>
      </c>
      <c r="AE251" s="2">
        <v>107</v>
      </c>
      <c r="AF251" s="2">
        <v>112.1</v>
      </c>
      <c r="AG251" s="2">
        <v>-5</v>
      </c>
      <c r="AH251" s="2">
        <v>12.9</v>
      </c>
      <c r="AI251" s="2">
        <v>1.41</v>
      </c>
      <c r="AJ251" s="2">
        <v>19.100000000000001</v>
      </c>
      <c r="AK251" s="2">
        <v>2.1</v>
      </c>
      <c r="AL251" s="2">
        <v>17.8</v>
      </c>
      <c r="AM251" s="2">
        <v>9.8000000000000007</v>
      </c>
      <c r="AN251" s="2">
        <v>13.5</v>
      </c>
      <c r="AO251" s="2">
        <v>57.6</v>
      </c>
      <c r="AP251" s="2">
        <v>59</v>
      </c>
      <c r="AQ251" s="2">
        <v>16.5</v>
      </c>
      <c r="AR251" s="2">
        <v>103.23</v>
      </c>
      <c r="AS251" s="2">
        <v>8.6999999999999993</v>
      </c>
      <c r="AT251" s="2">
        <v>2544</v>
      </c>
      <c r="AU251" s="53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6"/>
    </row>
    <row r="252" spans="1:69" ht="13.2">
      <c r="A252" s="1" t="s">
        <v>528</v>
      </c>
      <c r="B252" s="1" t="s">
        <v>529</v>
      </c>
      <c r="C252" s="24" t="str">
        <f>VLOOKUP(B252,Equipe!$A$1:$B$31,2,FALSE)</f>
        <v>Sacramento Kings</v>
      </c>
      <c r="D252" s="2">
        <v>23</v>
      </c>
      <c r="E252" s="2">
        <v>66</v>
      </c>
      <c r="F252" s="2">
        <v>40</v>
      </c>
      <c r="G252" s="2">
        <v>26</v>
      </c>
      <c r="H252" s="2">
        <v>20.399999999999999</v>
      </c>
      <c r="I252" s="3">
        <v>455</v>
      </c>
      <c r="J252" s="4">
        <v>158</v>
      </c>
      <c r="K252" s="4">
        <v>337</v>
      </c>
      <c r="L252" s="3">
        <v>47.5</v>
      </c>
      <c r="M252" s="4">
        <v>59</v>
      </c>
      <c r="N252" s="4">
        <v>145</v>
      </c>
      <c r="O252" s="3">
        <v>42.3</v>
      </c>
      <c r="P252" s="3">
        <v>79</v>
      </c>
      <c r="Q252" s="3">
        <v>112</v>
      </c>
      <c r="R252" s="3">
        <v>67.8</v>
      </c>
      <c r="S252" s="4">
        <v>92</v>
      </c>
      <c r="T252" s="4">
        <v>172</v>
      </c>
      <c r="U252" s="4">
        <v>257</v>
      </c>
      <c r="V252" s="4">
        <v>158</v>
      </c>
      <c r="W252" s="4">
        <v>86</v>
      </c>
      <c r="X252" s="4">
        <v>59</v>
      </c>
      <c r="Y252" s="4">
        <v>20</v>
      </c>
      <c r="Z252" s="4">
        <v>132</v>
      </c>
      <c r="AA252" s="3">
        <v>1175</v>
      </c>
      <c r="AB252" s="3">
        <v>2</v>
      </c>
      <c r="AC252" s="3">
        <v>0</v>
      </c>
      <c r="AD252" s="2">
        <v>1.9</v>
      </c>
      <c r="AE252" s="2">
        <v>115</v>
      </c>
      <c r="AF252" s="2">
        <v>111.2</v>
      </c>
      <c r="AG252" s="2">
        <v>3.8</v>
      </c>
      <c r="AH252" s="2">
        <v>15</v>
      </c>
      <c r="AI252" s="2">
        <v>1.84</v>
      </c>
      <c r="AJ252" s="2">
        <v>24.9</v>
      </c>
      <c r="AK252" s="2">
        <v>6.3</v>
      </c>
      <c r="AL252" s="2">
        <v>12</v>
      </c>
      <c r="AM252" s="2">
        <v>9.1</v>
      </c>
      <c r="AN252" s="2">
        <v>13.5</v>
      </c>
      <c r="AO252" s="2">
        <v>56.4</v>
      </c>
      <c r="AP252" s="2">
        <v>59.1</v>
      </c>
      <c r="AQ252" s="2">
        <v>14</v>
      </c>
      <c r="AR252" s="2">
        <v>103.86</v>
      </c>
      <c r="AS252" s="2">
        <v>8.1</v>
      </c>
      <c r="AT252" s="2">
        <v>2926</v>
      </c>
      <c r="AU252" s="53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6"/>
    </row>
    <row r="253" spans="1:69" ht="13.2">
      <c r="A253" s="1" t="s">
        <v>530</v>
      </c>
      <c r="B253" s="1" t="s">
        <v>531</v>
      </c>
      <c r="C253" s="24" t="str">
        <f>VLOOKUP(B253,Equipe!$A$1:$B$31,2,FALSE)</f>
        <v>Charlotte Hornets</v>
      </c>
      <c r="D253" s="2">
        <v>30</v>
      </c>
      <c r="E253" s="2">
        <v>51</v>
      </c>
      <c r="F253" s="2">
        <v>18</v>
      </c>
      <c r="G253" s="2">
        <v>33</v>
      </c>
      <c r="H253" s="2">
        <v>20.8</v>
      </c>
      <c r="I253" s="3">
        <v>454</v>
      </c>
      <c r="J253" s="4">
        <v>168</v>
      </c>
      <c r="K253" s="4">
        <v>352</v>
      </c>
      <c r="L253" s="3">
        <v>47.7</v>
      </c>
      <c r="M253" s="4">
        <v>31</v>
      </c>
      <c r="N253" s="4">
        <v>107</v>
      </c>
      <c r="O253" s="3">
        <v>30.5</v>
      </c>
      <c r="P253" s="3">
        <v>87</v>
      </c>
      <c r="Q253" s="3">
        <v>128</v>
      </c>
      <c r="R253" s="3">
        <v>66.400000000000006</v>
      </c>
      <c r="S253" s="4">
        <v>87</v>
      </c>
      <c r="T253" s="4">
        <v>311</v>
      </c>
      <c r="U253" s="4">
        <v>398</v>
      </c>
      <c r="V253" s="4">
        <v>117</v>
      </c>
      <c r="W253" s="4">
        <v>97</v>
      </c>
      <c r="X253" s="4">
        <v>41</v>
      </c>
      <c r="Y253" s="4">
        <v>36</v>
      </c>
      <c r="Z253" s="4">
        <v>128</v>
      </c>
      <c r="AA253" s="3">
        <v>1229</v>
      </c>
      <c r="AB253" s="3">
        <v>10</v>
      </c>
      <c r="AC253" s="3">
        <v>0</v>
      </c>
      <c r="AD253" s="2">
        <v>-3.6</v>
      </c>
      <c r="AE253" s="2">
        <v>106.1</v>
      </c>
      <c r="AF253" s="2">
        <v>115.1</v>
      </c>
      <c r="AG253" s="2">
        <v>-9</v>
      </c>
      <c r="AH253" s="2">
        <v>16.7</v>
      </c>
      <c r="AI253" s="2">
        <v>1.19</v>
      </c>
      <c r="AJ253" s="2">
        <v>18.600000000000001</v>
      </c>
      <c r="AK253" s="2">
        <v>7.7</v>
      </c>
      <c r="AL253" s="2">
        <v>28.5</v>
      </c>
      <c r="AM253" s="2">
        <v>18.100000000000001</v>
      </c>
      <c r="AN253" s="2">
        <v>15.7</v>
      </c>
      <c r="AO253" s="2">
        <v>52.3</v>
      </c>
      <c r="AP253" s="2">
        <v>55.5</v>
      </c>
      <c r="AQ253" s="2">
        <v>20.2</v>
      </c>
      <c r="AR253" s="2">
        <v>99.79</v>
      </c>
      <c r="AS253" s="2">
        <v>11.6</v>
      </c>
      <c r="AT253" s="2">
        <v>2216</v>
      </c>
      <c r="AU253" s="53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6"/>
    </row>
    <row r="254" spans="1:69" ht="13.2">
      <c r="A254" s="1" t="s">
        <v>532</v>
      </c>
      <c r="B254" s="1" t="s">
        <v>533</v>
      </c>
      <c r="C254" s="24" t="str">
        <f>VLOOKUP(B254,Equipe!$A$1:$B$31,2,FALSE)</f>
        <v>Philadelphia 76ers</v>
      </c>
      <c r="D254" s="2">
        <v>31</v>
      </c>
      <c r="E254" s="2">
        <v>19</v>
      </c>
      <c r="F254" s="2">
        <v>8</v>
      </c>
      <c r="G254" s="2">
        <v>11</v>
      </c>
      <c r="H254" s="2">
        <v>30.2</v>
      </c>
      <c r="I254" s="3">
        <v>452</v>
      </c>
      <c r="J254" s="4">
        <v>141</v>
      </c>
      <c r="K254" s="4">
        <v>315</v>
      </c>
      <c r="L254" s="3">
        <v>44.4</v>
      </c>
      <c r="M254" s="4">
        <v>23</v>
      </c>
      <c r="N254" s="4">
        <v>78</v>
      </c>
      <c r="O254" s="3">
        <v>29.9</v>
      </c>
      <c r="P254" s="3">
        <v>148</v>
      </c>
      <c r="Q254" s="3">
        <v>169</v>
      </c>
      <c r="R254" s="3">
        <v>88.2</v>
      </c>
      <c r="S254" s="4">
        <v>36</v>
      </c>
      <c r="T254" s="4">
        <v>120</v>
      </c>
      <c r="U254" s="4">
        <v>156</v>
      </c>
      <c r="V254" s="4">
        <v>86</v>
      </c>
      <c r="W254" s="4">
        <v>63</v>
      </c>
      <c r="X254" s="4">
        <v>13</v>
      </c>
      <c r="Y254" s="4">
        <v>17</v>
      </c>
      <c r="Z254" s="4">
        <v>42</v>
      </c>
      <c r="AA254" s="3">
        <v>800</v>
      </c>
      <c r="AB254" s="3">
        <v>7</v>
      </c>
      <c r="AC254" s="3">
        <v>1</v>
      </c>
      <c r="AD254" s="2">
        <v>-3</v>
      </c>
      <c r="AE254" s="2">
        <v>104</v>
      </c>
      <c r="AF254" s="2">
        <v>109.5</v>
      </c>
      <c r="AG254" s="2">
        <v>-5.5</v>
      </c>
      <c r="AH254" s="2">
        <v>28.6</v>
      </c>
      <c r="AI254" s="2">
        <v>1.37</v>
      </c>
      <c r="AJ254" s="2">
        <v>15.8</v>
      </c>
      <c r="AK254" s="2">
        <v>6.2</v>
      </c>
      <c r="AL254" s="2">
        <v>20.7</v>
      </c>
      <c r="AM254" s="2">
        <v>13.4</v>
      </c>
      <c r="AN254" s="2">
        <v>11.5</v>
      </c>
      <c r="AO254" s="2">
        <v>48.1</v>
      </c>
      <c r="AP254" s="2">
        <v>58</v>
      </c>
      <c r="AQ254" s="2">
        <v>34.200000000000003</v>
      </c>
      <c r="AR254" s="2">
        <v>99.95</v>
      </c>
      <c r="AS254" s="2">
        <v>16.899999999999999</v>
      </c>
      <c r="AT254" s="2">
        <v>1200</v>
      </c>
      <c r="AU254" s="53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6"/>
    </row>
    <row r="255" spans="1:69" ht="13.2">
      <c r="A255" s="1" t="s">
        <v>534</v>
      </c>
      <c r="B255" s="1" t="s">
        <v>535</v>
      </c>
      <c r="C255" s="24" t="str">
        <f>VLOOKUP(B255,Equipe!$A$1:$B$31,2,FALSE)</f>
        <v>Brooklyn Nets</v>
      </c>
      <c r="D255" s="2">
        <v>24</v>
      </c>
      <c r="E255" s="2">
        <v>44</v>
      </c>
      <c r="F255" s="2">
        <v>16</v>
      </c>
      <c r="G255" s="2">
        <v>28</v>
      </c>
      <c r="H255" s="2">
        <v>20.7</v>
      </c>
      <c r="I255" s="3">
        <v>449</v>
      </c>
      <c r="J255" s="4">
        <v>163</v>
      </c>
      <c r="K255" s="4">
        <v>352</v>
      </c>
      <c r="L255" s="3">
        <v>46.9</v>
      </c>
      <c r="M255" s="4">
        <v>31</v>
      </c>
      <c r="N255" s="4">
        <v>88</v>
      </c>
      <c r="O255" s="3">
        <v>33</v>
      </c>
      <c r="P255" s="3">
        <v>92</v>
      </c>
      <c r="Q255" s="3">
        <v>123</v>
      </c>
      <c r="R255" s="3">
        <v>76.2</v>
      </c>
      <c r="S255" s="4">
        <v>35</v>
      </c>
      <c r="T255" s="4">
        <v>123</v>
      </c>
      <c r="U255" s="4">
        <v>158</v>
      </c>
      <c r="V255" s="4">
        <v>114</v>
      </c>
      <c r="W255" s="4">
        <v>84</v>
      </c>
      <c r="X255" s="4">
        <v>26</v>
      </c>
      <c r="Y255" s="4">
        <v>13</v>
      </c>
      <c r="Z255" s="4">
        <v>97</v>
      </c>
      <c r="AA255" s="3">
        <v>849</v>
      </c>
      <c r="AB255" s="3">
        <v>1</v>
      </c>
      <c r="AC255" s="3">
        <v>0</v>
      </c>
      <c r="AD255" s="2">
        <v>-1.5</v>
      </c>
      <c r="AE255" s="2">
        <v>105.1</v>
      </c>
      <c r="AF255" s="2">
        <v>109.4</v>
      </c>
      <c r="AG255" s="2">
        <v>-4.4000000000000004</v>
      </c>
      <c r="AH255" s="2">
        <v>21.1</v>
      </c>
      <c r="AI255" s="2">
        <v>1.39</v>
      </c>
      <c r="AJ255" s="2">
        <v>19.100000000000001</v>
      </c>
      <c r="AK255" s="2">
        <v>3.8</v>
      </c>
      <c r="AL255" s="2">
        <v>13.2</v>
      </c>
      <c r="AM255" s="2">
        <v>8.4</v>
      </c>
      <c r="AN255" s="2">
        <v>13.8</v>
      </c>
      <c r="AO255" s="2">
        <v>51</v>
      </c>
      <c r="AP255" s="2">
        <v>55.7</v>
      </c>
      <c r="AQ255" s="2">
        <v>22.6</v>
      </c>
      <c r="AR255" s="2">
        <v>97.8</v>
      </c>
      <c r="AS255" s="2">
        <v>10.1</v>
      </c>
      <c r="AT255" s="2">
        <v>1867</v>
      </c>
      <c r="AU255" s="53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6"/>
    </row>
    <row r="256" spans="1:69" ht="13.2">
      <c r="A256" s="1" t="s">
        <v>536</v>
      </c>
      <c r="B256" s="1" t="s">
        <v>537</v>
      </c>
      <c r="C256" s="24" t="str">
        <f>VLOOKUP(B256,Equipe!$A$1:$B$31,2,FALSE)</f>
        <v>New Orleans Pelicans</v>
      </c>
      <c r="D256" s="2">
        <v>23</v>
      </c>
      <c r="E256" s="2">
        <v>42</v>
      </c>
      <c r="F256" s="2">
        <v>8</v>
      </c>
      <c r="G256" s="2">
        <v>34</v>
      </c>
      <c r="H256" s="2">
        <v>23.6</v>
      </c>
      <c r="I256" s="3">
        <v>449</v>
      </c>
      <c r="J256" s="4">
        <v>168</v>
      </c>
      <c r="K256" s="4">
        <v>382</v>
      </c>
      <c r="L256" s="3">
        <v>43.6</v>
      </c>
      <c r="M256" s="4">
        <v>50</v>
      </c>
      <c r="N256" s="4">
        <v>139</v>
      </c>
      <c r="O256" s="3">
        <v>35</v>
      </c>
      <c r="P256" s="3">
        <v>67</v>
      </c>
      <c r="Q256" s="3">
        <v>84</v>
      </c>
      <c r="R256" s="3">
        <v>78.8</v>
      </c>
      <c r="S256" s="4">
        <v>29</v>
      </c>
      <c r="T256" s="4">
        <v>105</v>
      </c>
      <c r="U256" s="4">
        <v>134</v>
      </c>
      <c r="V256" s="4">
        <v>92</v>
      </c>
      <c r="W256" s="4">
        <v>50</v>
      </c>
      <c r="X256" s="4">
        <v>55</v>
      </c>
      <c r="Y256" s="4">
        <v>8</v>
      </c>
      <c r="Z256" s="4">
        <v>71</v>
      </c>
      <c r="AA256" s="3">
        <v>882</v>
      </c>
      <c r="AB256" s="3">
        <v>0</v>
      </c>
      <c r="AC256" s="3">
        <v>0</v>
      </c>
      <c r="AD256" s="2">
        <v>-3.3</v>
      </c>
      <c r="AE256" s="2">
        <v>108.6</v>
      </c>
      <c r="AF256" s="2">
        <v>114.8</v>
      </c>
      <c r="AG256" s="2">
        <v>-6.2</v>
      </c>
      <c r="AH256" s="2">
        <v>14</v>
      </c>
      <c r="AI256" s="2">
        <v>1.77</v>
      </c>
      <c r="AJ256" s="2">
        <v>16.3</v>
      </c>
      <c r="AK256" s="2">
        <v>2.6</v>
      </c>
      <c r="AL256" s="2">
        <v>10.7</v>
      </c>
      <c r="AM256" s="2">
        <v>6.5</v>
      </c>
      <c r="AN256" s="2">
        <v>9.1999999999999993</v>
      </c>
      <c r="AO256" s="2">
        <v>50</v>
      </c>
      <c r="AP256" s="2">
        <v>53.5</v>
      </c>
      <c r="AQ256" s="2">
        <v>19.899999999999999</v>
      </c>
      <c r="AR256" s="2">
        <v>99.87</v>
      </c>
      <c r="AS256" s="2">
        <v>8.5</v>
      </c>
      <c r="AT256" s="2">
        <v>2060</v>
      </c>
      <c r="AU256" s="53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6"/>
    </row>
    <row r="257" spans="1:69" ht="13.2">
      <c r="A257" s="1" t="s">
        <v>538</v>
      </c>
      <c r="B257" s="1" t="s">
        <v>539</v>
      </c>
      <c r="C257" s="24" t="str">
        <f>VLOOKUP(B257,Equipe!$A$1:$B$31,2,FALSE)</f>
        <v>Sacramento Kings</v>
      </c>
      <c r="D257" s="2">
        <v>29</v>
      </c>
      <c r="E257" s="2">
        <v>69</v>
      </c>
      <c r="F257" s="2">
        <v>34</v>
      </c>
      <c r="G257" s="2">
        <v>35</v>
      </c>
      <c r="H257" s="2">
        <v>19.600000000000001</v>
      </c>
      <c r="I257" s="3">
        <v>449</v>
      </c>
      <c r="J257" s="4">
        <v>159</v>
      </c>
      <c r="K257" s="4">
        <v>373</v>
      </c>
      <c r="L257" s="3">
        <v>42</v>
      </c>
      <c r="M257" s="4">
        <v>83</v>
      </c>
      <c r="N257" s="4">
        <v>235</v>
      </c>
      <c r="O257" s="3">
        <v>34</v>
      </c>
      <c r="P257" s="3">
        <v>55</v>
      </c>
      <c r="Q257" s="3">
        <v>83</v>
      </c>
      <c r="R257" s="3">
        <v>70</v>
      </c>
      <c r="S257" s="4">
        <v>83</v>
      </c>
      <c r="T257" s="4">
        <v>235</v>
      </c>
      <c r="U257" s="4">
        <v>317</v>
      </c>
      <c r="V257" s="4">
        <v>83</v>
      </c>
      <c r="W257" s="4">
        <v>41</v>
      </c>
      <c r="X257" s="4">
        <v>41</v>
      </c>
      <c r="Y257" s="4">
        <v>21</v>
      </c>
      <c r="Z257" s="4">
        <v>83</v>
      </c>
      <c r="AA257" s="3">
        <v>1104</v>
      </c>
      <c r="AB257" s="3">
        <v>1</v>
      </c>
      <c r="AC257" s="3">
        <v>0</v>
      </c>
      <c r="AD257" s="2">
        <v>-1</v>
      </c>
      <c r="AE257" s="2">
        <v>111.8</v>
      </c>
      <c r="AF257" s="2">
        <v>113.8</v>
      </c>
      <c r="AG257" s="2">
        <v>-2</v>
      </c>
      <c r="AH257" s="2">
        <v>8.4</v>
      </c>
      <c r="AI257" s="2">
        <v>2.1</v>
      </c>
      <c r="AJ257" s="2">
        <v>15.4</v>
      </c>
      <c r="AK257" s="2">
        <v>5.6</v>
      </c>
      <c r="AL257" s="2">
        <v>17.7</v>
      </c>
      <c r="AM257" s="2">
        <v>11.4</v>
      </c>
      <c r="AN257" s="2">
        <v>7.3</v>
      </c>
      <c r="AO257" s="2">
        <v>52.8</v>
      </c>
      <c r="AP257" s="2">
        <v>55.1</v>
      </c>
      <c r="AQ257" s="2">
        <v>13.9</v>
      </c>
      <c r="AR257" s="2">
        <v>100.04</v>
      </c>
      <c r="AS257" s="2">
        <v>8.6999999999999993</v>
      </c>
      <c r="AT257" s="2">
        <v>2807</v>
      </c>
      <c r="AU257" s="53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6"/>
    </row>
    <row r="258" spans="1:69" ht="13.2">
      <c r="A258" s="1" t="s">
        <v>540</v>
      </c>
      <c r="B258" s="1" t="s">
        <v>541</v>
      </c>
      <c r="C258" s="24" t="str">
        <f>VLOOKUP(B258,Equipe!$A$1:$B$31,2,FALSE)</f>
        <v>Toronto Raptors</v>
      </c>
      <c r="D258" s="2">
        <v>20</v>
      </c>
      <c r="E258" s="2">
        <v>52</v>
      </c>
      <c r="F258" s="2">
        <v>19</v>
      </c>
      <c r="G258" s="2">
        <v>33</v>
      </c>
      <c r="H258" s="2">
        <v>21.2</v>
      </c>
      <c r="I258" s="3">
        <v>447</v>
      </c>
      <c r="J258" s="4">
        <v>161</v>
      </c>
      <c r="K258" s="4">
        <v>395</v>
      </c>
      <c r="L258" s="3">
        <v>40.5</v>
      </c>
      <c r="M258" s="4">
        <v>68</v>
      </c>
      <c r="N258" s="4">
        <v>187</v>
      </c>
      <c r="O258" s="3">
        <v>34.9</v>
      </c>
      <c r="P258" s="3">
        <v>68</v>
      </c>
      <c r="Q258" s="3">
        <v>83</v>
      </c>
      <c r="R258" s="3">
        <v>79.5</v>
      </c>
      <c r="S258" s="4">
        <v>57</v>
      </c>
      <c r="T258" s="4">
        <v>99</v>
      </c>
      <c r="U258" s="4">
        <v>161</v>
      </c>
      <c r="V258" s="4">
        <v>83</v>
      </c>
      <c r="W258" s="4">
        <v>52</v>
      </c>
      <c r="X258" s="4">
        <v>42</v>
      </c>
      <c r="Y258" s="4">
        <v>10</v>
      </c>
      <c r="Z258" s="4">
        <v>94</v>
      </c>
      <c r="AA258" s="3">
        <v>874</v>
      </c>
      <c r="AB258" s="3">
        <v>1</v>
      </c>
      <c r="AC258" s="3">
        <v>0</v>
      </c>
      <c r="AD258" s="2">
        <v>-1.6</v>
      </c>
      <c r="AE258" s="2">
        <v>108.6</v>
      </c>
      <c r="AF258" s="2">
        <v>111.1</v>
      </c>
      <c r="AG258" s="2">
        <v>-2.4</v>
      </c>
      <c r="AH258" s="2">
        <v>10.5</v>
      </c>
      <c r="AI258" s="2">
        <v>1.62</v>
      </c>
      <c r="AJ258" s="2">
        <v>14.5</v>
      </c>
      <c r="AK258" s="2">
        <v>4.9000000000000004</v>
      </c>
      <c r="AL258" s="2">
        <v>9.1999999999999993</v>
      </c>
      <c r="AM258" s="2">
        <v>7</v>
      </c>
      <c r="AN258" s="2">
        <v>8.9</v>
      </c>
      <c r="AO258" s="2">
        <v>48.7</v>
      </c>
      <c r="AP258" s="2">
        <v>52.3</v>
      </c>
      <c r="AQ258" s="2">
        <v>17.899999999999999</v>
      </c>
      <c r="AR258" s="2">
        <v>101.29</v>
      </c>
      <c r="AS258" s="2">
        <v>6.8</v>
      </c>
      <c r="AT258" s="2">
        <v>2316</v>
      </c>
      <c r="AU258" s="53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6"/>
    </row>
    <row r="259" spans="1:69" ht="13.2">
      <c r="A259" s="1" t="s">
        <v>542</v>
      </c>
      <c r="B259" s="1" t="s">
        <v>543</v>
      </c>
      <c r="C259" s="24" t="str">
        <f>VLOOKUP(B259,Equipe!$A$1:$B$31,2,FALSE)</f>
        <v>Philadelphia 76ers</v>
      </c>
      <c r="D259" s="2">
        <v>21</v>
      </c>
      <c r="E259" s="2">
        <v>44</v>
      </c>
      <c r="F259" s="2">
        <v>11</v>
      </c>
      <c r="G259" s="2">
        <v>33</v>
      </c>
      <c r="H259" s="2">
        <v>26.2</v>
      </c>
      <c r="I259" s="3">
        <v>444</v>
      </c>
      <c r="J259" s="4">
        <v>172</v>
      </c>
      <c r="K259" s="4">
        <v>378</v>
      </c>
      <c r="L259" s="3">
        <v>45.5</v>
      </c>
      <c r="M259" s="4">
        <v>70</v>
      </c>
      <c r="N259" s="4">
        <v>189</v>
      </c>
      <c r="O259" s="3">
        <v>36.299999999999997</v>
      </c>
      <c r="P259" s="3">
        <v>31</v>
      </c>
      <c r="Q259" s="3">
        <v>44</v>
      </c>
      <c r="R259" s="3">
        <v>69.599999999999994</v>
      </c>
      <c r="S259" s="4">
        <v>44</v>
      </c>
      <c r="T259" s="4">
        <v>101</v>
      </c>
      <c r="U259" s="4">
        <v>150</v>
      </c>
      <c r="V259" s="4">
        <v>70</v>
      </c>
      <c r="W259" s="4">
        <v>48</v>
      </c>
      <c r="X259" s="4">
        <v>44</v>
      </c>
      <c r="Y259" s="4">
        <v>18</v>
      </c>
      <c r="Z259" s="4">
        <v>97</v>
      </c>
      <c r="AA259" s="3">
        <v>858</v>
      </c>
      <c r="AB259" s="3">
        <v>1</v>
      </c>
      <c r="AC259" s="3">
        <v>0</v>
      </c>
      <c r="AD259" s="2">
        <v>-6.4</v>
      </c>
      <c r="AE259" s="2">
        <v>111.6</v>
      </c>
      <c r="AF259" s="2">
        <v>123.2</v>
      </c>
      <c r="AG259" s="2">
        <v>-11.6</v>
      </c>
      <c r="AH259" s="2">
        <v>8.4</v>
      </c>
      <c r="AI259" s="2">
        <v>1.41</v>
      </c>
      <c r="AJ259" s="2">
        <v>13.3</v>
      </c>
      <c r="AK259" s="2">
        <v>3.8</v>
      </c>
      <c r="AL259" s="2">
        <v>9.4</v>
      </c>
      <c r="AM259" s="2">
        <v>6.5</v>
      </c>
      <c r="AN259" s="2">
        <v>9.5</v>
      </c>
      <c r="AO259" s="2">
        <v>54.6</v>
      </c>
      <c r="AP259" s="2">
        <v>55.9</v>
      </c>
      <c r="AQ259" s="2">
        <v>16.5</v>
      </c>
      <c r="AR259" s="2">
        <v>99.43</v>
      </c>
      <c r="AS259" s="2">
        <v>6.2</v>
      </c>
      <c r="AT259" s="2">
        <v>2391</v>
      </c>
      <c r="AU259" s="53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6"/>
    </row>
    <row r="260" spans="1:69" ht="13.2">
      <c r="A260" s="1" t="s">
        <v>544</v>
      </c>
      <c r="B260" s="1" t="s">
        <v>545</v>
      </c>
      <c r="C260" s="24" t="str">
        <f>VLOOKUP(B260,Equipe!$A$1:$B$31,2,FALSE)</f>
        <v>Detroit Pistons</v>
      </c>
      <c r="D260" s="2">
        <v>29</v>
      </c>
      <c r="E260" s="2">
        <v>75</v>
      </c>
      <c r="F260" s="2">
        <v>38</v>
      </c>
      <c r="G260" s="2">
        <v>37</v>
      </c>
      <c r="H260" s="2">
        <v>16.5</v>
      </c>
      <c r="I260" s="3">
        <v>443</v>
      </c>
      <c r="J260" s="4">
        <v>150</v>
      </c>
      <c r="K260" s="4">
        <v>375</v>
      </c>
      <c r="L260" s="3">
        <v>40.200000000000003</v>
      </c>
      <c r="M260" s="4">
        <v>75</v>
      </c>
      <c r="N260" s="4">
        <v>225</v>
      </c>
      <c r="O260" s="3">
        <v>33.5</v>
      </c>
      <c r="P260" s="3">
        <v>68</v>
      </c>
      <c r="Q260" s="3">
        <v>83</v>
      </c>
      <c r="R260" s="3">
        <v>83.3</v>
      </c>
      <c r="S260" s="4">
        <v>53</v>
      </c>
      <c r="T260" s="4">
        <v>165</v>
      </c>
      <c r="U260" s="4">
        <v>218</v>
      </c>
      <c r="V260" s="4">
        <v>68</v>
      </c>
      <c r="W260" s="4">
        <v>53</v>
      </c>
      <c r="X260" s="4">
        <v>30</v>
      </c>
      <c r="Y260" s="4">
        <v>15</v>
      </c>
      <c r="Z260" s="4">
        <v>98</v>
      </c>
      <c r="AA260" s="3">
        <v>878</v>
      </c>
      <c r="AB260" s="3">
        <v>0</v>
      </c>
      <c r="AC260" s="3">
        <v>0</v>
      </c>
      <c r="AD260" s="2">
        <v>0.2</v>
      </c>
      <c r="AE260" s="2">
        <v>110.7</v>
      </c>
      <c r="AF260" s="2">
        <v>109.5</v>
      </c>
      <c r="AG260" s="2">
        <v>1.2</v>
      </c>
      <c r="AH260" s="2">
        <v>7.1</v>
      </c>
      <c r="AI260" s="2">
        <v>1.23</v>
      </c>
      <c r="AJ260" s="2">
        <v>12.3</v>
      </c>
      <c r="AK260" s="2">
        <v>4</v>
      </c>
      <c r="AL260" s="2">
        <v>12.7</v>
      </c>
      <c r="AM260" s="2">
        <v>8.3000000000000007</v>
      </c>
      <c r="AN260" s="2">
        <v>10.1</v>
      </c>
      <c r="AO260" s="2">
        <v>50.4</v>
      </c>
      <c r="AP260" s="2">
        <v>54.4</v>
      </c>
      <c r="AQ260" s="2">
        <v>15.2</v>
      </c>
      <c r="AR260" s="2">
        <v>103.26</v>
      </c>
      <c r="AS260" s="2">
        <v>6.8</v>
      </c>
      <c r="AT260" s="2">
        <v>2653</v>
      </c>
      <c r="AU260" s="53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6"/>
    </row>
    <row r="261" spans="1:69" ht="13.2">
      <c r="A261" s="1" t="s">
        <v>546</v>
      </c>
      <c r="B261" s="1" t="s">
        <v>547</v>
      </c>
      <c r="C261" s="24" t="str">
        <f>VLOOKUP(B261,Equipe!$A$1:$B$31,2,FALSE)</f>
        <v>Charlotte Hornets</v>
      </c>
      <c r="D261" s="2">
        <v>34</v>
      </c>
      <c r="E261" s="2">
        <v>68</v>
      </c>
      <c r="F261" s="2">
        <v>17</v>
      </c>
      <c r="G261" s="2">
        <v>51</v>
      </c>
      <c r="H261" s="2">
        <v>15.6</v>
      </c>
      <c r="I261" s="3">
        <v>442</v>
      </c>
      <c r="J261" s="4">
        <v>163</v>
      </c>
      <c r="K261" s="4">
        <v>340</v>
      </c>
      <c r="L261" s="3">
        <v>47.8</v>
      </c>
      <c r="M261" s="4">
        <v>82</v>
      </c>
      <c r="N261" s="4">
        <v>184</v>
      </c>
      <c r="O261" s="3">
        <v>45.6</v>
      </c>
      <c r="P261" s="3">
        <v>34</v>
      </c>
      <c r="Q261" s="3">
        <v>41</v>
      </c>
      <c r="R261" s="3">
        <v>84.6</v>
      </c>
      <c r="S261" s="4">
        <v>27</v>
      </c>
      <c r="T261" s="4">
        <v>88</v>
      </c>
      <c r="U261" s="4">
        <v>116</v>
      </c>
      <c r="V261" s="4">
        <v>61</v>
      </c>
      <c r="W261" s="4">
        <v>34</v>
      </c>
      <c r="X261" s="4">
        <v>27</v>
      </c>
      <c r="Y261" s="4">
        <v>7</v>
      </c>
      <c r="Z261" s="4">
        <v>61</v>
      </c>
      <c r="AA261" s="3">
        <v>741</v>
      </c>
      <c r="AB261" s="3">
        <v>0</v>
      </c>
      <c r="AC261" s="3">
        <v>0</v>
      </c>
      <c r="AD261" s="2">
        <v>-2.5</v>
      </c>
      <c r="AE261" s="2">
        <v>106.2</v>
      </c>
      <c r="AF261" s="2">
        <v>114.1</v>
      </c>
      <c r="AG261" s="2">
        <v>-8</v>
      </c>
      <c r="AH261" s="2">
        <v>8.6999999999999993</v>
      </c>
      <c r="AI261" s="2">
        <v>1.88</v>
      </c>
      <c r="AJ261" s="2">
        <v>13.4</v>
      </c>
      <c r="AK261" s="2">
        <v>2</v>
      </c>
      <c r="AL261" s="2">
        <v>8.1</v>
      </c>
      <c r="AM261" s="2">
        <v>4.9000000000000004</v>
      </c>
      <c r="AN261" s="2">
        <v>7.1</v>
      </c>
      <c r="AO261" s="2">
        <v>59.9</v>
      </c>
      <c r="AP261" s="2">
        <v>61.6</v>
      </c>
      <c r="AQ261" s="2">
        <v>15.1</v>
      </c>
      <c r="AR261" s="2">
        <v>99.1</v>
      </c>
      <c r="AS261" s="2">
        <v>8.3000000000000007</v>
      </c>
      <c r="AT261" s="2">
        <v>2194</v>
      </c>
      <c r="AU261" s="53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6"/>
    </row>
    <row r="262" spans="1:69" ht="13.2">
      <c r="A262" s="1" t="s">
        <v>548</v>
      </c>
      <c r="B262" s="1" t="s">
        <v>549</v>
      </c>
      <c r="C262" s="24" t="str">
        <f>VLOOKUP(B262,Equipe!$A$1:$B$31,2,FALSE)</f>
        <v>Memphis Grizzlies</v>
      </c>
      <c r="D262" s="2">
        <v>27</v>
      </c>
      <c r="E262" s="2">
        <v>64</v>
      </c>
      <c r="F262" s="2">
        <v>37</v>
      </c>
      <c r="G262" s="2">
        <v>27</v>
      </c>
      <c r="H262" s="2">
        <v>11.7</v>
      </c>
      <c r="I262" s="3">
        <v>442</v>
      </c>
      <c r="J262" s="4">
        <v>160</v>
      </c>
      <c r="K262" s="4">
        <v>307</v>
      </c>
      <c r="L262" s="3">
        <v>51.5</v>
      </c>
      <c r="M262" s="4">
        <v>83</v>
      </c>
      <c r="N262" s="4">
        <v>198</v>
      </c>
      <c r="O262" s="3">
        <v>40.5</v>
      </c>
      <c r="P262" s="3">
        <v>45</v>
      </c>
      <c r="Q262" s="3">
        <v>58</v>
      </c>
      <c r="R262" s="3">
        <v>78.599999999999994</v>
      </c>
      <c r="S262" s="4">
        <v>32</v>
      </c>
      <c r="T262" s="4">
        <v>96</v>
      </c>
      <c r="U262" s="4">
        <v>128</v>
      </c>
      <c r="V262" s="4">
        <v>38</v>
      </c>
      <c r="W262" s="4">
        <v>32</v>
      </c>
      <c r="X262" s="4">
        <v>19</v>
      </c>
      <c r="Y262" s="4">
        <v>58</v>
      </c>
      <c r="Z262" s="4">
        <v>77</v>
      </c>
      <c r="AA262" s="3">
        <v>832</v>
      </c>
      <c r="AB262" s="3">
        <v>0</v>
      </c>
      <c r="AC262" s="3">
        <v>0</v>
      </c>
      <c r="AD262" s="2">
        <v>0.4</v>
      </c>
      <c r="AE262" s="2">
        <v>111</v>
      </c>
      <c r="AF262" s="2">
        <v>110.1</v>
      </c>
      <c r="AG262" s="2">
        <v>0.8</v>
      </c>
      <c r="AH262" s="2">
        <v>7.7</v>
      </c>
      <c r="AI262" s="2">
        <v>1.1200000000000001</v>
      </c>
      <c r="AJ262" s="2">
        <v>9.4</v>
      </c>
      <c r="AK262" s="2">
        <v>3.9</v>
      </c>
      <c r="AL262" s="2">
        <v>12</v>
      </c>
      <c r="AM262" s="2">
        <v>8.1</v>
      </c>
      <c r="AN262" s="2">
        <v>8.4</v>
      </c>
      <c r="AO262" s="2">
        <v>64.8</v>
      </c>
      <c r="AP262" s="2">
        <v>66.599999999999994</v>
      </c>
      <c r="AQ262" s="2">
        <v>19.399999999999999</v>
      </c>
      <c r="AR262" s="2">
        <v>106.71</v>
      </c>
      <c r="AS262" s="2">
        <v>10.8</v>
      </c>
      <c r="AT262" s="2">
        <v>1668</v>
      </c>
      <c r="AU262" s="53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6"/>
    </row>
    <row r="263" spans="1:69" ht="13.2">
      <c r="A263" s="1" t="s">
        <v>550</v>
      </c>
      <c r="B263" s="1" t="s">
        <v>551</v>
      </c>
      <c r="C263" s="24" t="str">
        <f>VLOOKUP(B263,Equipe!$A$1:$B$31,2,FALSE)</f>
        <v>Washington Wizards</v>
      </c>
      <c r="D263" s="2">
        <v>33</v>
      </c>
      <c r="E263" s="2">
        <v>37</v>
      </c>
      <c r="F263" s="2">
        <v>18</v>
      </c>
      <c r="G263" s="2">
        <v>19</v>
      </c>
      <c r="H263" s="2">
        <v>22.8</v>
      </c>
      <c r="I263" s="3">
        <v>440</v>
      </c>
      <c r="J263" s="4">
        <v>159</v>
      </c>
      <c r="K263" s="4">
        <v>337</v>
      </c>
      <c r="L263" s="3">
        <v>47.5</v>
      </c>
      <c r="M263" s="4">
        <v>48</v>
      </c>
      <c r="N263" s="4">
        <v>133</v>
      </c>
      <c r="O263" s="3">
        <v>36.1</v>
      </c>
      <c r="P263" s="3">
        <v>70</v>
      </c>
      <c r="Q263" s="3">
        <v>85</v>
      </c>
      <c r="R263" s="3">
        <v>85.7</v>
      </c>
      <c r="S263" s="4">
        <v>15</v>
      </c>
      <c r="T263" s="4">
        <v>126</v>
      </c>
      <c r="U263" s="4">
        <v>137</v>
      </c>
      <c r="V263" s="4">
        <v>152</v>
      </c>
      <c r="W263" s="4">
        <v>56</v>
      </c>
      <c r="X263" s="4">
        <v>33</v>
      </c>
      <c r="Y263" s="4">
        <v>7</v>
      </c>
      <c r="Z263" s="4">
        <v>74</v>
      </c>
      <c r="AA263" s="3">
        <v>903</v>
      </c>
      <c r="AB263" s="3">
        <v>0</v>
      </c>
      <c r="AC263" s="3">
        <v>0</v>
      </c>
      <c r="AD263" s="2">
        <v>1.1000000000000001</v>
      </c>
      <c r="AE263" s="2">
        <v>114.1</v>
      </c>
      <c r="AF263" s="2">
        <v>112.6</v>
      </c>
      <c r="AG263" s="2">
        <v>1.5</v>
      </c>
      <c r="AH263" s="2">
        <v>25.1</v>
      </c>
      <c r="AI263" s="2">
        <v>2.68</v>
      </c>
      <c r="AJ263" s="2">
        <v>26</v>
      </c>
      <c r="AK263" s="2">
        <v>1.5</v>
      </c>
      <c r="AL263" s="2">
        <v>13.2</v>
      </c>
      <c r="AM263" s="2">
        <v>7.6</v>
      </c>
      <c r="AN263" s="2">
        <v>9.6999999999999993</v>
      </c>
      <c r="AO263" s="2">
        <v>54.6</v>
      </c>
      <c r="AP263" s="2">
        <v>58.8</v>
      </c>
      <c r="AQ263" s="2">
        <v>20.8</v>
      </c>
      <c r="AR263" s="2">
        <v>104.75</v>
      </c>
      <c r="AS263" s="2">
        <v>11.4</v>
      </c>
      <c r="AT263" s="2">
        <v>1845</v>
      </c>
      <c r="AU263" s="53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6"/>
    </row>
    <row r="264" spans="1:69" ht="13.2">
      <c r="A264" s="1" t="s">
        <v>552</v>
      </c>
      <c r="B264" s="1" t="s">
        <v>553</v>
      </c>
      <c r="C264" s="24" t="str">
        <f>VLOOKUP(B264,Equipe!$A$1:$B$31,2,FALSE)</f>
        <v>Boston Celtics</v>
      </c>
      <c r="D264" s="2">
        <v>29</v>
      </c>
      <c r="E264" s="2">
        <v>73</v>
      </c>
      <c r="F264" s="2">
        <v>53</v>
      </c>
      <c r="G264" s="2">
        <v>20</v>
      </c>
      <c r="H264" s="2">
        <v>18.600000000000001</v>
      </c>
      <c r="I264" s="3">
        <v>438</v>
      </c>
      <c r="J264" s="4">
        <v>190</v>
      </c>
      <c r="K264" s="4">
        <v>277</v>
      </c>
      <c r="L264" s="3">
        <v>66.8</v>
      </c>
      <c r="M264" s="3">
        <v>0</v>
      </c>
      <c r="N264" s="3">
        <v>0</v>
      </c>
      <c r="O264" s="3">
        <v>0</v>
      </c>
      <c r="P264" s="3">
        <v>66</v>
      </c>
      <c r="Q264" s="3">
        <v>95</v>
      </c>
      <c r="R264" s="3">
        <v>69.099999999999994</v>
      </c>
      <c r="S264" s="4">
        <v>190</v>
      </c>
      <c r="T264" s="4">
        <v>197</v>
      </c>
      <c r="U264" s="4">
        <v>387</v>
      </c>
      <c r="V264" s="4">
        <v>117</v>
      </c>
      <c r="W264" s="4">
        <v>29</v>
      </c>
      <c r="X264" s="4">
        <v>37</v>
      </c>
      <c r="Y264" s="4">
        <v>73</v>
      </c>
      <c r="Z264" s="4">
        <v>117</v>
      </c>
      <c r="AA264" s="3">
        <v>1372</v>
      </c>
      <c r="AB264" s="3">
        <v>3</v>
      </c>
      <c r="AC264" s="3">
        <v>0</v>
      </c>
      <c r="AD264" s="2">
        <v>5.5</v>
      </c>
      <c r="AE264" s="2">
        <v>121.2</v>
      </c>
      <c r="AF264" s="2">
        <v>106.3</v>
      </c>
      <c r="AG264" s="2">
        <v>14.9</v>
      </c>
      <c r="AH264" s="2">
        <v>11.5</v>
      </c>
      <c r="AI264" s="2">
        <v>3.77</v>
      </c>
      <c r="AJ264" s="2">
        <v>24.8</v>
      </c>
      <c r="AK264" s="2">
        <v>13.4</v>
      </c>
      <c r="AL264" s="2">
        <v>13.9</v>
      </c>
      <c r="AM264" s="2">
        <v>13.6</v>
      </c>
      <c r="AN264" s="2">
        <v>6.6</v>
      </c>
      <c r="AO264" s="2">
        <v>66.8</v>
      </c>
      <c r="AP264" s="2">
        <v>68.3</v>
      </c>
      <c r="AQ264" s="2">
        <v>11.1</v>
      </c>
      <c r="AR264" s="2">
        <v>95.87</v>
      </c>
      <c r="AS264" s="2">
        <v>11.4</v>
      </c>
      <c r="AT264" s="2">
        <v>2717</v>
      </c>
      <c r="AU264" s="53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6"/>
    </row>
    <row r="265" spans="1:69" ht="13.2">
      <c r="A265" s="1" t="s">
        <v>554</v>
      </c>
      <c r="B265" s="1" t="s">
        <v>555</v>
      </c>
      <c r="C265" s="24" t="str">
        <f>VLOOKUP(B265,Equipe!$A$1:$B$31,2,FALSE)</f>
        <v>Portland Trail Blazers</v>
      </c>
      <c r="D265" s="2">
        <v>21</v>
      </c>
      <c r="E265" s="2">
        <v>67</v>
      </c>
      <c r="F265" s="2">
        <v>29</v>
      </c>
      <c r="G265" s="2">
        <v>38</v>
      </c>
      <c r="H265" s="2">
        <v>19.8</v>
      </c>
      <c r="I265" s="3">
        <v>436</v>
      </c>
      <c r="J265" s="4">
        <v>181</v>
      </c>
      <c r="K265" s="4">
        <v>335</v>
      </c>
      <c r="L265" s="3">
        <v>53.9</v>
      </c>
      <c r="M265" s="4">
        <v>13</v>
      </c>
      <c r="N265" s="4">
        <v>47</v>
      </c>
      <c r="O265" s="3">
        <v>28.6</v>
      </c>
      <c r="P265" s="3">
        <v>60</v>
      </c>
      <c r="Q265" s="3">
        <v>107</v>
      </c>
      <c r="R265" s="3">
        <v>59.6</v>
      </c>
      <c r="S265" s="4">
        <v>214</v>
      </c>
      <c r="T265" s="4">
        <v>308</v>
      </c>
      <c r="U265" s="4">
        <v>529</v>
      </c>
      <c r="V265" s="4">
        <v>74</v>
      </c>
      <c r="W265" s="4">
        <v>74</v>
      </c>
      <c r="X265" s="4">
        <v>34</v>
      </c>
      <c r="Y265" s="4">
        <v>107</v>
      </c>
      <c r="Z265" s="4">
        <v>188</v>
      </c>
      <c r="AA265" s="3">
        <v>1541</v>
      </c>
      <c r="AB265" s="3">
        <v>8</v>
      </c>
      <c r="AC265" s="3">
        <v>0</v>
      </c>
      <c r="AD265" s="2">
        <v>0</v>
      </c>
      <c r="AE265" s="2">
        <v>109.9</v>
      </c>
      <c r="AF265" s="2">
        <v>109.7</v>
      </c>
      <c r="AG265" s="2">
        <v>0.2</v>
      </c>
      <c r="AH265" s="2">
        <v>8.1</v>
      </c>
      <c r="AI265" s="2">
        <v>1.07</v>
      </c>
      <c r="AJ265" s="2">
        <v>14.6</v>
      </c>
      <c r="AK265" s="2">
        <v>14.4</v>
      </c>
      <c r="AL265" s="2">
        <v>21.8</v>
      </c>
      <c r="AM265" s="2">
        <v>17.899999999999999</v>
      </c>
      <c r="AN265" s="2">
        <v>13.7</v>
      </c>
      <c r="AO265" s="2">
        <v>56</v>
      </c>
      <c r="AP265" s="2">
        <v>57.4</v>
      </c>
      <c r="AQ265" s="2">
        <v>13.5</v>
      </c>
      <c r="AR265" s="2">
        <v>101.68</v>
      </c>
      <c r="AS265" s="2">
        <v>10.5</v>
      </c>
      <c r="AT265" s="2">
        <v>2801</v>
      </c>
      <c r="AU265" s="53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6"/>
    </row>
    <row r="266" spans="1:69" ht="13.2">
      <c r="A266" s="1" t="s">
        <v>556</v>
      </c>
      <c r="B266" s="1" t="s">
        <v>557</v>
      </c>
      <c r="C266" s="24" t="str">
        <f>VLOOKUP(B266,Equipe!$A$1:$B$31,2,FALSE)</f>
        <v>Oklahoma City Thunder</v>
      </c>
      <c r="D266" s="2">
        <v>30</v>
      </c>
      <c r="E266" s="2">
        <v>69</v>
      </c>
      <c r="F266" s="2">
        <v>58</v>
      </c>
      <c r="G266" s="2">
        <v>11</v>
      </c>
      <c r="H266" s="2">
        <v>16.399999999999999</v>
      </c>
      <c r="I266" s="3">
        <v>435</v>
      </c>
      <c r="J266" s="4">
        <v>173</v>
      </c>
      <c r="K266" s="4">
        <v>352</v>
      </c>
      <c r="L266" s="3">
        <v>48.3</v>
      </c>
      <c r="M266" s="4">
        <v>69</v>
      </c>
      <c r="N266" s="4">
        <v>173</v>
      </c>
      <c r="O266" s="3">
        <v>38.6</v>
      </c>
      <c r="P266" s="3">
        <v>28</v>
      </c>
      <c r="Q266" s="3">
        <v>41</v>
      </c>
      <c r="R266" s="3">
        <v>71.8</v>
      </c>
      <c r="S266" s="4">
        <v>62</v>
      </c>
      <c r="T266" s="4">
        <v>179</v>
      </c>
      <c r="U266" s="4">
        <v>242</v>
      </c>
      <c r="V266" s="4">
        <v>97</v>
      </c>
      <c r="W266" s="4">
        <v>41</v>
      </c>
      <c r="X266" s="4">
        <v>41</v>
      </c>
      <c r="Y266" s="4">
        <v>7</v>
      </c>
      <c r="Z266" s="4">
        <v>110</v>
      </c>
      <c r="AA266" s="3">
        <v>994</v>
      </c>
      <c r="AB266" s="3">
        <v>2</v>
      </c>
      <c r="AC266" s="3">
        <v>0</v>
      </c>
      <c r="AD266" s="2">
        <v>4.8</v>
      </c>
      <c r="AE266" s="2">
        <v>118.7</v>
      </c>
      <c r="AF266" s="2">
        <v>104.1</v>
      </c>
      <c r="AG266" s="2">
        <v>14.5</v>
      </c>
      <c r="AH266" s="2">
        <v>11.1</v>
      </c>
      <c r="AI266" s="2">
        <v>2.4900000000000002</v>
      </c>
      <c r="AJ266" s="2">
        <v>19.2</v>
      </c>
      <c r="AK266" s="2">
        <v>5.6</v>
      </c>
      <c r="AL266" s="2">
        <v>14.8</v>
      </c>
      <c r="AM266" s="2">
        <v>10.199999999999999</v>
      </c>
      <c r="AN266" s="2">
        <v>7.7</v>
      </c>
      <c r="AO266" s="2">
        <v>57.6</v>
      </c>
      <c r="AP266" s="2">
        <v>58.7</v>
      </c>
      <c r="AQ266" s="2">
        <v>15.1</v>
      </c>
      <c r="AR266" s="2">
        <v>101.26</v>
      </c>
      <c r="AS266" s="2">
        <v>9.3000000000000007</v>
      </c>
      <c r="AT266" s="2">
        <v>2379</v>
      </c>
      <c r="AU266" s="53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6"/>
    </row>
    <row r="267" spans="1:69" ht="13.2">
      <c r="A267" s="1" t="s">
        <v>558</v>
      </c>
      <c r="B267" s="1" t="s">
        <v>559</v>
      </c>
      <c r="C267" s="24" t="str">
        <f>VLOOKUP(B267,Equipe!$A$1:$B$31,2,FALSE)</f>
        <v>Detroit Pistons</v>
      </c>
      <c r="D267" s="2">
        <v>24</v>
      </c>
      <c r="E267" s="2">
        <v>72</v>
      </c>
      <c r="F267" s="2">
        <v>38</v>
      </c>
      <c r="G267" s="2">
        <v>34</v>
      </c>
      <c r="H267" s="2">
        <v>19.899999999999999</v>
      </c>
      <c r="I267" s="3">
        <v>432</v>
      </c>
      <c r="J267" s="4">
        <v>173</v>
      </c>
      <c r="K267" s="4">
        <v>317</v>
      </c>
      <c r="L267" s="3">
        <v>55.9</v>
      </c>
      <c r="M267" s="4">
        <v>14</v>
      </c>
      <c r="N267" s="4">
        <v>50</v>
      </c>
      <c r="O267" s="3">
        <v>32.1</v>
      </c>
      <c r="P267" s="3">
        <v>65</v>
      </c>
      <c r="Q267" s="3">
        <v>86</v>
      </c>
      <c r="R267" s="3">
        <v>75.900000000000006</v>
      </c>
      <c r="S267" s="4">
        <v>130</v>
      </c>
      <c r="T267" s="4">
        <v>266</v>
      </c>
      <c r="U267" s="4">
        <v>396</v>
      </c>
      <c r="V267" s="4">
        <v>122</v>
      </c>
      <c r="W267" s="4">
        <v>65</v>
      </c>
      <c r="X267" s="4">
        <v>29</v>
      </c>
      <c r="Y267" s="4">
        <v>101</v>
      </c>
      <c r="Z267" s="4">
        <v>180</v>
      </c>
      <c r="AA267" s="3">
        <v>1418</v>
      </c>
      <c r="AB267" s="3">
        <v>2</v>
      </c>
      <c r="AC267" s="3">
        <v>0</v>
      </c>
      <c r="AD267" s="2">
        <v>0.1</v>
      </c>
      <c r="AE267" s="2">
        <v>109.1</v>
      </c>
      <c r="AF267" s="2">
        <v>108.6</v>
      </c>
      <c r="AG267" s="2">
        <v>0.5</v>
      </c>
      <c r="AH267" s="2">
        <v>12</v>
      </c>
      <c r="AI267" s="2">
        <v>1.81</v>
      </c>
      <c r="AJ267" s="2">
        <v>22.7</v>
      </c>
      <c r="AK267" s="2">
        <v>8.6</v>
      </c>
      <c r="AL267" s="2">
        <v>17</v>
      </c>
      <c r="AM267" s="2">
        <v>12.9</v>
      </c>
      <c r="AN267" s="2">
        <v>12.5</v>
      </c>
      <c r="AO267" s="2">
        <v>58.6</v>
      </c>
      <c r="AP267" s="2">
        <v>61.6</v>
      </c>
      <c r="AQ267" s="2">
        <v>12.1</v>
      </c>
      <c r="AR267" s="2">
        <v>101.75</v>
      </c>
      <c r="AS267" s="2">
        <v>9.6</v>
      </c>
      <c r="AT267" s="2">
        <v>3036</v>
      </c>
      <c r="AU267" s="53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6"/>
    </row>
    <row r="268" spans="1:69" ht="13.2">
      <c r="A268" s="1" t="s">
        <v>560</v>
      </c>
      <c r="B268" s="1" t="s">
        <v>561</v>
      </c>
      <c r="C268" s="24" t="str">
        <f>VLOOKUP(B268,Equipe!$A$1:$B$31,2,FALSE)</f>
        <v>Indiana Pacers</v>
      </c>
      <c r="D268" s="2">
        <v>27</v>
      </c>
      <c r="E268" s="2">
        <v>66</v>
      </c>
      <c r="F268" s="2">
        <v>44</v>
      </c>
      <c r="G268" s="2">
        <v>22</v>
      </c>
      <c r="H268" s="2">
        <v>14.6</v>
      </c>
      <c r="I268" s="3">
        <v>429</v>
      </c>
      <c r="J268" s="4">
        <v>165</v>
      </c>
      <c r="K268" s="4">
        <v>323</v>
      </c>
      <c r="L268" s="3">
        <v>50.8</v>
      </c>
      <c r="M268" s="4">
        <v>46</v>
      </c>
      <c r="N268" s="4">
        <v>145</v>
      </c>
      <c r="O268" s="3">
        <v>32.4</v>
      </c>
      <c r="P268" s="3">
        <v>53</v>
      </c>
      <c r="Q268" s="3">
        <v>66</v>
      </c>
      <c r="R268" s="3">
        <v>85.9</v>
      </c>
      <c r="S268" s="4">
        <v>86</v>
      </c>
      <c r="T268" s="4">
        <v>165</v>
      </c>
      <c r="U268" s="4">
        <v>251</v>
      </c>
      <c r="V268" s="4">
        <v>53</v>
      </c>
      <c r="W268" s="4">
        <v>33</v>
      </c>
      <c r="X268" s="4">
        <v>26</v>
      </c>
      <c r="Y268" s="4">
        <v>40</v>
      </c>
      <c r="Z268" s="4">
        <v>79</v>
      </c>
      <c r="AA268" s="3">
        <v>990</v>
      </c>
      <c r="AB268" s="3">
        <v>1</v>
      </c>
      <c r="AC268" s="3">
        <v>0</v>
      </c>
      <c r="AD268" s="2">
        <v>-0.6</v>
      </c>
      <c r="AE268" s="2">
        <v>109.9</v>
      </c>
      <c r="AF268" s="2">
        <v>113.4</v>
      </c>
      <c r="AG268" s="2">
        <v>-3.5</v>
      </c>
      <c r="AH268" s="2">
        <v>7.8</v>
      </c>
      <c r="AI268" s="2">
        <v>1.77</v>
      </c>
      <c r="AJ268" s="2">
        <v>12.4</v>
      </c>
      <c r="AK268" s="2">
        <v>8.5</v>
      </c>
      <c r="AL268" s="2">
        <v>16.899999999999999</v>
      </c>
      <c r="AM268" s="2">
        <v>12.8</v>
      </c>
      <c r="AN268" s="2">
        <v>7</v>
      </c>
      <c r="AO268" s="2">
        <v>58.3</v>
      </c>
      <c r="AP268" s="2">
        <v>61.4</v>
      </c>
      <c r="AQ268" s="2">
        <v>16.2</v>
      </c>
      <c r="AR268" s="2">
        <v>102.45</v>
      </c>
      <c r="AS268" s="2">
        <v>11</v>
      </c>
      <c r="AT268" s="2">
        <v>2071</v>
      </c>
      <c r="AU268" s="53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6"/>
    </row>
    <row r="269" spans="1:69" ht="13.2">
      <c r="A269" s="1" t="s">
        <v>564</v>
      </c>
      <c r="B269" s="1" t="s">
        <v>565</v>
      </c>
      <c r="C269" s="24" t="str">
        <f>VLOOKUP(B269,Equipe!$A$1:$B$31,2,FALSE)</f>
        <v>Toronto Raptors</v>
      </c>
      <c r="D269" s="2">
        <v>24</v>
      </c>
      <c r="E269" s="2">
        <v>59</v>
      </c>
      <c r="F269" s="2">
        <v>21</v>
      </c>
      <c r="G269" s="2">
        <v>38</v>
      </c>
      <c r="H269" s="2">
        <v>17.7</v>
      </c>
      <c r="I269" s="3">
        <v>419</v>
      </c>
      <c r="J269" s="4">
        <v>148</v>
      </c>
      <c r="K269" s="4">
        <v>348</v>
      </c>
      <c r="L269" s="3">
        <v>42.9</v>
      </c>
      <c r="M269" s="4">
        <v>106</v>
      </c>
      <c r="N269" s="4">
        <v>260</v>
      </c>
      <c r="O269" s="3">
        <v>40.5</v>
      </c>
      <c r="P269" s="3">
        <v>18</v>
      </c>
      <c r="Q269" s="3">
        <v>18</v>
      </c>
      <c r="R269" s="3">
        <v>88.9</v>
      </c>
      <c r="S269" s="4">
        <v>35</v>
      </c>
      <c r="T269" s="4">
        <v>124</v>
      </c>
      <c r="U269" s="4">
        <v>159</v>
      </c>
      <c r="V269" s="4">
        <v>53</v>
      </c>
      <c r="W269" s="4">
        <v>30</v>
      </c>
      <c r="X269" s="4">
        <v>18</v>
      </c>
      <c r="Y269" s="4">
        <v>12</v>
      </c>
      <c r="Z269" s="4">
        <v>94</v>
      </c>
      <c r="AA269" s="3">
        <v>743</v>
      </c>
      <c r="AB269" s="3">
        <v>0</v>
      </c>
      <c r="AC269" s="3">
        <v>0</v>
      </c>
      <c r="AD269" s="2">
        <v>-3.1</v>
      </c>
      <c r="AE269" s="2">
        <v>105</v>
      </c>
      <c r="AF269" s="2">
        <v>113.4</v>
      </c>
      <c r="AG269" s="2">
        <v>-8.4</v>
      </c>
      <c r="AH269" s="2">
        <v>7.3</v>
      </c>
      <c r="AI269" s="2">
        <v>1.96</v>
      </c>
      <c r="AJ269" s="2">
        <v>12.2</v>
      </c>
      <c r="AK269" s="2">
        <v>3.2</v>
      </c>
      <c r="AL269" s="2">
        <v>11.7</v>
      </c>
      <c r="AM269" s="2">
        <v>7.2</v>
      </c>
      <c r="AN269" s="2">
        <v>6.2</v>
      </c>
      <c r="AO269" s="2">
        <v>58.1</v>
      </c>
      <c r="AP269" s="2">
        <v>59</v>
      </c>
      <c r="AQ269" s="2">
        <v>14.7</v>
      </c>
      <c r="AR269" s="2">
        <v>102.32</v>
      </c>
      <c r="AS269" s="2">
        <v>7.2</v>
      </c>
      <c r="AT269" s="2">
        <v>2222</v>
      </c>
      <c r="AU269" s="53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6"/>
    </row>
    <row r="270" spans="1:69" ht="13.2">
      <c r="A270" s="1" t="s">
        <v>562</v>
      </c>
      <c r="B270" s="1" t="s">
        <v>563</v>
      </c>
      <c r="C270" s="24" t="str">
        <f>VLOOKUP(B270,Equipe!$A$1:$B$31,2,FALSE)</f>
        <v>Brooklyn Nets</v>
      </c>
      <c r="D270" s="2">
        <v>20</v>
      </c>
      <c r="E270" s="2">
        <v>46</v>
      </c>
      <c r="F270" s="2">
        <v>11</v>
      </c>
      <c r="G270" s="2">
        <v>35</v>
      </c>
      <c r="H270" s="2">
        <v>22.7</v>
      </c>
      <c r="I270" s="3">
        <v>419</v>
      </c>
      <c r="J270" s="4">
        <v>133</v>
      </c>
      <c r="K270" s="4">
        <v>373</v>
      </c>
      <c r="L270" s="3">
        <v>35.799999999999997</v>
      </c>
      <c r="M270" s="4">
        <v>87</v>
      </c>
      <c r="N270" s="4">
        <v>262</v>
      </c>
      <c r="O270" s="3">
        <v>33.299999999999997</v>
      </c>
      <c r="P270" s="3">
        <v>69</v>
      </c>
      <c r="Q270" s="3">
        <v>78</v>
      </c>
      <c r="R270" s="3">
        <v>83.8</v>
      </c>
      <c r="S270" s="4">
        <v>41</v>
      </c>
      <c r="T270" s="4">
        <v>138</v>
      </c>
      <c r="U270" s="4">
        <v>179</v>
      </c>
      <c r="V270" s="4">
        <v>41</v>
      </c>
      <c r="W270" s="4">
        <v>46</v>
      </c>
      <c r="X270" s="4">
        <v>23</v>
      </c>
      <c r="Y270" s="4">
        <v>23</v>
      </c>
      <c r="Z270" s="4">
        <v>106</v>
      </c>
      <c r="AA270" s="3">
        <v>787</v>
      </c>
      <c r="AB270" s="3">
        <v>0</v>
      </c>
      <c r="AC270" s="3">
        <v>0</v>
      </c>
      <c r="AD270" s="2">
        <v>-5.7</v>
      </c>
      <c r="AE270" s="2">
        <v>103</v>
      </c>
      <c r="AF270" s="2">
        <v>115.2</v>
      </c>
      <c r="AG270" s="2">
        <v>-12.3</v>
      </c>
      <c r="AH270" s="2">
        <v>6.3</v>
      </c>
      <c r="AI270" s="2">
        <v>0.87</v>
      </c>
      <c r="AJ270" s="2">
        <v>8.1</v>
      </c>
      <c r="AK270" s="2">
        <v>3.7</v>
      </c>
      <c r="AL270" s="2">
        <v>13.8</v>
      </c>
      <c r="AM270" s="2">
        <v>8.4</v>
      </c>
      <c r="AN270" s="2">
        <v>9.3000000000000007</v>
      </c>
      <c r="AO270" s="2">
        <v>47.4</v>
      </c>
      <c r="AP270" s="2">
        <v>51.6</v>
      </c>
      <c r="AQ270" s="2">
        <v>18.5</v>
      </c>
      <c r="AR270" s="2">
        <v>97.91</v>
      </c>
      <c r="AS270" s="2">
        <v>6.1</v>
      </c>
      <c r="AT270" s="2">
        <v>2126</v>
      </c>
      <c r="AU270" s="53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6"/>
    </row>
    <row r="271" spans="1:69" ht="13.2">
      <c r="A271" s="1" t="s">
        <v>566</v>
      </c>
      <c r="B271" s="1" t="s">
        <v>567</v>
      </c>
      <c r="C271" s="24" t="str">
        <f>VLOOKUP(B271,Equipe!$A$1:$B$31,2,FALSE)</f>
        <v>New Orleans Pelicans</v>
      </c>
      <c r="D271" s="2">
        <v>24</v>
      </c>
      <c r="E271" s="2">
        <v>66</v>
      </c>
      <c r="F271" s="2">
        <v>17</v>
      </c>
      <c r="G271" s="2">
        <v>49</v>
      </c>
      <c r="H271" s="2">
        <v>18.8</v>
      </c>
      <c r="I271" s="3">
        <v>416</v>
      </c>
      <c r="J271" s="4">
        <v>158</v>
      </c>
      <c r="K271" s="4">
        <v>350</v>
      </c>
      <c r="L271" s="3">
        <v>45.5</v>
      </c>
      <c r="M271" s="4">
        <v>53</v>
      </c>
      <c r="N271" s="4">
        <v>165</v>
      </c>
      <c r="O271" s="3">
        <v>34.1</v>
      </c>
      <c r="P271" s="3">
        <v>46</v>
      </c>
      <c r="Q271" s="3">
        <v>53</v>
      </c>
      <c r="R271" s="3">
        <v>83.6</v>
      </c>
      <c r="S271" s="4">
        <v>112</v>
      </c>
      <c r="T271" s="4">
        <v>205</v>
      </c>
      <c r="U271" s="4">
        <v>317</v>
      </c>
      <c r="V271" s="4">
        <v>86</v>
      </c>
      <c r="W271" s="4">
        <v>53</v>
      </c>
      <c r="X271" s="4">
        <v>40</v>
      </c>
      <c r="Y271" s="4">
        <v>7</v>
      </c>
      <c r="Z271" s="4">
        <v>79</v>
      </c>
      <c r="AA271" s="3">
        <v>1016</v>
      </c>
      <c r="AB271" s="3">
        <v>4</v>
      </c>
      <c r="AC271" s="3">
        <v>0</v>
      </c>
      <c r="AD271" s="2">
        <v>-5</v>
      </c>
      <c r="AE271" s="2">
        <v>107.2</v>
      </c>
      <c r="AF271" s="2">
        <v>119</v>
      </c>
      <c r="AG271" s="2">
        <v>-11.8</v>
      </c>
      <c r="AH271" s="2">
        <v>10.1</v>
      </c>
      <c r="AI271" s="2">
        <v>1.73</v>
      </c>
      <c r="AJ271" s="2">
        <v>17.2</v>
      </c>
      <c r="AK271" s="2">
        <v>8.1999999999999993</v>
      </c>
      <c r="AL271" s="2">
        <v>16.600000000000001</v>
      </c>
      <c r="AM271" s="2">
        <v>12.2</v>
      </c>
      <c r="AN271" s="2">
        <v>10</v>
      </c>
      <c r="AO271" s="2">
        <v>53.6</v>
      </c>
      <c r="AP271" s="2">
        <v>56.3</v>
      </c>
      <c r="AQ271" s="2">
        <v>14</v>
      </c>
      <c r="AR271" s="2">
        <v>100.95</v>
      </c>
      <c r="AS271" s="2">
        <v>8.6999999999999993</v>
      </c>
      <c r="AT271" s="2">
        <v>2595</v>
      </c>
      <c r="AU271" s="53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6"/>
    </row>
    <row r="272" spans="1:69" ht="13.2">
      <c r="A272" s="1" t="s">
        <v>568</v>
      </c>
      <c r="B272" s="1" t="s">
        <v>569</v>
      </c>
      <c r="C272" s="24" t="str">
        <f>VLOOKUP(B272,Equipe!$A$1:$B$31,2,FALSE)</f>
        <v>Atlanta Hawks</v>
      </c>
      <c r="D272" s="2">
        <v>24</v>
      </c>
      <c r="E272" s="2">
        <v>57</v>
      </c>
      <c r="F272" s="2">
        <v>28</v>
      </c>
      <c r="G272" s="2">
        <v>29</v>
      </c>
      <c r="H272" s="2">
        <v>20.2</v>
      </c>
      <c r="I272" s="3">
        <v>410</v>
      </c>
      <c r="J272" s="4">
        <v>143</v>
      </c>
      <c r="K272" s="4">
        <v>291</v>
      </c>
      <c r="L272" s="3">
        <v>49.7</v>
      </c>
      <c r="M272" s="4">
        <v>91</v>
      </c>
      <c r="N272" s="4">
        <v>205</v>
      </c>
      <c r="O272" s="3">
        <v>43.7</v>
      </c>
      <c r="P272" s="3">
        <v>34</v>
      </c>
      <c r="Q272" s="3">
        <v>46</v>
      </c>
      <c r="R272" s="3">
        <v>71.099999999999994</v>
      </c>
      <c r="S272" s="4">
        <v>23</v>
      </c>
      <c r="T272" s="4">
        <v>137</v>
      </c>
      <c r="U272" s="4">
        <v>154</v>
      </c>
      <c r="V272" s="4">
        <v>148</v>
      </c>
      <c r="W272" s="4">
        <v>51</v>
      </c>
      <c r="X272" s="4">
        <v>34</v>
      </c>
      <c r="Y272" s="4">
        <v>29</v>
      </c>
      <c r="Z272" s="4">
        <v>103</v>
      </c>
      <c r="AA272" s="3">
        <v>958</v>
      </c>
      <c r="AB272" s="3">
        <v>1</v>
      </c>
      <c r="AC272" s="3">
        <v>0</v>
      </c>
      <c r="AD272" s="2">
        <v>-1.2</v>
      </c>
      <c r="AE272" s="2">
        <v>109.7</v>
      </c>
      <c r="AF272" s="2">
        <v>111.6</v>
      </c>
      <c r="AG272" s="2">
        <v>-1.9</v>
      </c>
      <c r="AH272" s="2">
        <v>17.5</v>
      </c>
      <c r="AI272" s="2">
        <v>2.94</v>
      </c>
      <c r="AJ272" s="2">
        <v>28.9</v>
      </c>
      <c r="AK272" s="2">
        <v>1.9</v>
      </c>
      <c r="AL272" s="2">
        <v>11.6</v>
      </c>
      <c r="AM272" s="2">
        <v>6.7</v>
      </c>
      <c r="AN272" s="2">
        <v>9.8000000000000007</v>
      </c>
      <c r="AO272" s="2">
        <v>65.099999999999994</v>
      </c>
      <c r="AP272" s="2">
        <v>66.099999999999994</v>
      </c>
      <c r="AQ272" s="2">
        <v>13.1</v>
      </c>
      <c r="AR272" s="2">
        <v>102.63</v>
      </c>
      <c r="AS272" s="2">
        <v>8.6</v>
      </c>
      <c r="AT272" s="2">
        <v>2456</v>
      </c>
      <c r="AU272" s="53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6"/>
    </row>
    <row r="273" spans="1:69" ht="13.2">
      <c r="A273" s="1" t="s">
        <v>570</v>
      </c>
      <c r="B273" s="1" t="s">
        <v>571</v>
      </c>
      <c r="C273" s="24" t="str">
        <f>VLOOKUP(B273,Equipe!$A$1:$B$31,2,FALSE)</f>
        <v>Chicago Bulls</v>
      </c>
      <c r="D273" s="2">
        <v>27</v>
      </c>
      <c r="E273" s="2">
        <v>64</v>
      </c>
      <c r="F273" s="2">
        <v>34</v>
      </c>
      <c r="G273" s="2">
        <v>30</v>
      </c>
      <c r="H273" s="2">
        <v>15.3</v>
      </c>
      <c r="I273" s="3">
        <v>410</v>
      </c>
      <c r="J273" s="4">
        <v>154</v>
      </c>
      <c r="K273" s="4">
        <v>301</v>
      </c>
      <c r="L273" s="3">
        <v>50.7</v>
      </c>
      <c r="M273" s="4">
        <v>32</v>
      </c>
      <c r="N273" s="4">
        <v>109</v>
      </c>
      <c r="O273" s="3">
        <v>30.2</v>
      </c>
      <c r="P273" s="3">
        <v>70</v>
      </c>
      <c r="Q273" s="3">
        <v>77</v>
      </c>
      <c r="R273" s="3">
        <v>88.5</v>
      </c>
      <c r="S273" s="4">
        <v>102</v>
      </c>
      <c r="T273" s="4">
        <v>186</v>
      </c>
      <c r="U273" s="4">
        <v>288</v>
      </c>
      <c r="V273" s="4">
        <v>109</v>
      </c>
      <c r="W273" s="4">
        <v>58</v>
      </c>
      <c r="X273" s="4">
        <v>32</v>
      </c>
      <c r="Y273" s="4">
        <v>32</v>
      </c>
      <c r="Z273" s="4">
        <v>134</v>
      </c>
      <c r="AA273" s="3">
        <v>1030</v>
      </c>
      <c r="AB273" s="3">
        <v>4</v>
      </c>
      <c r="AC273" s="3">
        <v>0</v>
      </c>
      <c r="AD273" s="2">
        <v>-0.5</v>
      </c>
      <c r="AE273" s="2">
        <v>109.4</v>
      </c>
      <c r="AF273" s="2">
        <v>109.9</v>
      </c>
      <c r="AG273" s="2">
        <v>-0.4</v>
      </c>
      <c r="AH273" s="2">
        <v>16.2</v>
      </c>
      <c r="AI273" s="2">
        <v>1.85</v>
      </c>
      <c r="AJ273" s="2">
        <v>21.9</v>
      </c>
      <c r="AK273" s="2">
        <v>9.6</v>
      </c>
      <c r="AL273" s="2">
        <v>17.7</v>
      </c>
      <c r="AM273" s="2">
        <v>13.6</v>
      </c>
      <c r="AN273" s="2">
        <v>11.8</v>
      </c>
      <c r="AO273" s="2">
        <v>56</v>
      </c>
      <c r="AP273" s="2">
        <v>60.5</v>
      </c>
      <c r="AQ273" s="2">
        <v>16.600000000000001</v>
      </c>
      <c r="AR273" s="2">
        <v>102.77</v>
      </c>
      <c r="AS273" s="2">
        <v>10.6</v>
      </c>
      <c r="AT273" s="2">
        <v>2083</v>
      </c>
      <c r="AU273" s="53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6"/>
    </row>
    <row r="274" spans="1:69" ht="13.2">
      <c r="A274" s="1" t="s">
        <v>572</v>
      </c>
      <c r="B274" s="1" t="s">
        <v>573</v>
      </c>
      <c r="C274" s="24" t="str">
        <f>VLOOKUP(B274,Equipe!$A$1:$B$31,2,FALSE)</f>
        <v>Golden State Warriors</v>
      </c>
      <c r="D274" s="2">
        <v>25</v>
      </c>
      <c r="E274" s="2">
        <v>62</v>
      </c>
      <c r="F274" s="2">
        <v>33</v>
      </c>
      <c r="G274" s="2">
        <v>29</v>
      </c>
      <c r="H274" s="2">
        <v>15.6</v>
      </c>
      <c r="I274" s="3">
        <v>409</v>
      </c>
      <c r="J274" s="4">
        <v>174</v>
      </c>
      <c r="K274" s="4">
        <v>304</v>
      </c>
      <c r="L274" s="3">
        <v>57.6</v>
      </c>
      <c r="M274" s="3">
        <v>0</v>
      </c>
      <c r="N274" s="3">
        <v>0</v>
      </c>
      <c r="O274" s="3">
        <v>0</v>
      </c>
      <c r="P274" s="3">
        <v>62</v>
      </c>
      <c r="Q274" s="3">
        <v>99</v>
      </c>
      <c r="R274" s="3">
        <v>57.8</v>
      </c>
      <c r="S274" s="4">
        <v>124</v>
      </c>
      <c r="T274" s="4">
        <v>186</v>
      </c>
      <c r="U274" s="4">
        <v>310</v>
      </c>
      <c r="V274" s="4">
        <v>105</v>
      </c>
      <c r="W274" s="4">
        <v>43</v>
      </c>
      <c r="X274" s="4">
        <v>25</v>
      </c>
      <c r="Y274" s="4">
        <v>37</v>
      </c>
      <c r="Z274" s="4">
        <v>74</v>
      </c>
      <c r="AA274" s="3">
        <v>1073</v>
      </c>
      <c r="AB274" s="3">
        <v>4</v>
      </c>
      <c r="AC274" s="3">
        <v>0</v>
      </c>
      <c r="AD274" s="2">
        <v>-1</v>
      </c>
      <c r="AE274" s="2">
        <v>107.8</v>
      </c>
      <c r="AF274" s="2">
        <v>111.3</v>
      </c>
      <c r="AG274" s="2">
        <v>-3.5</v>
      </c>
      <c r="AH274" s="2">
        <v>16.3</v>
      </c>
      <c r="AI274" s="2">
        <v>2.31</v>
      </c>
      <c r="AJ274" s="2">
        <v>21.1</v>
      </c>
      <c r="AK274" s="2">
        <v>11.5</v>
      </c>
      <c r="AL274" s="2">
        <v>19.2</v>
      </c>
      <c r="AM274" s="2">
        <v>15.2</v>
      </c>
      <c r="AN274" s="2">
        <v>9.1</v>
      </c>
      <c r="AO274" s="2">
        <v>57.6</v>
      </c>
      <c r="AP274" s="2">
        <v>58.7</v>
      </c>
      <c r="AQ274" s="2">
        <v>16.399999999999999</v>
      </c>
      <c r="AR274" s="2">
        <v>101.53</v>
      </c>
      <c r="AS274" s="2">
        <v>12</v>
      </c>
      <c r="AT274" s="2">
        <v>2050</v>
      </c>
      <c r="AU274" s="53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6"/>
    </row>
    <row r="275" spans="1:69" ht="13.2">
      <c r="A275" s="1" t="s">
        <v>574</v>
      </c>
      <c r="B275" s="1" t="s">
        <v>575</v>
      </c>
      <c r="C275" s="24" t="str">
        <f>VLOOKUP(B275,Equipe!$A$1:$B$31,2,FALSE)</f>
        <v>Charlotte Hornets</v>
      </c>
      <c r="D275" s="2">
        <v>23</v>
      </c>
      <c r="E275" s="2">
        <v>71</v>
      </c>
      <c r="F275" s="2">
        <v>15</v>
      </c>
      <c r="G275" s="2">
        <v>56</v>
      </c>
      <c r="H275" s="2">
        <v>17.5</v>
      </c>
      <c r="I275" s="3">
        <v>405</v>
      </c>
      <c r="J275" s="4">
        <v>170</v>
      </c>
      <c r="K275" s="4">
        <v>277</v>
      </c>
      <c r="L275" s="3">
        <v>59.6</v>
      </c>
      <c r="M275" s="3">
        <v>0</v>
      </c>
      <c r="N275" s="4">
        <v>7</v>
      </c>
      <c r="O275" s="3">
        <v>0</v>
      </c>
      <c r="P275" s="3">
        <v>71</v>
      </c>
      <c r="Q275" s="3">
        <v>114</v>
      </c>
      <c r="R275" s="3">
        <v>59.5</v>
      </c>
      <c r="S275" s="4">
        <v>185</v>
      </c>
      <c r="T275" s="4">
        <v>249</v>
      </c>
      <c r="U275" s="4">
        <v>440</v>
      </c>
      <c r="V275" s="4">
        <v>57</v>
      </c>
      <c r="W275" s="4">
        <v>64</v>
      </c>
      <c r="X275" s="4">
        <v>43</v>
      </c>
      <c r="Y275" s="4">
        <v>43</v>
      </c>
      <c r="Z275" s="4">
        <v>107</v>
      </c>
      <c r="AA275" s="3">
        <v>1207</v>
      </c>
      <c r="AB275" s="3">
        <v>7</v>
      </c>
      <c r="AC275" s="3">
        <v>0</v>
      </c>
      <c r="AD275" s="2">
        <v>-1.7</v>
      </c>
      <c r="AE275" s="2">
        <v>106.9</v>
      </c>
      <c r="AF275" s="2">
        <v>110.3</v>
      </c>
      <c r="AG275" s="2">
        <v>-3.4</v>
      </c>
      <c r="AH275" s="2">
        <v>6.9</v>
      </c>
      <c r="AI275" s="2">
        <v>0.92</v>
      </c>
      <c r="AJ275" s="2">
        <v>12.5</v>
      </c>
      <c r="AK275" s="2">
        <v>13.5</v>
      </c>
      <c r="AL275" s="2">
        <v>20.9</v>
      </c>
      <c r="AM275" s="2">
        <v>16.899999999999999</v>
      </c>
      <c r="AN275" s="2">
        <v>13.6</v>
      </c>
      <c r="AO275" s="2">
        <v>59.6</v>
      </c>
      <c r="AP275" s="2">
        <v>60.9</v>
      </c>
      <c r="AQ275" s="2">
        <v>13</v>
      </c>
      <c r="AR275" s="2">
        <v>97.32</v>
      </c>
      <c r="AS275" s="2">
        <v>11.5</v>
      </c>
      <c r="AT275" s="2">
        <v>2498</v>
      </c>
      <c r="AU275" s="53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6"/>
    </row>
    <row r="276" spans="1:69" ht="13.2">
      <c r="A276" s="1" t="s">
        <v>576</v>
      </c>
      <c r="B276" s="1" t="s">
        <v>577</v>
      </c>
      <c r="C276" s="24" t="str">
        <f>VLOOKUP(B276,Equipe!$A$1:$B$31,2,FALSE)</f>
        <v>Golden State Warriors</v>
      </c>
      <c r="D276" s="2">
        <v>32</v>
      </c>
      <c r="E276" s="2">
        <v>62</v>
      </c>
      <c r="F276" s="2">
        <v>36</v>
      </c>
      <c r="G276" s="2">
        <v>26</v>
      </c>
      <c r="H276" s="2">
        <v>15</v>
      </c>
      <c r="I276" s="3">
        <v>403</v>
      </c>
      <c r="J276" s="4">
        <v>174</v>
      </c>
      <c r="K276" s="4">
        <v>298</v>
      </c>
      <c r="L276" s="3">
        <v>57.4</v>
      </c>
      <c r="M276" s="4">
        <v>31</v>
      </c>
      <c r="N276" s="4">
        <v>93</v>
      </c>
      <c r="O276" s="3">
        <v>32.6</v>
      </c>
      <c r="P276" s="3">
        <v>25</v>
      </c>
      <c r="Q276" s="3">
        <v>37</v>
      </c>
      <c r="R276" s="3">
        <v>71.099999999999994</v>
      </c>
      <c r="S276" s="4">
        <v>56</v>
      </c>
      <c r="T276" s="4">
        <v>130</v>
      </c>
      <c r="U276" s="4">
        <v>186</v>
      </c>
      <c r="V276" s="4">
        <v>81</v>
      </c>
      <c r="W276" s="4">
        <v>37</v>
      </c>
      <c r="X276" s="4">
        <v>50</v>
      </c>
      <c r="Y276" s="4">
        <v>19</v>
      </c>
      <c r="Z276" s="4">
        <v>105</v>
      </c>
      <c r="AA276" s="3">
        <v>918</v>
      </c>
      <c r="AB276" s="3">
        <v>0</v>
      </c>
      <c r="AC276" s="3">
        <v>0</v>
      </c>
      <c r="AD276" s="2">
        <v>0.7</v>
      </c>
      <c r="AE276" s="2">
        <v>113.5</v>
      </c>
      <c r="AF276" s="2">
        <v>110.1</v>
      </c>
      <c r="AG276" s="2">
        <v>3.4</v>
      </c>
      <c r="AH276" s="2">
        <v>13.2</v>
      </c>
      <c r="AI276" s="2">
        <v>2.13</v>
      </c>
      <c r="AJ276" s="2">
        <v>19.100000000000001</v>
      </c>
      <c r="AK276" s="2">
        <v>5.6</v>
      </c>
      <c r="AL276" s="2">
        <v>13.4</v>
      </c>
      <c r="AM276" s="2">
        <v>9.6</v>
      </c>
      <c r="AN276" s="2">
        <v>9</v>
      </c>
      <c r="AO276" s="2">
        <v>62.6</v>
      </c>
      <c r="AP276" s="2">
        <v>63.5</v>
      </c>
      <c r="AQ276" s="2">
        <v>15.6</v>
      </c>
      <c r="AR276" s="2">
        <v>102.12</v>
      </c>
      <c r="AS276" s="2">
        <v>10.4</v>
      </c>
      <c r="AT276" s="2">
        <v>1963</v>
      </c>
      <c r="AU276" s="53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6"/>
    </row>
    <row r="277" spans="1:69" ht="13.2">
      <c r="A277" s="1" t="s">
        <v>578</v>
      </c>
      <c r="B277" s="1" t="s">
        <v>579</v>
      </c>
      <c r="C277" s="24" t="str">
        <f>VLOOKUP(B277,Equipe!$A$1:$B$31,2,FALSE)</f>
        <v>Toronto Raptors</v>
      </c>
      <c r="D277" s="2">
        <v>27</v>
      </c>
      <c r="E277" s="2">
        <v>18</v>
      </c>
      <c r="F277" s="2">
        <v>5</v>
      </c>
      <c r="G277" s="2">
        <v>13</v>
      </c>
      <c r="H277" s="2">
        <v>33.1</v>
      </c>
      <c r="I277" s="3">
        <v>400</v>
      </c>
      <c r="J277" s="4">
        <v>155</v>
      </c>
      <c r="K277" s="4">
        <v>333</v>
      </c>
      <c r="L277" s="3">
        <v>46.5</v>
      </c>
      <c r="M277" s="4">
        <v>43</v>
      </c>
      <c r="N277" s="4">
        <v>115</v>
      </c>
      <c r="O277" s="3">
        <v>37.4</v>
      </c>
      <c r="P277" s="3">
        <v>47</v>
      </c>
      <c r="Q277" s="3">
        <v>56</v>
      </c>
      <c r="R277" s="3">
        <v>85.5</v>
      </c>
      <c r="S277" s="4">
        <v>16</v>
      </c>
      <c r="T277" s="4">
        <v>83</v>
      </c>
      <c r="U277" s="4">
        <v>101</v>
      </c>
      <c r="V277" s="4">
        <v>94</v>
      </c>
      <c r="W277" s="4">
        <v>68</v>
      </c>
      <c r="X277" s="4">
        <v>16</v>
      </c>
      <c r="Y277" s="4">
        <v>11</v>
      </c>
      <c r="Z277" s="4">
        <v>45</v>
      </c>
      <c r="AA277" s="3">
        <v>671</v>
      </c>
      <c r="AB277" s="3">
        <v>0</v>
      </c>
      <c r="AC277" s="3">
        <v>0</v>
      </c>
      <c r="AD277" s="2">
        <v>-7.1</v>
      </c>
      <c r="AE277" s="2">
        <v>107</v>
      </c>
      <c r="AF277" s="2">
        <v>117.7</v>
      </c>
      <c r="AG277" s="2">
        <v>-10.7</v>
      </c>
      <c r="AH277" s="2">
        <v>28</v>
      </c>
      <c r="AI277" s="2">
        <v>1.35</v>
      </c>
      <c r="AJ277" s="2">
        <v>18</v>
      </c>
      <c r="AK277" s="2">
        <v>2.7</v>
      </c>
      <c r="AL277" s="2">
        <v>14</v>
      </c>
      <c r="AM277" s="2">
        <v>8.3000000000000007</v>
      </c>
      <c r="AN277" s="2">
        <v>13.3</v>
      </c>
      <c r="AO277" s="2">
        <v>53</v>
      </c>
      <c r="AP277" s="2">
        <v>56</v>
      </c>
      <c r="AQ277" s="2">
        <v>30.5</v>
      </c>
      <c r="AR277" s="2">
        <v>97.49</v>
      </c>
      <c r="AS277" s="2">
        <v>12.2</v>
      </c>
      <c r="AT277" s="2">
        <v>1209</v>
      </c>
      <c r="AU277" s="53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6"/>
    </row>
    <row r="278" spans="1:69" ht="13.2">
      <c r="A278" s="1" t="s">
        <v>580</v>
      </c>
      <c r="B278" s="1" t="s">
        <v>581</v>
      </c>
      <c r="C278" s="24" t="str">
        <f>VLOOKUP(B278,Equipe!$A$1:$B$31,2,FALSE)</f>
        <v>Brooklyn Nets</v>
      </c>
      <c r="D278" s="2">
        <v>23</v>
      </c>
      <c r="E278" s="2">
        <v>50</v>
      </c>
      <c r="F278" s="2">
        <v>14</v>
      </c>
      <c r="G278" s="2">
        <v>36</v>
      </c>
      <c r="H278" s="2">
        <v>18.100000000000001</v>
      </c>
      <c r="I278" s="3">
        <v>395</v>
      </c>
      <c r="J278" s="4">
        <v>165</v>
      </c>
      <c r="K278" s="4">
        <v>315</v>
      </c>
      <c r="L278" s="3">
        <v>52.1</v>
      </c>
      <c r="M278" s="4">
        <v>10</v>
      </c>
      <c r="N278" s="4">
        <v>45</v>
      </c>
      <c r="O278" s="3">
        <v>24.4</v>
      </c>
      <c r="P278" s="3">
        <v>55</v>
      </c>
      <c r="Q278" s="3">
        <v>75</v>
      </c>
      <c r="R278" s="3">
        <v>75.7</v>
      </c>
      <c r="S278" s="4">
        <v>150</v>
      </c>
      <c r="T278" s="4">
        <v>180</v>
      </c>
      <c r="U278" s="4">
        <v>330</v>
      </c>
      <c r="V278" s="4">
        <v>90</v>
      </c>
      <c r="W278" s="4">
        <v>65</v>
      </c>
      <c r="X278" s="4">
        <v>40</v>
      </c>
      <c r="Y278" s="4">
        <v>40</v>
      </c>
      <c r="Z278" s="4">
        <v>115</v>
      </c>
      <c r="AA278" s="3">
        <v>1115</v>
      </c>
      <c r="AB278" s="3">
        <v>4</v>
      </c>
      <c r="AC278" s="3">
        <v>0</v>
      </c>
      <c r="AD278" s="2">
        <v>1.3</v>
      </c>
      <c r="AE278" s="2">
        <v>109.2</v>
      </c>
      <c r="AF278" s="2">
        <v>107.1</v>
      </c>
      <c r="AG278" s="2">
        <v>2.1</v>
      </c>
      <c r="AH278" s="2">
        <v>15.8</v>
      </c>
      <c r="AI278" s="2">
        <v>1.44</v>
      </c>
      <c r="AJ278" s="2">
        <v>18.100000000000001</v>
      </c>
      <c r="AK278" s="2">
        <v>14.9</v>
      </c>
      <c r="AL278" s="2">
        <v>20.2</v>
      </c>
      <c r="AM278" s="2">
        <v>17.399999999999999</v>
      </c>
      <c r="AN278" s="2">
        <v>12.5</v>
      </c>
      <c r="AO278" s="2">
        <v>53.8</v>
      </c>
      <c r="AP278" s="2">
        <v>56.8</v>
      </c>
      <c r="AQ278" s="2">
        <v>18.600000000000001</v>
      </c>
      <c r="AR278" s="2">
        <v>97.35</v>
      </c>
      <c r="AS278" s="2">
        <v>13.4</v>
      </c>
      <c r="AT278" s="2">
        <v>1852</v>
      </c>
      <c r="AU278" s="53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6"/>
    </row>
    <row r="279" spans="1:69" ht="13.2">
      <c r="A279" s="1" t="s">
        <v>582</v>
      </c>
      <c r="B279" s="1" t="s">
        <v>583</v>
      </c>
      <c r="C279" s="24" t="str">
        <f>VLOOKUP(B279,Equipe!$A$1:$B$31,2,FALSE)</f>
        <v>Toronto Raptors</v>
      </c>
      <c r="D279" s="2">
        <v>23</v>
      </c>
      <c r="E279" s="2">
        <v>63</v>
      </c>
      <c r="F279" s="2">
        <v>18</v>
      </c>
      <c r="G279" s="2">
        <v>45</v>
      </c>
      <c r="H279" s="2">
        <v>20.399999999999999</v>
      </c>
      <c r="I279" s="3">
        <v>391</v>
      </c>
      <c r="J279" s="4">
        <v>158</v>
      </c>
      <c r="K279" s="4">
        <v>359</v>
      </c>
      <c r="L279" s="3">
        <v>43.8</v>
      </c>
      <c r="M279" s="4">
        <v>19</v>
      </c>
      <c r="N279" s="4">
        <v>69</v>
      </c>
      <c r="O279" s="3">
        <v>24.3</v>
      </c>
      <c r="P279" s="3">
        <v>63</v>
      </c>
      <c r="Q279" s="3">
        <v>82</v>
      </c>
      <c r="R279" s="3">
        <v>73.2</v>
      </c>
      <c r="S279" s="4">
        <v>107</v>
      </c>
      <c r="T279" s="4">
        <v>202</v>
      </c>
      <c r="U279" s="4">
        <v>309</v>
      </c>
      <c r="V279" s="4">
        <v>145</v>
      </c>
      <c r="W279" s="4">
        <v>69</v>
      </c>
      <c r="X279" s="4">
        <v>57</v>
      </c>
      <c r="Y279" s="4">
        <v>32</v>
      </c>
      <c r="Z279" s="4">
        <v>139</v>
      </c>
      <c r="AA279" s="3">
        <v>1178</v>
      </c>
      <c r="AB279" s="3">
        <v>3</v>
      </c>
      <c r="AC279" s="3">
        <v>1</v>
      </c>
      <c r="AD279" s="2">
        <v>-3.8</v>
      </c>
      <c r="AE279" s="2">
        <v>103.7</v>
      </c>
      <c r="AF279" s="2">
        <v>111.9</v>
      </c>
      <c r="AG279" s="2">
        <v>-8.1999999999999993</v>
      </c>
      <c r="AH279" s="2">
        <v>16</v>
      </c>
      <c r="AI279" s="2">
        <v>2.09</v>
      </c>
      <c r="AJ279" s="2">
        <v>24.1</v>
      </c>
      <c r="AK279" s="2">
        <v>7.6</v>
      </c>
      <c r="AL279" s="2">
        <v>15.7</v>
      </c>
      <c r="AM279" s="2">
        <v>11.4</v>
      </c>
      <c r="AN279" s="2">
        <v>11.5</v>
      </c>
      <c r="AO279" s="2">
        <v>46.2</v>
      </c>
      <c r="AP279" s="2">
        <v>49.6</v>
      </c>
      <c r="AQ279" s="2">
        <v>14.5</v>
      </c>
      <c r="AR279" s="2">
        <v>102.69</v>
      </c>
      <c r="AS279" s="2">
        <v>8.3000000000000007</v>
      </c>
      <c r="AT279" s="2">
        <v>2743</v>
      </c>
      <c r="AU279" s="53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6"/>
    </row>
    <row r="280" spans="1:69" ht="13.2">
      <c r="A280" s="1" t="s">
        <v>584</v>
      </c>
      <c r="B280" s="1" t="s">
        <v>585</v>
      </c>
      <c r="C280" s="24" t="str">
        <f>VLOOKUP(B280,Equipe!$A$1:$B$31,2,FALSE)</f>
        <v>Orlando Magic</v>
      </c>
      <c r="D280" s="2">
        <v>28</v>
      </c>
      <c r="E280" s="2">
        <v>30</v>
      </c>
      <c r="F280" s="2">
        <v>18</v>
      </c>
      <c r="G280" s="2">
        <v>12</v>
      </c>
      <c r="H280" s="2">
        <v>18.8</v>
      </c>
      <c r="I280" s="3">
        <v>387</v>
      </c>
      <c r="J280" s="4">
        <v>141</v>
      </c>
      <c r="K280" s="4">
        <v>249</v>
      </c>
      <c r="L280" s="3">
        <v>56.2</v>
      </c>
      <c r="M280" s="4">
        <v>27</v>
      </c>
      <c r="N280" s="4">
        <v>75</v>
      </c>
      <c r="O280" s="3">
        <v>36</v>
      </c>
      <c r="P280" s="3">
        <v>78</v>
      </c>
      <c r="Q280" s="3">
        <v>111</v>
      </c>
      <c r="R280" s="3">
        <v>71.8</v>
      </c>
      <c r="S280" s="4">
        <v>39</v>
      </c>
      <c r="T280" s="4">
        <v>108</v>
      </c>
      <c r="U280" s="4">
        <v>147</v>
      </c>
      <c r="V280" s="4">
        <v>42</v>
      </c>
      <c r="W280" s="4">
        <v>48</v>
      </c>
      <c r="X280" s="4">
        <v>24</v>
      </c>
      <c r="Y280" s="4">
        <v>12</v>
      </c>
      <c r="Z280" s="4">
        <v>54</v>
      </c>
      <c r="AA280" s="3">
        <v>687</v>
      </c>
      <c r="AB280" s="3">
        <v>1</v>
      </c>
      <c r="AC280" s="3">
        <v>0</v>
      </c>
      <c r="AD280" s="2">
        <v>-0.6</v>
      </c>
      <c r="AE280" s="2">
        <v>106.1</v>
      </c>
      <c r="AF280" s="2">
        <v>107</v>
      </c>
      <c r="AG280" s="2">
        <v>-0.9</v>
      </c>
      <c r="AH280" s="2">
        <v>13.5</v>
      </c>
      <c r="AI280" s="2">
        <v>0.86</v>
      </c>
      <c r="AJ280" s="2">
        <v>10.9</v>
      </c>
      <c r="AK280" s="2">
        <v>6.7</v>
      </c>
      <c r="AL280" s="2">
        <v>20.100000000000001</v>
      </c>
      <c r="AM280" s="2">
        <v>13.1</v>
      </c>
      <c r="AN280" s="2">
        <v>12.7</v>
      </c>
      <c r="AO280" s="2">
        <v>61.6</v>
      </c>
      <c r="AP280" s="2">
        <v>64.900000000000006</v>
      </c>
      <c r="AQ280" s="2">
        <v>25.4</v>
      </c>
      <c r="AR280" s="2">
        <v>99.97</v>
      </c>
      <c r="AS280" s="2">
        <v>16.5</v>
      </c>
      <c r="AT280" s="2">
        <v>1172</v>
      </c>
      <c r="AU280" s="53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6"/>
    </row>
    <row r="281" spans="1:69" ht="13.2">
      <c r="A281" s="1" t="s">
        <v>586</v>
      </c>
      <c r="B281" s="1" t="s">
        <v>587</v>
      </c>
      <c r="C281" s="24" t="str">
        <f>VLOOKUP(B281,Equipe!$A$1:$B$31,2,FALSE)</f>
        <v>San Antonio Spurs</v>
      </c>
      <c r="D281" s="2">
        <v>26</v>
      </c>
      <c r="E281" s="2">
        <v>61</v>
      </c>
      <c r="F281" s="2">
        <v>23</v>
      </c>
      <c r="G281" s="2">
        <v>38</v>
      </c>
      <c r="H281" s="2">
        <v>11.2</v>
      </c>
      <c r="I281" s="3">
        <v>384</v>
      </c>
      <c r="J281" s="4">
        <v>140</v>
      </c>
      <c r="K281" s="4">
        <v>281</v>
      </c>
      <c r="L281" s="3">
        <v>50.2</v>
      </c>
      <c r="M281" s="4">
        <v>61</v>
      </c>
      <c r="N281" s="4">
        <v>159</v>
      </c>
      <c r="O281" s="3">
        <v>37.299999999999997</v>
      </c>
      <c r="P281" s="3">
        <v>43</v>
      </c>
      <c r="Q281" s="3">
        <v>61</v>
      </c>
      <c r="R281" s="3">
        <v>74.099999999999994</v>
      </c>
      <c r="S281" s="4">
        <v>61</v>
      </c>
      <c r="T281" s="4">
        <v>122</v>
      </c>
      <c r="U281" s="4">
        <v>189</v>
      </c>
      <c r="V281" s="4">
        <v>49</v>
      </c>
      <c r="W281" s="4">
        <v>24</v>
      </c>
      <c r="X281" s="4">
        <v>18</v>
      </c>
      <c r="Y281" s="4">
        <v>18</v>
      </c>
      <c r="Z281" s="4">
        <v>61</v>
      </c>
      <c r="AA281" s="3">
        <v>769</v>
      </c>
      <c r="AB281" s="3">
        <v>2</v>
      </c>
      <c r="AC281" s="3">
        <v>0</v>
      </c>
      <c r="AD281" s="2">
        <v>-0.5</v>
      </c>
      <c r="AE281" s="2">
        <v>111.6</v>
      </c>
      <c r="AF281" s="2">
        <v>112.9</v>
      </c>
      <c r="AG281" s="2">
        <v>-1.4</v>
      </c>
      <c r="AH281" s="2">
        <v>10.8</v>
      </c>
      <c r="AI281" s="2">
        <v>1.85</v>
      </c>
      <c r="AJ281" s="2">
        <v>12.6</v>
      </c>
      <c r="AK281" s="2">
        <v>8.6</v>
      </c>
      <c r="AL281" s="2">
        <v>17.600000000000001</v>
      </c>
      <c r="AM281" s="2">
        <v>13.1</v>
      </c>
      <c r="AN281" s="2">
        <v>6.8</v>
      </c>
      <c r="AO281" s="2">
        <v>60.9</v>
      </c>
      <c r="AP281" s="2">
        <v>62.8</v>
      </c>
      <c r="AQ281" s="2">
        <v>20.2</v>
      </c>
      <c r="AR281" s="2">
        <v>102.07</v>
      </c>
      <c r="AS281" s="2">
        <v>12.4</v>
      </c>
      <c r="AT281" s="2">
        <v>1445</v>
      </c>
      <c r="AU281" s="53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6"/>
    </row>
    <row r="282" spans="1:69" ht="13.2">
      <c r="A282" s="1" t="s">
        <v>590</v>
      </c>
      <c r="B282" s="1" t="s">
        <v>591</v>
      </c>
      <c r="C282" s="24" t="str">
        <f>VLOOKUP(B282,Equipe!$A$1:$B$31,2,FALSE)</f>
        <v>Oklahoma City Thunder</v>
      </c>
      <c r="D282" s="2">
        <v>31</v>
      </c>
      <c r="E282" s="2">
        <v>54</v>
      </c>
      <c r="F282" s="2">
        <v>44</v>
      </c>
      <c r="G282" s="2">
        <v>10</v>
      </c>
      <c r="H282" s="2">
        <v>19.3</v>
      </c>
      <c r="I282" s="3">
        <v>383</v>
      </c>
      <c r="J282" s="4">
        <v>140</v>
      </c>
      <c r="K282" s="4">
        <v>313</v>
      </c>
      <c r="L282" s="3">
        <v>44.6</v>
      </c>
      <c r="M282" s="4">
        <v>59</v>
      </c>
      <c r="N282" s="4">
        <v>167</v>
      </c>
      <c r="O282" s="3">
        <v>35.299999999999997</v>
      </c>
      <c r="P282" s="3">
        <v>43</v>
      </c>
      <c r="Q282" s="3">
        <v>49</v>
      </c>
      <c r="R282" s="3">
        <v>82.4</v>
      </c>
      <c r="S282" s="4">
        <v>38</v>
      </c>
      <c r="T282" s="4">
        <v>119</v>
      </c>
      <c r="U282" s="4">
        <v>157</v>
      </c>
      <c r="V282" s="4">
        <v>135</v>
      </c>
      <c r="W282" s="4">
        <v>38</v>
      </c>
      <c r="X282" s="4">
        <v>86</v>
      </c>
      <c r="Y282" s="4">
        <v>32</v>
      </c>
      <c r="Z282" s="4">
        <v>103</v>
      </c>
      <c r="AA282" s="3">
        <v>1091</v>
      </c>
      <c r="AB282" s="3">
        <v>0</v>
      </c>
      <c r="AC282" s="3">
        <v>0</v>
      </c>
      <c r="AD282" s="2">
        <v>5.9</v>
      </c>
      <c r="AE282" s="2">
        <v>117.5</v>
      </c>
      <c r="AF282" s="2">
        <v>102.5</v>
      </c>
      <c r="AG282" s="2">
        <v>15</v>
      </c>
      <c r="AH282" s="2">
        <v>17.100000000000001</v>
      </c>
      <c r="AI282" s="2">
        <v>3.7</v>
      </c>
      <c r="AJ282" s="2">
        <v>26.9</v>
      </c>
      <c r="AK282" s="2">
        <v>3.5</v>
      </c>
      <c r="AL282" s="2">
        <v>10.8</v>
      </c>
      <c r="AM282" s="2">
        <v>7.2</v>
      </c>
      <c r="AN282" s="2">
        <v>7.3</v>
      </c>
      <c r="AO282" s="2">
        <v>54.1</v>
      </c>
      <c r="AP282" s="2">
        <v>56.8</v>
      </c>
      <c r="AQ282" s="2">
        <v>14.7</v>
      </c>
      <c r="AR282" s="2">
        <v>102.7</v>
      </c>
      <c r="AS282" s="2">
        <v>10.1</v>
      </c>
      <c r="AT282" s="2">
        <v>2221</v>
      </c>
      <c r="AU282" s="53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6"/>
    </row>
    <row r="283" spans="1:69" ht="13.2">
      <c r="A283" s="1" t="s">
        <v>588</v>
      </c>
      <c r="B283" s="1" t="s">
        <v>589</v>
      </c>
      <c r="C283" s="24" t="str">
        <f>VLOOKUP(B283,Equipe!$A$1:$B$31,2,FALSE)</f>
        <v>New Orleans Pelicans</v>
      </c>
      <c r="D283" s="2">
        <v>34</v>
      </c>
      <c r="E283" s="2">
        <v>44</v>
      </c>
      <c r="F283" s="2">
        <v>12</v>
      </c>
      <c r="G283" s="2">
        <v>32</v>
      </c>
      <c r="H283" s="2">
        <v>20.2</v>
      </c>
      <c r="I283" s="3">
        <v>383</v>
      </c>
      <c r="J283" s="4">
        <v>132</v>
      </c>
      <c r="K283" s="4">
        <v>268</v>
      </c>
      <c r="L283" s="3">
        <v>50</v>
      </c>
      <c r="M283" s="4">
        <v>35</v>
      </c>
      <c r="N283" s="4">
        <v>79</v>
      </c>
      <c r="O283" s="3">
        <v>41.8</v>
      </c>
      <c r="P283" s="3">
        <v>84</v>
      </c>
      <c r="Q283" s="3">
        <v>110</v>
      </c>
      <c r="R283" s="3">
        <v>76.900000000000006</v>
      </c>
      <c r="S283" s="4">
        <v>62</v>
      </c>
      <c r="T283" s="4">
        <v>145</v>
      </c>
      <c r="U283" s="4">
        <v>207</v>
      </c>
      <c r="V283" s="4">
        <v>128</v>
      </c>
      <c r="W283" s="4">
        <v>75</v>
      </c>
      <c r="X283" s="4">
        <v>35</v>
      </c>
      <c r="Y283" s="4">
        <v>18</v>
      </c>
      <c r="Z283" s="4">
        <v>123</v>
      </c>
      <c r="AA283" s="3">
        <v>902</v>
      </c>
      <c r="AB283" s="3">
        <v>2</v>
      </c>
      <c r="AC283" s="3">
        <v>0</v>
      </c>
      <c r="AD283" s="2">
        <v>-1.3</v>
      </c>
      <c r="AE283" s="2">
        <v>110.7</v>
      </c>
      <c r="AF283" s="2">
        <v>113.4</v>
      </c>
      <c r="AG283" s="2">
        <v>-2.7</v>
      </c>
      <c r="AH283" s="2">
        <v>20</v>
      </c>
      <c r="AI283" s="2">
        <v>1.68</v>
      </c>
      <c r="AJ283" s="2">
        <v>24.4</v>
      </c>
      <c r="AK283" s="2">
        <v>6.9</v>
      </c>
      <c r="AL283" s="2">
        <v>15.4</v>
      </c>
      <c r="AM283" s="2">
        <v>11.2</v>
      </c>
      <c r="AN283" s="2">
        <v>14.5</v>
      </c>
      <c r="AO283" s="2">
        <v>56.2</v>
      </c>
      <c r="AP283" s="2">
        <v>60.9</v>
      </c>
      <c r="AQ283" s="2">
        <v>18.5</v>
      </c>
      <c r="AR283" s="2">
        <v>100.28</v>
      </c>
      <c r="AS283" s="2">
        <v>9.8000000000000007</v>
      </c>
      <c r="AT283" s="2">
        <v>1858</v>
      </c>
      <c r="AU283" s="53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6"/>
    </row>
    <row r="284" spans="1:69" ht="13.2">
      <c r="A284" s="1" t="s">
        <v>592</v>
      </c>
      <c r="B284" s="1" t="s">
        <v>593</v>
      </c>
      <c r="C284" s="24" t="str">
        <f>VLOOKUP(B284,Equipe!$A$1:$B$31,2,FALSE)</f>
        <v>Orlando Magic</v>
      </c>
      <c r="D284" s="2">
        <v>27</v>
      </c>
      <c r="E284" s="2">
        <v>71</v>
      </c>
      <c r="F284" s="2">
        <v>35</v>
      </c>
      <c r="G284" s="2">
        <v>36</v>
      </c>
      <c r="H284" s="2">
        <v>15.4</v>
      </c>
      <c r="I284" s="3">
        <v>383</v>
      </c>
      <c r="J284" s="4">
        <v>135</v>
      </c>
      <c r="K284" s="4">
        <v>327</v>
      </c>
      <c r="L284" s="3">
        <v>41.4</v>
      </c>
      <c r="M284" s="4">
        <v>36</v>
      </c>
      <c r="N284" s="4">
        <v>149</v>
      </c>
      <c r="O284" s="3">
        <v>25.8</v>
      </c>
      <c r="P284" s="3">
        <v>71</v>
      </c>
      <c r="Q284" s="3">
        <v>107</v>
      </c>
      <c r="R284" s="3">
        <v>68.2</v>
      </c>
      <c r="S284" s="4">
        <v>121</v>
      </c>
      <c r="T284" s="4">
        <v>192</v>
      </c>
      <c r="U284" s="4">
        <v>312</v>
      </c>
      <c r="V284" s="4">
        <v>43</v>
      </c>
      <c r="W284" s="4">
        <v>36</v>
      </c>
      <c r="X284" s="4">
        <v>64</v>
      </c>
      <c r="Y284" s="4">
        <v>78</v>
      </c>
      <c r="Z284" s="4">
        <v>92</v>
      </c>
      <c r="AA284" s="3">
        <v>1207</v>
      </c>
      <c r="AB284" s="3">
        <v>2</v>
      </c>
      <c r="AC284" s="3">
        <v>0</v>
      </c>
      <c r="AD284" s="2">
        <v>-0.5</v>
      </c>
      <c r="AE284" s="2">
        <v>105.9</v>
      </c>
      <c r="AF284" s="2">
        <v>106.6</v>
      </c>
      <c r="AG284" s="2">
        <v>-0.7</v>
      </c>
      <c r="AH284" s="2">
        <v>5.6</v>
      </c>
      <c r="AI284" s="2">
        <v>1.21</v>
      </c>
      <c r="AJ284" s="2">
        <v>9</v>
      </c>
      <c r="AK284" s="2">
        <v>10</v>
      </c>
      <c r="AL284" s="2">
        <v>18.8</v>
      </c>
      <c r="AM284" s="2">
        <v>14.1</v>
      </c>
      <c r="AN284" s="2">
        <v>7.4</v>
      </c>
      <c r="AO284" s="2">
        <v>47.4</v>
      </c>
      <c r="AP284" s="2">
        <v>51.2</v>
      </c>
      <c r="AQ284" s="2">
        <v>15.5</v>
      </c>
      <c r="AR284" s="2">
        <v>98.62</v>
      </c>
      <c r="AS284" s="2">
        <v>10.8</v>
      </c>
      <c r="AT284" s="2">
        <v>2229</v>
      </c>
      <c r="AU284" s="53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6"/>
    </row>
    <row r="285" spans="1:69" ht="13.2">
      <c r="A285" s="1" t="s">
        <v>594</v>
      </c>
      <c r="B285" s="1" t="s">
        <v>595</v>
      </c>
      <c r="C285" s="24" t="str">
        <f>VLOOKUP(B285,Equipe!$A$1:$B$31,2,FALSE)</f>
        <v>Los Angeles Lakers</v>
      </c>
      <c r="D285" s="2">
        <v>25</v>
      </c>
      <c r="E285" s="2">
        <v>56</v>
      </c>
      <c r="F285" s="2">
        <v>38</v>
      </c>
      <c r="G285" s="2">
        <v>18</v>
      </c>
      <c r="H285" s="2">
        <v>19.5</v>
      </c>
      <c r="I285" s="3">
        <v>381</v>
      </c>
      <c r="J285" s="4">
        <v>162</v>
      </c>
      <c r="K285" s="4">
        <v>224</v>
      </c>
      <c r="L285" s="3">
        <v>72.2</v>
      </c>
      <c r="M285" s="3">
        <v>0</v>
      </c>
      <c r="N285" s="4">
        <v>6</v>
      </c>
      <c r="O285" s="3">
        <v>0</v>
      </c>
      <c r="P285" s="3">
        <v>62</v>
      </c>
      <c r="Q285" s="3">
        <v>101</v>
      </c>
      <c r="R285" s="3">
        <v>62.2</v>
      </c>
      <c r="S285" s="4">
        <v>78</v>
      </c>
      <c r="T285" s="4">
        <v>190</v>
      </c>
      <c r="U285" s="4">
        <v>269</v>
      </c>
      <c r="V285" s="4">
        <v>56</v>
      </c>
      <c r="W285" s="4">
        <v>45</v>
      </c>
      <c r="X285" s="4">
        <v>34</v>
      </c>
      <c r="Y285" s="4">
        <v>50</v>
      </c>
      <c r="Z285" s="4">
        <v>134</v>
      </c>
      <c r="AA285" s="3">
        <v>997</v>
      </c>
      <c r="AB285" s="3">
        <v>2</v>
      </c>
      <c r="AC285" s="3">
        <v>0</v>
      </c>
      <c r="AD285" s="2">
        <v>1.6</v>
      </c>
      <c r="AE285" s="2">
        <v>112.3</v>
      </c>
      <c r="AF285" s="2">
        <v>109.8</v>
      </c>
      <c r="AG285" s="2">
        <v>2.5</v>
      </c>
      <c r="AH285" s="2">
        <v>7.6</v>
      </c>
      <c r="AI285" s="2">
        <v>1.35</v>
      </c>
      <c r="AJ285" s="2">
        <v>15.8</v>
      </c>
      <c r="AK285" s="2">
        <v>7.4</v>
      </c>
      <c r="AL285" s="2">
        <v>16.3</v>
      </c>
      <c r="AM285" s="2">
        <v>12.1</v>
      </c>
      <c r="AN285" s="2">
        <v>11.7</v>
      </c>
      <c r="AO285" s="2">
        <v>72.2</v>
      </c>
      <c r="AP285" s="2">
        <v>72</v>
      </c>
      <c r="AQ285" s="2">
        <v>12</v>
      </c>
      <c r="AR285" s="2">
        <v>100.51</v>
      </c>
      <c r="AS285" s="2">
        <v>9.6999999999999993</v>
      </c>
      <c r="AT285" s="2">
        <v>2301</v>
      </c>
      <c r="AU285" s="53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6"/>
    </row>
    <row r="286" spans="1:69" ht="13.2">
      <c r="A286" s="1" t="s">
        <v>596</v>
      </c>
      <c r="B286" s="1" t="s">
        <v>597</v>
      </c>
      <c r="C286" s="24" t="str">
        <f>VLOOKUP(B286,Equipe!$A$1:$B$31,2,FALSE)</f>
        <v>Chicago Bulls</v>
      </c>
      <c r="D286" s="2">
        <v>24</v>
      </c>
      <c r="E286" s="2">
        <v>58</v>
      </c>
      <c r="F286" s="2">
        <v>26</v>
      </c>
      <c r="G286" s="2">
        <v>32</v>
      </c>
      <c r="H286" s="2">
        <v>12.5</v>
      </c>
      <c r="I286" s="3">
        <v>377</v>
      </c>
      <c r="J286" s="4">
        <v>133</v>
      </c>
      <c r="K286" s="4">
        <v>290</v>
      </c>
      <c r="L286" s="3">
        <v>45.7</v>
      </c>
      <c r="M286" s="4">
        <v>41</v>
      </c>
      <c r="N286" s="4">
        <v>122</v>
      </c>
      <c r="O286" s="3">
        <v>33.6</v>
      </c>
      <c r="P286" s="3">
        <v>70</v>
      </c>
      <c r="Q286" s="3">
        <v>99</v>
      </c>
      <c r="R286" s="3">
        <v>73.5</v>
      </c>
      <c r="S286" s="4">
        <v>17</v>
      </c>
      <c r="T286" s="4">
        <v>81</v>
      </c>
      <c r="U286" s="4">
        <v>99</v>
      </c>
      <c r="V286" s="4">
        <v>81</v>
      </c>
      <c r="W286" s="4">
        <v>41</v>
      </c>
      <c r="X286" s="4">
        <v>23</v>
      </c>
      <c r="Y286" s="4">
        <v>12</v>
      </c>
      <c r="Z286" s="4">
        <v>58</v>
      </c>
      <c r="AA286" s="3">
        <v>679</v>
      </c>
      <c r="AB286" s="3">
        <v>0</v>
      </c>
      <c r="AC286" s="3">
        <v>0</v>
      </c>
      <c r="AD286" s="2">
        <v>0.3</v>
      </c>
      <c r="AE286" s="2">
        <v>111.4</v>
      </c>
      <c r="AF286" s="2">
        <v>109.8</v>
      </c>
      <c r="AG286" s="2">
        <v>1.7</v>
      </c>
      <c r="AH286" s="2">
        <v>16.2</v>
      </c>
      <c r="AI286" s="2">
        <v>2.08</v>
      </c>
      <c r="AJ286" s="2">
        <v>18.100000000000001</v>
      </c>
      <c r="AK286" s="2">
        <v>2.5</v>
      </c>
      <c r="AL286" s="2">
        <v>9.6999999999999993</v>
      </c>
      <c r="AM286" s="2">
        <v>6.3</v>
      </c>
      <c r="AN286" s="2">
        <v>8.6999999999999993</v>
      </c>
      <c r="AO286" s="2">
        <v>52.7</v>
      </c>
      <c r="AP286" s="2">
        <v>56.7</v>
      </c>
      <c r="AQ286" s="2">
        <v>20.8</v>
      </c>
      <c r="AR286" s="2">
        <v>106.82</v>
      </c>
      <c r="AS286" s="2">
        <v>9</v>
      </c>
      <c r="AT286" s="2">
        <v>1607</v>
      </c>
      <c r="AU286" s="53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6"/>
    </row>
    <row r="287" spans="1:69" ht="13.2">
      <c r="A287" s="1" t="s">
        <v>598</v>
      </c>
      <c r="B287" s="1" t="s">
        <v>599</v>
      </c>
      <c r="C287" s="24" t="str">
        <f>VLOOKUP(B287,Equipe!$A$1:$B$31,2,FALSE)</f>
        <v>Detroit Pistons</v>
      </c>
      <c r="D287" s="2">
        <v>24</v>
      </c>
      <c r="E287" s="2">
        <v>57</v>
      </c>
      <c r="F287" s="2">
        <v>30</v>
      </c>
      <c r="G287" s="2">
        <v>27</v>
      </c>
      <c r="H287" s="2">
        <v>14.2</v>
      </c>
      <c r="I287" s="3">
        <v>376</v>
      </c>
      <c r="J287" s="4">
        <v>137</v>
      </c>
      <c r="K287" s="4">
        <v>296</v>
      </c>
      <c r="L287" s="3">
        <v>46.3</v>
      </c>
      <c r="M287" s="4">
        <v>57</v>
      </c>
      <c r="N287" s="4">
        <v>154</v>
      </c>
      <c r="O287" s="3">
        <v>38.200000000000003</v>
      </c>
      <c r="P287" s="3">
        <v>46</v>
      </c>
      <c r="Q287" s="3">
        <v>51</v>
      </c>
      <c r="R287" s="3">
        <v>84.3</v>
      </c>
      <c r="S287" s="4">
        <v>17</v>
      </c>
      <c r="T287" s="4">
        <v>51</v>
      </c>
      <c r="U287" s="4">
        <v>68</v>
      </c>
      <c r="V287" s="4">
        <v>131</v>
      </c>
      <c r="W287" s="4">
        <v>51</v>
      </c>
      <c r="X287" s="4">
        <v>34</v>
      </c>
      <c r="Y287" s="4">
        <v>6</v>
      </c>
      <c r="Z287" s="4">
        <v>74</v>
      </c>
      <c r="AA287" s="3">
        <v>724</v>
      </c>
      <c r="AB287" s="3">
        <v>1</v>
      </c>
      <c r="AC287" s="3">
        <v>0</v>
      </c>
      <c r="AD287" s="2">
        <v>0.7</v>
      </c>
      <c r="AE287" s="2">
        <v>110.4</v>
      </c>
      <c r="AF287" s="2">
        <v>107.5</v>
      </c>
      <c r="AG287" s="2">
        <v>2.9</v>
      </c>
      <c r="AH287" s="2">
        <v>23.9</v>
      </c>
      <c r="AI287" s="2">
        <v>2.46</v>
      </c>
      <c r="AJ287" s="2">
        <v>26.4</v>
      </c>
      <c r="AK287" s="2">
        <v>2.1</v>
      </c>
      <c r="AL287" s="2">
        <v>6</v>
      </c>
      <c r="AM287" s="2">
        <v>4</v>
      </c>
      <c r="AN287" s="2">
        <v>10.7</v>
      </c>
      <c r="AO287" s="2">
        <v>56.1</v>
      </c>
      <c r="AP287" s="2">
        <v>58.9</v>
      </c>
      <c r="AQ287" s="2">
        <v>18.7</v>
      </c>
      <c r="AR287" s="2">
        <v>102</v>
      </c>
      <c r="AS287" s="2">
        <v>9.5</v>
      </c>
      <c r="AT287" s="2">
        <v>1719</v>
      </c>
      <c r="AU287" s="53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6"/>
    </row>
    <row r="288" spans="1:69" ht="13.2">
      <c r="A288" s="1" t="s">
        <v>600</v>
      </c>
      <c r="B288" s="1" t="s">
        <v>601</v>
      </c>
      <c r="C288" s="24" t="str">
        <f>VLOOKUP(B288,Equipe!$A$1:$B$31,2,FALSE)</f>
        <v>New York Knicks</v>
      </c>
      <c r="D288" s="2">
        <v>25</v>
      </c>
      <c r="E288" s="2">
        <v>57</v>
      </c>
      <c r="F288" s="2">
        <v>36</v>
      </c>
      <c r="G288" s="2">
        <v>21</v>
      </c>
      <c r="H288" s="2">
        <v>20.5</v>
      </c>
      <c r="I288" s="3">
        <v>376</v>
      </c>
      <c r="J288" s="4">
        <v>165</v>
      </c>
      <c r="K288" s="4">
        <v>325</v>
      </c>
      <c r="L288" s="3">
        <v>50.2</v>
      </c>
      <c r="M288" s="4">
        <v>11</v>
      </c>
      <c r="N288" s="4">
        <v>34</v>
      </c>
      <c r="O288" s="3">
        <v>27.8</v>
      </c>
      <c r="P288" s="3">
        <v>40</v>
      </c>
      <c r="Q288" s="3">
        <v>68</v>
      </c>
      <c r="R288" s="3">
        <v>59.4</v>
      </c>
      <c r="S288" s="4">
        <v>103</v>
      </c>
      <c r="T288" s="4">
        <v>217</v>
      </c>
      <c r="U288" s="4">
        <v>319</v>
      </c>
      <c r="V288" s="4">
        <v>57</v>
      </c>
      <c r="W288" s="4">
        <v>46</v>
      </c>
      <c r="X288" s="4">
        <v>46</v>
      </c>
      <c r="Y288" s="4">
        <v>40</v>
      </c>
      <c r="Z288" s="4">
        <v>80</v>
      </c>
      <c r="AA288" s="3">
        <v>1066</v>
      </c>
      <c r="AB288" s="3">
        <v>3</v>
      </c>
      <c r="AC288" s="3">
        <v>0</v>
      </c>
      <c r="AD288" s="2">
        <v>-0.8</v>
      </c>
      <c r="AE288" s="2">
        <v>110.2</v>
      </c>
      <c r="AF288" s="2">
        <v>111.4</v>
      </c>
      <c r="AG288" s="2">
        <v>-1.2</v>
      </c>
      <c r="AH288" s="2">
        <v>6.5</v>
      </c>
      <c r="AI288" s="2">
        <v>1.22</v>
      </c>
      <c r="AJ288" s="2">
        <v>12.1</v>
      </c>
      <c r="AK288" s="2">
        <v>8.4</v>
      </c>
      <c r="AL288" s="2">
        <v>18.8</v>
      </c>
      <c r="AM288" s="2">
        <v>13.5</v>
      </c>
      <c r="AN288" s="2">
        <v>9.9</v>
      </c>
      <c r="AO288" s="2">
        <v>51.7</v>
      </c>
      <c r="AP288" s="2">
        <v>53</v>
      </c>
      <c r="AQ288" s="2">
        <v>14.3</v>
      </c>
      <c r="AR288" s="2">
        <v>100.16</v>
      </c>
      <c r="AS288" s="2">
        <v>9.1999999999999993</v>
      </c>
      <c r="AT288" s="2">
        <v>2432</v>
      </c>
      <c r="AU288" s="53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6"/>
    </row>
    <row r="289" spans="1:69" ht="13.2">
      <c r="A289" s="1" t="s">
        <v>602</v>
      </c>
      <c r="B289" s="1" t="s">
        <v>603</v>
      </c>
      <c r="C289" s="24" t="str">
        <f>VLOOKUP(B289,Equipe!$A$1:$B$31,2,FALSE)</f>
        <v>Chicago Bulls</v>
      </c>
      <c r="D289" s="2">
        <v>21</v>
      </c>
      <c r="E289" s="2">
        <v>79</v>
      </c>
      <c r="F289" s="2">
        <v>37</v>
      </c>
      <c r="G289" s="2">
        <v>42</v>
      </c>
      <c r="H289" s="2">
        <v>14.2</v>
      </c>
      <c r="I289" s="3">
        <v>363</v>
      </c>
      <c r="J289" s="4">
        <v>126</v>
      </c>
      <c r="K289" s="4">
        <v>284</v>
      </c>
      <c r="L289" s="3">
        <v>44.6</v>
      </c>
      <c r="M289" s="4">
        <v>47</v>
      </c>
      <c r="N289" s="4">
        <v>150</v>
      </c>
      <c r="O289" s="3">
        <v>32.700000000000003</v>
      </c>
      <c r="P289" s="3">
        <v>63</v>
      </c>
      <c r="Q289" s="3">
        <v>79</v>
      </c>
      <c r="R289" s="3">
        <v>78.900000000000006</v>
      </c>
      <c r="S289" s="4">
        <v>63</v>
      </c>
      <c r="T289" s="4">
        <v>103</v>
      </c>
      <c r="U289" s="4">
        <v>166</v>
      </c>
      <c r="V289" s="4">
        <v>40</v>
      </c>
      <c r="W289" s="4">
        <v>24</v>
      </c>
      <c r="X289" s="4">
        <v>40</v>
      </c>
      <c r="Y289" s="4">
        <v>24</v>
      </c>
      <c r="Z289" s="4">
        <v>111</v>
      </c>
      <c r="AA289" s="3">
        <v>774</v>
      </c>
      <c r="AB289" s="3">
        <v>0</v>
      </c>
      <c r="AC289" s="3">
        <v>0</v>
      </c>
      <c r="AD289" s="2">
        <v>0.4</v>
      </c>
      <c r="AE289" s="2">
        <v>112.9</v>
      </c>
      <c r="AF289" s="2">
        <v>111.1</v>
      </c>
      <c r="AG289" s="2">
        <v>1.8</v>
      </c>
      <c r="AH289" s="2">
        <v>4.5</v>
      </c>
      <c r="AI289" s="2">
        <v>1.44</v>
      </c>
      <c r="AJ289" s="2">
        <v>10.1</v>
      </c>
      <c r="AK289" s="2">
        <v>5.6</v>
      </c>
      <c r="AL289" s="2">
        <v>8.1999999999999993</v>
      </c>
      <c r="AM289" s="2">
        <v>7</v>
      </c>
      <c r="AN289" s="2">
        <v>7</v>
      </c>
      <c r="AO289" s="2">
        <v>53.3</v>
      </c>
      <c r="AP289" s="2">
        <v>57.1</v>
      </c>
      <c r="AQ289" s="2">
        <v>12.6</v>
      </c>
      <c r="AR289" s="2">
        <v>104</v>
      </c>
      <c r="AS289" s="2">
        <v>5.5</v>
      </c>
      <c r="AT289" s="2">
        <v>2427</v>
      </c>
      <c r="AU289" s="53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6"/>
    </row>
    <row r="290" spans="1:69" ht="13.2">
      <c r="A290" s="1" t="s">
        <v>604</v>
      </c>
      <c r="B290" s="1" t="s">
        <v>605</v>
      </c>
      <c r="C290" s="24" t="str">
        <f>VLOOKUP(B290,Equipe!$A$1:$B$31,2,FALSE)</f>
        <v>Miami Heat</v>
      </c>
      <c r="D290" s="2">
        <v>31</v>
      </c>
      <c r="E290" s="2">
        <v>61</v>
      </c>
      <c r="F290" s="2">
        <v>30</v>
      </c>
      <c r="G290" s="2">
        <v>31</v>
      </c>
      <c r="H290" s="2">
        <v>16.399999999999999</v>
      </c>
      <c r="I290" s="3">
        <v>360</v>
      </c>
      <c r="J290" s="4">
        <v>140</v>
      </c>
      <c r="K290" s="4">
        <v>305</v>
      </c>
      <c r="L290" s="3">
        <v>46.9</v>
      </c>
      <c r="M290" s="4">
        <v>24</v>
      </c>
      <c r="N290" s="4">
        <v>67</v>
      </c>
      <c r="O290" s="3">
        <v>35.700000000000003</v>
      </c>
      <c r="P290" s="3">
        <v>49</v>
      </c>
      <c r="Q290" s="3">
        <v>67</v>
      </c>
      <c r="R290" s="3">
        <v>73.8</v>
      </c>
      <c r="S290" s="4">
        <v>55</v>
      </c>
      <c r="T290" s="4">
        <v>153</v>
      </c>
      <c r="U290" s="4">
        <v>207</v>
      </c>
      <c r="V290" s="4">
        <v>146</v>
      </c>
      <c r="W290" s="4">
        <v>37</v>
      </c>
      <c r="X290" s="4">
        <v>43</v>
      </c>
      <c r="Y290" s="4">
        <v>31</v>
      </c>
      <c r="Z290" s="4">
        <v>79</v>
      </c>
      <c r="AA290" s="3">
        <v>1007</v>
      </c>
      <c r="AB290" s="3">
        <v>2</v>
      </c>
      <c r="AC290" s="3">
        <v>0</v>
      </c>
      <c r="AD290" s="2">
        <v>-0.4</v>
      </c>
      <c r="AE290" s="2">
        <v>106.1</v>
      </c>
      <c r="AF290" s="2">
        <v>107.6</v>
      </c>
      <c r="AG290" s="2">
        <v>-1.5</v>
      </c>
      <c r="AH290" s="2">
        <v>21.1</v>
      </c>
      <c r="AI290" s="2">
        <v>3.92</v>
      </c>
      <c r="AJ290" s="2">
        <v>28.3</v>
      </c>
      <c r="AK290" s="2">
        <v>4.9000000000000004</v>
      </c>
      <c r="AL290" s="2">
        <v>14.8</v>
      </c>
      <c r="AM290" s="2">
        <v>9.6999999999999993</v>
      </c>
      <c r="AN290" s="2">
        <v>7.2</v>
      </c>
      <c r="AO290" s="2">
        <v>51</v>
      </c>
      <c r="AP290" s="2">
        <v>53.8</v>
      </c>
      <c r="AQ290" s="2">
        <v>15.2</v>
      </c>
      <c r="AR290" s="2">
        <v>100.06</v>
      </c>
      <c r="AS290" s="2">
        <v>10.8</v>
      </c>
      <c r="AT290" s="2">
        <v>2093</v>
      </c>
      <c r="AU290" s="53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6"/>
    </row>
    <row r="291" spans="1:69" ht="13.2">
      <c r="A291" s="1" t="s">
        <v>606</v>
      </c>
      <c r="B291" s="1" t="s">
        <v>607</v>
      </c>
      <c r="C291" s="24" t="str">
        <f>VLOOKUP(B291,Equipe!$A$1:$B$31,2,FALSE)</f>
        <v>Phoenix Suns</v>
      </c>
      <c r="D291" s="2">
        <v>29</v>
      </c>
      <c r="E291" s="2">
        <v>53</v>
      </c>
      <c r="F291" s="2">
        <v>16</v>
      </c>
      <c r="G291" s="2">
        <v>37</v>
      </c>
      <c r="H291" s="2">
        <v>22.1</v>
      </c>
      <c r="I291" s="3">
        <v>360</v>
      </c>
      <c r="J291" s="4">
        <v>138</v>
      </c>
      <c r="K291" s="4">
        <v>323</v>
      </c>
      <c r="L291" s="3">
        <v>41.8</v>
      </c>
      <c r="M291" s="4">
        <v>42</v>
      </c>
      <c r="N291" s="4">
        <v>148</v>
      </c>
      <c r="O291" s="3">
        <v>28.5</v>
      </c>
      <c r="P291" s="3">
        <v>42</v>
      </c>
      <c r="Q291" s="3">
        <v>64</v>
      </c>
      <c r="R291" s="3">
        <v>70.5</v>
      </c>
      <c r="S291" s="4">
        <v>53</v>
      </c>
      <c r="T291" s="4">
        <v>170</v>
      </c>
      <c r="U291" s="4">
        <v>223</v>
      </c>
      <c r="V291" s="4">
        <v>106</v>
      </c>
      <c r="W291" s="4">
        <v>53</v>
      </c>
      <c r="X291" s="4">
        <v>58</v>
      </c>
      <c r="Y291" s="4">
        <v>32</v>
      </c>
      <c r="Z291" s="4">
        <v>95</v>
      </c>
      <c r="AA291" s="3">
        <v>996</v>
      </c>
      <c r="AB291" s="3">
        <v>0</v>
      </c>
      <c r="AC291" s="3">
        <v>0</v>
      </c>
      <c r="AD291" s="2">
        <v>-2</v>
      </c>
      <c r="AE291" s="2">
        <v>108.1</v>
      </c>
      <c r="AF291" s="2">
        <v>111.3</v>
      </c>
      <c r="AG291" s="2">
        <v>-3.2</v>
      </c>
      <c r="AH291" s="2">
        <v>12.8</v>
      </c>
      <c r="AI291" s="2">
        <v>2.06</v>
      </c>
      <c r="AJ291" s="2">
        <v>20.6</v>
      </c>
      <c r="AK291" s="2">
        <v>4.0999999999999996</v>
      </c>
      <c r="AL291" s="2">
        <v>13.6</v>
      </c>
      <c r="AM291" s="2">
        <v>8.8000000000000007</v>
      </c>
      <c r="AN291" s="2">
        <v>10</v>
      </c>
      <c r="AO291" s="2">
        <v>48.5</v>
      </c>
      <c r="AP291" s="2">
        <v>50.9</v>
      </c>
      <c r="AQ291" s="2">
        <v>14.2</v>
      </c>
      <c r="AR291" s="2">
        <v>101.2</v>
      </c>
      <c r="AS291" s="2">
        <v>8</v>
      </c>
      <c r="AT291" s="2">
        <v>2462</v>
      </c>
      <c r="AU291" s="53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6"/>
    </row>
    <row r="292" spans="1:69" ht="13.2">
      <c r="A292" s="1" t="s">
        <v>608</v>
      </c>
      <c r="B292" s="1" t="s">
        <v>609</v>
      </c>
      <c r="C292" s="24" t="str">
        <f>VLOOKUP(B292,Equipe!$A$1:$B$31,2,FALSE)</f>
        <v>Miami Heat</v>
      </c>
      <c r="D292" s="2">
        <v>33</v>
      </c>
      <c r="E292" s="2">
        <v>49</v>
      </c>
      <c r="F292" s="2">
        <v>26</v>
      </c>
      <c r="G292" s="2">
        <v>23</v>
      </c>
      <c r="H292" s="2">
        <v>17.600000000000001</v>
      </c>
      <c r="I292" s="3">
        <v>358</v>
      </c>
      <c r="J292" s="4">
        <v>113</v>
      </c>
      <c r="K292" s="4">
        <v>270</v>
      </c>
      <c r="L292" s="3">
        <v>42.4</v>
      </c>
      <c r="M292" s="4">
        <v>88</v>
      </c>
      <c r="N292" s="4">
        <v>206</v>
      </c>
      <c r="O292" s="3">
        <v>42.5</v>
      </c>
      <c r="P292" s="3">
        <v>39</v>
      </c>
      <c r="Q292" s="3">
        <v>49</v>
      </c>
      <c r="R292" s="3">
        <v>77.599999999999994</v>
      </c>
      <c r="S292" s="4">
        <v>15</v>
      </c>
      <c r="T292" s="4">
        <v>108</v>
      </c>
      <c r="U292" s="4">
        <v>123</v>
      </c>
      <c r="V292" s="4">
        <v>54</v>
      </c>
      <c r="W292" s="4">
        <v>29</v>
      </c>
      <c r="X292" s="4">
        <v>29</v>
      </c>
      <c r="Y292" s="4">
        <v>5</v>
      </c>
      <c r="Z292" s="4">
        <v>39</v>
      </c>
      <c r="AA292" s="3">
        <v>662</v>
      </c>
      <c r="AB292" s="3">
        <v>0</v>
      </c>
      <c r="AC292" s="3">
        <v>0</v>
      </c>
      <c r="AD292" s="2">
        <v>2.2000000000000002</v>
      </c>
      <c r="AE292" s="2">
        <v>113.5</v>
      </c>
      <c r="AF292" s="2">
        <v>107.6</v>
      </c>
      <c r="AG292" s="2">
        <v>5.9</v>
      </c>
      <c r="AH292" s="2">
        <v>9</v>
      </c>
      <c r="AI292" s="2">
        <v>1.9</v>
      </c>
      <c r="AJ292" s="2">
        <v>14.7</v>
      </c>
      <c r="AK292" s="2">
        <v>1.8</v>
      </c>
      <c r="AL292" s="2">
        <v>11.9</v>
      </c>
      <c r="AM292" s="2">
        <v>7</v>
      </c>
      <c r="AN292" s="2">
        <v>7.8</v>
      </c>
      <c r="AO292" s="2">
        <v>58.7</v>
      </c>
      <c r="AP292" s="2">
        <v>60.8</v>
      </c>
      <c r="AQ292" s="2">
        <v>16</v>
      </c>
      <c r="AR292" s="2">
        <v>98.03</v>
      </c>
      <c r="AS292" s="2">
        <v>8.8000000000000007</v>
      </c>
      <c r="AT292" s="2">
        <v>1766</v>
      </c>
      <c r="AU292" s="53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6"/>
    </row>
    <row r="293" spans="1:69" ht="13.2">
      <c r="A293" s="1" t="s">
        <v>610</v>
      </c>
      <c r="B293" s="1" t="s">
        <v>611</v>
      </c>
      <c r="C293" s="24" t="str">
        <f>VLOOKUP(B293,Equipe!$A$1:$B$31,2,FALSE)</f>
        <v>Dallas Mavericks</v>
      </c>
      <c r="D293" s="2">
        <v>29</v>
      </c>
      <c r="E293" s="2">
        <v>45</v>
      </c>
      <c r="F293" s="2">
        <v>17</v>
      </c>
      <c r="G293" s="2">
        <v>28</v>
      </c>
      <c r="H293" s="2">
        <v>27.1</v>
      </c>
      <c r="I293" s="3">
        <v>356</v>
      </c>
      <c r="J293" s="4">
        <v>131</v>
      </c>
      <c r="K293" s="4">
        <v>306</v>
      </c>
      <c r="L293" s="3">
        <v>42.4</v>
      </c>
      <c r="M293" s="4">
        <v>36</v>
      </c>
      <c r="N293" s="4">
        <v>104</v>
      </c>
      <c r="O293" s="3">
        <v>35.9</v>
      </c>
      <c r="P293" s="3">
        <v>63</v>
      </c>
      <c r="Q293" s="3">
        <v>99</v>
      </c>
      <c r="R293" s="3">
        <v>62.2</v>
      </c>
      <c r="S293" s="4">
        <v>54</v>
      </c>
      <c r="T293" s="4">
        <v>126</v>
      </c>
      <c r="U293" s="4">
        <v>176</v>
      </c>
      <c r="V293" s="4">
        <v>95</v>
      </c>
      <c r="W293" s="4">
        <v>54</v>
      </c>
      <c r="X293" s="4">
        <v>45</v>
      </c>
      <c r="Y293" s="4">
        <v>23</v>
      </c>
      <c r="Z293" s="4">
        <v>86</v>
      </c>
      <c r="AA293" s="3">
        <v>864</v>
      </c>
      <c r="AB293" s="3">
        <v>1</v>
      </c>
      <c r="AC293" s="3">
        <v>0</v>
      </c>
      <c r="AD293" s="2">
        <v>-3.4</v>
      </c>
      <c r="AE293" s="2">
        <v>106.5</v>
      </c>
      <c r="AF293" s="2">
        <v>112.8</v>
      </c>
      <c r="AG293" s="2">
        <v>-6.3</v>
      </c>
      <c r="AH293" s="2">
        <v>11.6</v>
      </c>
      <c r="AI293" s="2">
        <v>1.7</v>
      </c>
      <c r="AJ293" s="2">
        <v>19</v>
      </c>
      <c r="AK293" s="2">
        <v>4.2</v>
      </c>
      <c r="AL293" s="2">
        <v>10.5</v>
      </c>
      <c r="AM293" s="2">
        <v>7.3</v>
      </c>
      <c r="AN293" s="2">
        <v>11.2</v>
      </c>
      <c r="AO293" s="2">
        <v>48.5</v>
      </c>
      <c r="AP293" s="2">
        <v>51.3</v>
      </c>
      <c r="AQ293" s="2">
        <v>14.3</v>
      </c>
      <c r="AR293" s="2">
        <v>98.64</v>
      </c>
      <c r="AS293" s="2">
        <v>6.3</v>
      </c>
      <c r="AT293" s="2">
        <v>2504</v>
      </c>
      <c r="AU293" s="53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6"/>
    </row>
    <row r="294" spans="1:69" ht="13.2">
      <c r="A294" s="1" t="s">
        <v>612</v>
      </c>
      <c r="B294" s="1" t="s">
        <v>613</v>
      </c>
      <c r="C294" s="24" t="str">
        <f>VLOOKUP(B294,Equipe!$A$1:$B$31,2,FALSE)</f>
        <v>Charlotte Hornets</v>
      </c>
      <c r="D294" s="2">
        <v>19</v>
      </c>
      <c r="E294" s="2">
        <v>60</v>
      </c>
      <c r="F294" s="2">
        <v>12</v>
      </c>
      <c r="G294" s="2">
        <v>48</v>
      </c>
      <c r="H294" s="2">
        <v>20.7</v>
      </c>
      <c r="I294" s="3">
        <v>354</v>
      </c>
      <c r="J294" s="4">
        <v>114</v>
      </c>
      <c r="K294" s="4">
        <v>348</v>
      </c>
      <c r="L294" s="3">
        <v>33</v>
      </c>
      <c r="M294" s="4">
        <v>60</v>
      </c>
      <c r="N294" s="4">
        <v>204</v>
      </c>
      <c r="O294" s="3">
        <v>28.3</v>
      </c>
      <c r="P294" s="3">
        <v>66</v>
      </c>
      <c r="Q294" s="3">
        <v>96</v>
      </c>
      <c r="R294" s="3">
        <v>71.3</v>
      </c>
      <c r="S294" s="4">
        <v>72</v>
      </c>
      <c r="T294" s="4">
        <v>210</v>
      </c>
      <c r="U294" s="4">
        <v>282</v>
      </c>
      <c r="V294" s="4">
        <v>72</v>
      </c>
      <c r="W294" s="4">
        <v>60</v>
      </c>
      <c r="X294" s="4">
        <v>30</v>
      </c>
      <c r="Y294" s="4">
        <v>12</v>
      </c>
      <c r="Z294" s="4">
        <v>84</v>
      </c>
      <c r="AA294" s="3">
        <v>870</v>
      </c>
      <c r="AB294" s="3">
        <v>2</v>
      </c>
      <c r="AC294" s="3">
        <v>0</v>
      </c>
      <c r="AD294" s="2">
        <v>-5.4</v>
      </c>
      <c r="AE294" s="2">
        <v>99.4</v>
      </c>
      <c r="AF294" s="2">
        <v>111.2</v>
      </c>
      <c r="AG294" s="2">
        <v>-11.9</v>
      </c>
      <c r="AH294" s="2">
        <v>9.1999999999999993</v>
      </c>
      <c r="AI294" s="2">
        <v>1.28</v>
      </c>
      <c r="AJ294" s="2">
        <v>14.2</v>
      </c>
      <c r="AK294" s="2">
        <v>5</v>
      </c>
      <c r="AL294" s="2">
        <v>16.8</v>
      </c>
      <c r="AM294" s="2">
        <v>10.6</v>
      </c>
      <c r="AN294" s="2">
        <v>11.2</v>
      </c>
      <c r="AO294" s="2">
        <v>41.4</v>
      </c>
      <c r="AP294" s="2">
        <v>45.7</v>
      </c>
      <c r="AQ294" s="2">
        <v>15</v>
      </c>
      <c r="AR294" s="2">
        <v>98.5</v>
      </c>
      <c r="AS294" s="2">
        <v>6.5</v>
      </c>
      <c r="AT294" s="2">
        <v>2545</v>
      </c>
      <c r="AU294" s="53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6"/>
    </row>
    <row r="295" spans="1:69" ht="13.2">
      <c r="A295" s="1" t="s">
        <v>614</v>
      </c>
      <c r="B295" s="1" t="s">
        <v>615</v>
      </c>
      <c r="C295" s="24" t="str">
        <f>VLOOKUP(B295,Equipe!$A$1:$B$31,2,FALSE)</f>
        <v>Atlanta Hawks</v>
      </c>
      <c r="D295" s="2">
        <v>28</v>
      </c>
      <c r="E295" s="2">
        <v>47</v>
      </c>
      <c r="F295" s="2">
        <v>21</v>
      </c>
      <c r="G295" s="2">
        <v>26</v>
      </c>
      <c r="H295" s="2">
        <v>17.600000000000001</v>
      </c>
      <c r="I295" s="3">
        <v>353</v>
      </c>
      <c r="J295" s="4">
        <v>103</v>
      </c>
      <c r="K295" s="4">
        <v>259</v>
      </c>
      <c r="L295" s="3">
        <v>39.700000000000003</v>
      </c>
      <c r="M295" s="4">
        <v>85</v>
      </c>
      <c r="N295" s="4">
        <v>216</v>
      </c>
      <c r="O295" s="3">
        <v>39</v>
      </c>
      <c r="P295" s="3">
        <v>66</v>
      </c>
      <c r="Q295" s="3">
        <v>80</v>
      </c>
      <c r="R295" s="3">
        <v>82.1</v>
      </c>
      <c r="S295" s="4">
        <v>14</v>
      </c>
      <c r="T295" s="4">
        <v>75</v>
      </c>
      <c r="U295" s="4">
        <v>89</v>
      </c>
      <c r="V295" s="4">
        <v>61</v>
      </c>
      <c r="W295" s="4">
        <v>33</v>
      </c>
      <c r="X295" s="4">
        <v>28</v>
      </c>
      <c r="Y295" s="4">
        <v>14</v>
      </c>
      <c r="Z295" s="4">
        <v>80</v>
      </c>
      <c r="AA295" s="3">
        <v>639</v>
      </c>
      <c r="AB295" s="3">
        <v>0</v>
      </c>
      <c r="AC295" s="3">
        <v>0</v>
      </c>
      <c r="AD295" s="2">
        <v>-1.3</v>
      </c>
      <c r="AE295" s="2">
        <v>107.9</v>
      </c>
      <c r="AF295" s="2">
        <v>111.4</v>
      </c>
      <c r="AG295" s="2">
        <v>-3.5</v>
      </c>
      <c r="AH295" s="2">
        <v>10.199999999999999</v>
      </c>
      <c r="AI295" s="2">
        <v>1.94</v>
      </c>
      <c r="AJ295" s="2">
        <v>16</v>
      </c>
      <c r="AK295" s="2">
        <v>1.5</v>
      </c>
      <c r="AL295" s="2">
        <v>8.5</v>
      </c>
      <c r="AM295" s="2">
        <v>4.9000000000000004</v>
      </c>
      <c r="AN295" s="2">
        <v>8.1999999999999993</v>
      </c>
      <c r="AO295" s="2">
        <v>56.2</v>
      </c>
      <c r="AP295" s="2">
        <v>60.6</v>
      </c>
      <c r="AQ295" s="2">
        <v>15.3</v>
      </c>
      <c r="AR295" s="2">
        <v>105.43</v>
      </c>
      <c r="AS295" s="2">
        <v>6.8</v>
      </c>
      <c r="AT295" s="2">
        <v>1824</v>
      </c>
      <c r="AU295" s="53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6"/>
    </row>
    <row r="296" spans="1:69" ht="13.2">
      <c r="A296" s="1" t="s">
        <v>616</v>
      </c>
      <c r="B296" s="1" t="s">
        <v>617</v>
      </c>
      <c r="C296" s="24" t="str">
        <f>VLOOKUP(B296,Equipe!$A$1:$B$31,2,FALSE)</f>
        <v>Philadelphia 76ers</v>
      </c>
      <c r="D296" s="2">
        <v>21</v>
      </c>
      <c r="E296" s="2">
        <v>23</v>
      </c>
      <c r="F296" s="2">
        <v>7</v>
      </c>
      <c r="G296" s="2">
        <v>16</v>
      </c>
      <c r="H296" s="2">
        <v>25.7</v>
      </c>
      <c r="I296" s="3">
        <v>352</v>
      </c>
      <c r="J296" s="4">
        <v>127</v>
      </c>
      <c r="K296" s="4">
        <v>274</v>
      </c>
      <c r="L296" s="3">
        <v>46</v>
      </c>
      <c r="M296" s="4">
        <v>51</v>
      </c>
      <c r="N296" s="4">
        <v>133</v>
      </c>
      <c r="O296" s="3">
        <v>38.299999999999997</v>
      </c>
      <c r="P296" s="3">
        <v>48</v>
      </c>
      <c r="Q296" s="3">
        <v>55</v>
      </c>
      <c r="R296" s="3">
        <v>87.5</v>
      </c>
      <c r="S296" s="4">
        <v>14</v>
      </c>
      <c r="T296" s="4">
        <v>44</v>
      </c>
      <c r="U296" s="4">
        <v>55</v>
      </c>
      <c r="V296" s="4">
        <v>60</v>
      </c>
      <c r="W296" s="4">
        <v>37</v>
      </c>
      <c r="X296" s="4">
        <v>16</v>
      </c>
      <c r="Y296" s="3">
        <v>0</v>
      </c>
      <c r="Z296" s="4">
        <v>37</v>
      </c>
      <c r="AA296" s="3">
        <v>518</v>
      </c>
      <c r="AB296" s="3">
        <v>1</v>
      </c>
      <c r="AC296" s="3">
        <v>0</v>
      </c>
      <c r="AD296" s="2">
        <v>-1.2</v>
      </c>
      <c r="AE296" s="2">
        <v>109.3</v>
      </c>
      <c r="AF296" s="2">
        <v>111.4</v>
      </c>
      <c r="AG296" s="2">
        <v>-2.1</v>
      </c>
      <c r="AH296" s="2">
        <v>17.100000000000001</v>
      </c>
      <c r="AI296" s="2">
        <v>1.62</v>
      </c>
      <c r="AJ296" s="2">
        <v>15.2</v>
      </c>
      <c r="AK296" s="2">
        <v>2.2000000000000002</v>
      </c>
      <c r="AL296" s="2">
        <v>7.6</v>
      </c>
      <c r="AM296" s="2">
        <v>4.8</v>
      </c>
      <c r="AN296" s="2">
        <v>9.3000000000000007</v>
      </c>
      <c r="AO296" s="2">
        <v>55.3</v>
      </c>
      <c r="AP296" s="2">
        <v>58.9</v>
      </c>
      <c r="AQ296" s="2">
        <v>24.3</v>
      </c>
      <c r="AR296" s="2">
        <v>98.18</v>
      </c>
      <c r="AS296" s="2">
        <v>10.6</v>
      </c>
      <c r="AT296" s="2">
        <v>1210</v>
      </c>
      <c r="AU296" s="53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6"/>
    </row>
    <row r="297" spans="1:69" ht="13.2">
      <c r="A297" s="1" t="s">
        <v>620</v>
      </c>
      <c r="B297" s="1" t="s">
        <v>621</v>
      </c>
      <c r="C297" s="24" t="str">
        <f>VLOOKUP(B297,Equipe!$A$1:$B$31,2,FALSE)</f>
        <v>Milwaukee Bucks</v>
      </c>
      <c r="D297" s="2">
        <v>22</v>
      </c>
      <c r="E297" s="2">
        <v>56</v>
      </c>
      <c r="F297" s="2">
        <v>30</v>
      </c>
      <c r="G297" s="2">
        <v>26</v>
      </c>
      <c r="H297" s="2">
        <v>14.6</v>
      </c>
      <c r="I297" s="3">
        <v>347</v>
      </c>
      <c r="J297" s="4">
        <v>134</v>
      </c>
      <c r="K297" s="4">
        <v>269</v>
      </c>
      <c r="L297" s="3">
        <v>48.7</v>
      </c>
      <c r="M297" s="4">
        <v>50</v>
      </c>
      <c r="N297" s="4">
        <v>118</v>
      </c>
      <c r="O297" s="3">
        <v>40.799999999999997</v>
      </c>
      <c r="P297" s="3">
        <v>34</v>
      </c>
      <c r="Q297" s="3">
        <v>45</v>
      </c>
      <c r="R297" s="3">
        <v>80</v>
      </c>
      <c r="S297" s="4">
        <v>22</v>
      </c>
      <c r="T297" s="4">
        <v>90</v>
      </c>
      <c r="U297" s="4">
        <v>106</v>
      </c>
      <c r="V297" s="4">
        <v>106</v>
      </c>
      <c r="W297" s="4">
        <v>50</v>
      </c>
      <c r="X297" s="4">
        <v>45</v>
      </c>
      <c r="Y297" s="4">
        <v>17</v>
      </c>
      <c r="Z297" s="4">
        <v>90</v>
      </c>
      <c r="AA297" s="3">
        <v>756</v>
      </c>
      <c r="AB297" s="3">
        <v>1</v>
      </c>
      <c r="AC297" s="3">
        <v>0</v>
      </c>
      <c r="AD297" s="2">
        <v>1.5</v>
      </c>
      <c r="AE297" s="2">
        <v>114</v>
      </c>
      <c r="AF297" s="2">
        <v>108.6</v>
      </c>
      <c r="AG297" s="2">
        <v>5.4</v>
      </c>
      <c r="AH297" s="2">
        <v>17.3</v>
      </c>
      <c r="AI297" s="2">
        <v>1.96</v>
      </c>
      <c r="AJ297" s="2">
        <v>23.3</v>
      </c>
      <c r="AK297" s="2">
        <v>2.7</v>
      </c>
      <c r="AL297" s="2">
        <v>9.8000000000000007</v>
      </c>
      <c r="AM297" s="2">
        <v>6.5</v>
      </c>
      <c r="AN297" s="2">
        <v>11.9</v>
      </c>
      <c r="AO297" s="2">
        <v>57.7</v>
      </c>
      <c r="AP297" s="2">
        <v>60</v>
      </c>
      <c r="AQ297" s="2">
        <v>17.899999999999999</v>
      </c>
      <c r="AR297" s="2">
        <v>101.74</v>
      </c>
      <c r="AS297" s="2">
        <v>8.8000000000000007</v>
      </c>
      <c r="AT297" s="2">
        <v>1732</v>
      </c>
      <c r="AU297" s="53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6"/>
    </row>
    <row r="298" spans="1:69" ht="13.2">
      <c r="A298" s="1" t="s">
        <v>618</v>
      </c>
      <c r="B298" s="1" t="s">
        <v>619</v>
      </c>
      <c r="C298" s="24" t="str">
        <f>VLOOKUP(B298,Equipe!$A$1:$B$31,2,FALSE)</f>
        <v>Cleveland Cavaliers</v>
      </c>
      <c r="D298" s="2">
        <v>31</v>
      </c>
      <c r="E298" s="2">
        <v>68</v>
      </c>
      <c r="F298" s="2">
        <v>24</v>
      </c>
      <c r="G298" s="2">
        <v>44</v>
      </c>
      <c r="H298" s="2">
        <v>18.5</v>
      </c>
      <c r="I298" s="3">
        <v>347</v>
      </c>
      <c r="J298" s="4">
        <v>122</v>
      </c>
      <c r="K298" s="4">
        <v>286</v>
      </c>
      <c r="L298" s="3">
        <v>42.9</v>
      </c>
      <c r="M298" s="4">
        <v>48</v>
      </c>
      <c r="N298" s="4">
        <v>143</v>
      </c>
      <c r="O298" s="3">
        <v>32.6</v>
      </c>
      <c r="P298" s="3">
        <v>54</v>
      </c>
      <c r="Q298" s="3">
        <v>75</v>
      </c>
      <c r="R298" s="3">
        <v>72.400000000000006</v>
      </c>
      <c r="S298" s="4">
        <v>61</v>
      </c>
      <c r="T298" s="4">
        <v>156</v>
      </c>
      <c r="U298" s="4">
        <v>218</v>
      </c>
      <c r="V298" s="4">
        <v>54</v>
      </c>
      <c r="W298" s="4">
        <v>34</v>
      </c>
      <c r="X298" s="4">
        <v>68</v>
      </c>
      <c r="Y298" s="4">
        <v>34</v>
      </c>
      <c r="Z298" s="4">
        <v>95</v>
      </c>
      <c r="AA298" s="3">
        <v>952</v>
      </c>
      <c r="AB298" s="3">
        <v>0</v>
      </c>
      <c r="AC298" s="3">
        <v>0</v>
      </c>
      <c r="AD298" s="2">
        <v>-3.1</v>
      </c>
      <c r="AE298" s="2">
        <v>109.1</v>
      </c>
      <c r="AF298" s="2">
        <v>117</v>
      </c>
      <c r="AG298" s="2">
        <v>-7.8</v>
      </c>
      <c r="AH298" s="2">
        <v>5.9</v>
      </c>
      <c r="AI298" s="2">
        <v>1.75</v>
      </c>
      <c r="AJ298" s="2">
        <v>13.8</v>
      </c>
      <c r="AK298" s="2">
        <v>4.2</v>
      </c>
      <c r="AL298" s="2">
        <v>12.2</v>
      </c>
      <c r="AM298" s="2">
        <v>8.1</v>
      </c>
      <c r="AN298" s="2">
        <v>7.9</v>
      </c>
      <c r="AO298" s="2">
        <v>50.9</v>
      </c>
      <c r="AP298" s="2">
        <v>54.1</v>
      </c>
      <c r="AQ298" s="2">
        <v>11.3</v>
      </c>
      <c r="AR298" s="2">
        <v>101.97</v>
      </c>
      <c r="AS298" s="2">
        <v>6.4</v>
      </c>
      <c r="AT298" s="2">
        <v>2671</v>
      </c>
      <c r="AU298" s="53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6"/>
    </row>
    <row r="299" spans="1:69" ht="13.2">
      <c r="A299" s="1" t="s">
        <v>622</v>
      </c>
      <c r="B299" s="1" t="s">
        <v>623</v>
      </c>
      <c r="C299" s="24" t="str">
        <f>VLOOKUP(B299,Equipe!$A$1:$B$31,2,FALSE)</f>
        <v>Golden State Warriors</v>
      </c>
      <c r="D299" s="2">
        <v>29</v>
      </c>
      <c r="E299" s="2">
        <v>76</v>
      </c>
      <c r="F299" s="2">
        <v>45</v>
      </c>
      <c r="G299" s="2">
        <v>31</v>
      </c>
      <c r="H299" s="2">
        <v>15</v>
      </c>
      <c r="I299" s="3">
        <v>342</v>
      </c>
      <c r="J299" s="4">
        <v>144</v>
      </c>
      <c r="K299" s="4">
        <v>281</v>
      </c>
      <c r="L299" s="3">
        <v>51.4</v>
      </c>
      <c r="M299" s="3">
        <v>0</v>
      </c>
      <c r="N299" s="4">
        <v>8</v>
      </c>
      <c r="O299" s="3">
        <v>40</v>
      </c>
      <c r="P299" s="3">
        <v>53</v>
      </c>
      <c r="Q299" s="3">
        <v>99</v>
      </c>
      <c r="R299" s="3">
        <v>56.6</v>
      </c>
      <c r="S299" s="4">
        <v>182</v>
      </c>
      <c r="T299" s="4">
        <v>274</v>
      </c>
      <c r="U299" s="4">
        <v>464</v>
      </c>
      <c r="V299" s="4">
        <v>122</v>
      </c>
      <c r="W299" s="4">
        <v>38</v>
      </c>
      <c r="X299" s="4">
        <v>46</v>
      </c>
      <c r="Y299" s="4">
        <v>38</v>
      </c>
      <c r="Z299" s="4">
        <v>152</v>
      </c>
      <c r="AA299" s="3">
        <v>1284</v>
      </c>
      <c r="AB299" s="3">
        <v>2</v>
      </c>
      <c r="AC299" s="3">
        <v>0</v>
      </c>
      <c r="AD299" s="2">
        <v>1.5</v>
      </c>
      <c r="AE299" s="2">
        <v>112.5</v>
      </c>
      <c r="AF299" s="2">
        <v>106.9</v>
      </c>
      <c r="AG299" s="2">
        <v>5.6</v>
      </c>
      <c r="AH299" s="2">
        <v>14.3</v>
      </c>
      <c r="AI299" s="2">
        <v>3.03</v>
      </c>
      <c r="AJ299" s="2">
        <v>24.7</v>
      </c>
      <c r="AK299" s="2">
        <v>13.9</v>
      </c>
      <c r="AL299" s="2">
        <v>22.7</v>
      </c>
      <c r="AM299" s="2">
        <v>18.100000000000001</v>
      </c>
      <c r="AN299" s="2">
        <v>8.1999999999999993</v>
      </c>
      <c r="AO299" s="2">
        <v>51.8</v>
      </c>
      <c r="AP299" s="2">
        <v>53.5</v>
      </c>
      <c r="AQ299" s="2">
        <v>12.5</v>
      </c>
      <c r="AR299" s="2">
        <v>100.61</v>
      </c>
      <c r="AS299" s="2">
        <v>11.4</v>
      </c>
      <c r="AT299" s="2">
        <v>2386</v>
      </c>
      <c r="AU299" s="53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6"/>
    </row>
    <row r="300" spans="1:69" ht="13.2">
      <c r="A300" s="1" t="s">
        <v>624</v>
      </c>
      <c r="B300" s="1" t="s">
        <v>625</v>
      </c>
      <c r="C300" s="24" t="str">
        <f>VLOOKUP(B300,Equipe!$A$1:$B$31,2,FALSE)</f>
        <v>Houston Rockets</v>
      </c>
      <c r="D300" s="2">
        <v>28</v>
      </c>
      <c r="E300" s="2">
        <v>62</v>
      </c>
      <c r="F300" s="2">
        <v>39</v>
      </c>
      <c r="G300" s="2">
        <v>23</v>
      </c>
      <c r="H300" s="2">
        <v>12.8</v>
      </c>
      <c r="I300" s="3">
        <v>341</v>
      </c>
      <c r="J300" s="4">
        <v>118</v>
      </c>
      <c r="K300" s="4">
        <v>267</v>
      </c>
      <c r="L300" s="3">
        <v>43.7</v>
      </c>
      <c r="M300" s="4">
        <v>74</v>
      </c>
      <c r="N300" s="4">
        <v>180</v>
      </c>
      <c r="O300" s="3">
        <v>39.799999999999997</v>
      </c>
      <c r="P300" s="3">
        <v>31</v>
      </c>
      <c r="Q300" s="3">
        <v>43</v>
      </c>
      <c r="R300" s="3">
        <v>82.9</v>
      </c>
      <c r="S300" s="4">
        <v>12</v>
      </c>
      <c r="T300" s="4">
        <v>62</v>
      </c>
      <c r="U300" s="4">
        <v>81</v>
      </c>
      <c r="V300" s="4">
        <v>81</v>
      </c>
      <c r="W300" s="4">
        <v>37</v>
      </c>
      <c r="X300" s="4">
        <v>19</v>
      </c>
      <c r="Y300" s="4">
        <v>12</v>
      </c>
      <c r="Z300" s="4">
        <v>62</v>
      </c>
      <c r="AA300" s="3">
        <v>614</v>
      </c>
      <c r="AB300" s="3">
        <v>0</v>
      </c>
      <c r="AC300" s="3">
        <v>0</v>
      </c>
      <c r="AD300" s="2">
        <v>1.4</v>
      </c>
      <c r="AE300" s="2">
        <v>110.3</v>
      </c>
      <c r="AF300" s="2">
        <v>103.6</v>
      </c>
      <c r="AG300" s="2">
        <v>6.7</v>
      </c>
      <c r="AH300" s="2">
        <v>14.2</v>
      </c>
      <c r="AI300" s="2">
        <v>2.2400000000000002</v>
      </c>
      <c r="AJ300" s="2">
        <v>20.5</v>
      </c>
      <c r="AK300" s="2">
        <v>1.5</v>
      </c>
      <c r="AL300" s="2">
        <v>7.3</v>
      </c>
      <c r="AM300" s="2">
        <v>4.4000000000000004</v>
      </c>
      <c r="AN300" s="2">
        <v>9.1</v>
      </c>
      <c r="AO300" s="2">
        <v>57.1</v>
      </c>
      <c r="AP300" s="2">
        <v>59.4</v>
      </c>
      <c r="AQ300" s="2">
        <v>16.2</v>
      </c>
      <c r="AR300" s="2">
        <v>103.09</v>
      </c>
      <c r="AS300" s="2">
        <v>8.1999999999999993</v>
      </c>
      <c r="AT300" s="2">
        <v>1689</v>
      </c>
      <c r="AU300" s="53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6"/>
    </row>
    <row r="301" spans="1:69" ht="13.2">
      <c r="A301" s="1" t="s">
        <v>628</v>
      </c>
      <c r="B301" s="1" t="s">
        <v>629</v>
      </c>
      <c r="C301" s="24" t="str">
        <f>VLOOKUP(B301,Equipe!$A$1:$B$31,2,FALSE)</f>
        <v>New Orleans Pelicans</v>
      </c>
      <c r="D301" s="2">
        <v>28</v>
      </c>
      <c r="E301" s="2">
        <v>41</v>
      </c>
      <c r="F301" s="2">
        <v>15</v>
      </c>
      <c r="G301" s="2">
        <v>26</v>
      </c>
      <c r="H301" s="2">
        <v>22.5</v>
      </c>
      <c r="I301" s="3">
        <v>340</v>
      </c>
      <c r="J301" s="4">
        <v>131</v>
      </c>
      <c r="K301" s="4">
        <v>308</v>
      </c>
      <c r="L301" s="3">
        <v>42.1</v>
      </c>
      <c r="M301" s="4">
        <v>29</v>
      </c>
      <c r="N301" s="4">
        <v>82</v>
      </c>
      <c r="O301" s="3">
        <v>33.299999999999997</v>
      </c>
      <c r="P301" s="3">
        <v>53</v>
      </c>
      <c r="Q301" s="3">
        <v>66</v>
      </c>
      <c r="R301" s="3">
        <v>81.5</v>
      </c>
      <c r="S301" s="4">
        <v>41</v>
      </c>
      <c r="T301" s="4">
        <v>123</v>
      </c>
      <c r="U301" s="4">
        <v>164</v>
      </c>
      <c r="V301" s="4">
        <v>82</v>
      </c>
      <c r="W301" s="4">
        <v>41</v>
      </c>
      <c r="X301" s="4">
        <v>33</v>
      </c>
      <c r="Y301" s="4">
        <v>8</v>
      </c>
      <c r="Z301" s="4">
        <v>70</v>
      </c>
      <c r="AA301" s="3">
        <v>754</v>
      </c>
      <c r="AB301" s="3">
        <v>0</v>
      </c>
      <c r="AC301" s="3">
        <v>0</v>
      </c>
      <c r="AD301" s="2">
        <v>-5.5</v>
      </c>
      <c r="AE301" s="2">
        <v>104.8</v>
      </c>
      <c r="AF301" s="2">
        <v>116.8</v>
      </c>
      <c r="AG301" s="2">
        <v>-11.9</v>
      </c>
      <c r="AH301" s="2">
        <v>13.3</v>
      </c>
      <c r="AI301" s="2">
        <v>2.15</v>
      </c>
      <c r="AJ301" s="2">
        <v>18.3</v>
      </c>
      <c r="AK301" s="2">
        <v>4</v>
      </c>
      <c r="AL301" s="2">
        <v>13.4</v>
      </c>
      <c r="AM301" s="2">
        <v>8.5</v>
      </c>
      <c r="AN301" s="2">
        <v>8.5</v>
      </c>
      <c r="AO301" s="2">
        <v>46.4</v>
      </c>
      <c r="AP301" s="2">
        <v>50.4</v>
      </c>
      <c r="AQ301" s="2">
        <v>16.899999999999999</v>
      </c>
      <c r="AR301" s="2">
        <v>100.19</v>
      </c>
      <c r="AS301" s="2">
        <v>7.8</v>
      </c>
      <c r="AT301" s="2">
        <v>1925</v>
      </c>
      <c r="AU301" s="53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6"/>
    </row>
    <row r="302" spans="1:69" ht="13.2">
      <c r="A302" s="1" t="s">
        <v>626</v>
      </c>
      <c r="B302" s="1" t="s">
        <v>627</v>
      </c>
      <c r="C302" s="24" t="str">
        <f>VLOOKUP(B302,Equipe!$A$1:$B$31,2,FALSE)</f>
        <v>Golden State Warriors</v>
      </c>
      <c r="D302" s="2">
        <v>25</v>
      </c>
      <c r="E302" s="2">
        <v>42</v>
      </c>
      <c r="F302" s="2">
        <v>26</v>
      </c>
      <c r="G302" s="2">
        <v>16</v>
      </c>
      <c r="H302" s="2">
        <v>16.3</v>
      </c>
      <c r="I302" s="3">
        <v>340</v>
      </c>
      <c r="J302" s="4">
        <v>122</v>
      </c>
      <c r="K302" s="4">
        <v>273</v>
      </c>
      <c r="L302" s="3">
        <v>44.9</v>
      </c>
      <c r="M302" s="4">
        <v>71</v>
      </c>
      <c r="N302" s="4">
        <v>181</v>
      </c>
      <c r="O302" s="3">
        <v>40.799999999999997</v>
      </c>
      <c r="P302" s="3">
        <v>21</v>
      </c>
      <c r="Q302" s="3">
        <v>25</v>
      </c>
      <c r="R302" s="3">
        <v>77.8</v>
      </c>
      <c r="S302" s="4">
        <v>34</v>
      </c>
      <c r="T302" s="4">
        <v>113</v>
      </c>
      <c r="U302" s="4">
        <v>147</v>
      </c>
      <c r="V302" s="4">
        <v>55</v>
      </c>
      <c r="W302" s="4">
        <v>34</v>
      </c>
      <c r="X302" s="4">
        <v>17</v>
      </c>
      <c r="Y302" s="4">
        <v>17</v>
      </c>
      <c r="Z302" s="4">
        <v>84</v>
      </c>
      <c r="AA302" s="3">
        <v>672</v>
      </c>
      <c r="AB302" s="3">
        <v>0</v>
      </c>
      <c r="AC302" s="3">
        <v>0</v>
      </c>
      <c r="AD302" s="2">
        <v>1</v>
      </c>
      <c r="AE302" s="2">
        <v>111.5</v>
      </c>
      <c r="AF302" s="2">
        <v>109.1</v>
      </c>
      <c r="AG302" s="2">
        <v>2.4</v>
      </c>
      <c r="AH302" s="2">
        <v>13.1</v>
      </c>
      <c r="AI302" s="2">
        <v>1.7</v>
      </c>
      <c r="AJ302" s="2">
        <v>14.9</v>
      </c>
      <c r="AK302" s="2">
        <v>4.9000000000000004</v>
      </c>
      <c r="AL302" s="2">
        <v>16.600000000000001</v>
      </c>
      <c r="AM302" s="2">
        <v>10.6</v>
      </c>
      <c r="AN302" s="2">
        <v>8.8000000000000007</v>
      </c>
      <c r="AO302" s="2">
        <v>58.2</v>
      </c>
      <c r="AP302" s="2">
        <v>59.5</v>
      </c>
      <c r="AQ302" s="2">
        <v>19.7</v>
      </c>
      <c r="AR302" s="2">
        <v>100.02</v>
      </c>
      <c r="AS302" s="2">
        <v>9.5</v>
      </c>
      <c r="AT302" s="2">
        <v>1433</v>
      </c>
      <c r="AU302" s="53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6"/>
    </row>
    <row r="303" spans="1:69" ht="13.2">
      <c r="A303" s="1" t="s">
        <v>630</v>
      </c>
      <c r="B303" s="1" t="s">
        <v>631</v>
      </c>
      <c r="C303" s="24" t="str">
        <f>VLOOKUP(B303,Equipe!$A$1:$B$31,2,FALSE)</f>
        <v>Cleveland Cavaliers</v>
      </c>
      <c r="D303" s="2">
        <v>24</v>
      </c>
      <c r="E303" s="2">
        <v>55</v>
      </c>
      <c r="F303" s="2">
        <v>44</v>
      </c>
      <c r="G303" s="2">
        <v>11</v>
      </c>
      <c r="H303" s="2">
        <v>19.100000000000001</v>
      </c>
      <c r="I303" s="3">
        <v>336</v>
      </c>
      <c r="J303" s="4">
        <v>127</v>
      </c>
      <c r="K303" s="4">
        <v>270</v>
      </c>
      <c r="L303" s="3">
        <v>46.4</v>
      </c>
      <c r="M303" s="4">
        <v>55</v>
      </c>
      <c r="N303" s="4">
        <v>149</v>
      </c>
      <c r="O303" s="3">
        <v>37.1</v>
      </c>
      <c r="P303" s="3">
        <v>33</v>
      </c>
      <c r="Q303" s="3">
        <v>44</v>
      </c>
      <c r="R303" s="3">
        <v>71.7</v>
      </c>
      <c r="S303" s="4">
        <v>50</v>
      </c>
      <c r="T303" s="4">
        <v>83</v>
      </c>
      <c r="U303" s="4">
        <v>132</v>
      </c>
      <c r="V303" s="4">
        <v>66</v>
      </c>
      <c r="W303" s="4">
        <v>22</v>
      </c>
      <c r="X303" s="4">
        <v>33</v>
      </c>
      <c r="Y303" s="4">
        <v>17</v>
      </c>
      <c r="Z303" s="4">
        <v>105</v>
      </c>
      <c r="AA303" s="3">
        <v>715</v>
      </c>
      <c r="AB303" s="3">
        <v>0</v>
      </c>
      <c r="AC303" s="3">
        <v>0</v>
      </c>
      <c r="AD303" s="2">
        <v>4.5999999999999996</v>
      </c>
      <c r="AE303" s="2">
        <v>122.1</v>
      </c>
      <c r="AF303" s="2">
        <v>109.7</v>
      </c>
      <c r="AG303" s="2">
        <v>12.5</v>
      </c>
      <c r="AH303" s="2">
        <v>7.8</v>
      </c>
      <c r="AI303" s="2">
        <v>2.96</v>
      </c>
      <c r="AJ303" s="2">
        <v>17.899999999999999</v>
      </c>
      <c r="AK303" s="2">
        <v>4.7</v>
      </c>
      <c r="AL303" s="2">
        <v>7.2</v>
      </c>
      <c r="AM303" s="2">
        <v>6</v>
      </c>
      <c r="AN303" s="2">
        <v>6.1</v>
      </c>
      <c r="AO303" s="2">
        <v>56.9</v>
      </c>
      <c r="AP303" s="2">
        <v>58.7</v>
      </c>
      <c r="AQ303" s="2">
        <v>12.4</v>
      </c>
      <c r="AR303" s="2">
        <v>100.08</v>
      </c>
      <c r="AS303" s="2">
        <v>5.7</v>
      </c>
      <c r="AT303" s="2">
        <v>2187</v>
      </c>
      <c r="AU303" s="53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6"/>
    </row>
    <row r="304" spans="1:69" ht="13.2">
      <c r="A304" s="1" t="s">
        <v>632</v>
      </c>
      <c r="B304" s="1" t="s">
        <v>633</v>
      </c>
      <c r="C304" s="24" t="str">
        <f>VLOOKUP(B304,Equipe!$A$1:$B$31,2,FALSE)</f>
        <v>Philadelphia 76ers</v>
      </c>
      <c r="D304" s="2">
        <v>22</v>
      </c>
      <c r="E304" s="2">
        <v>58</v>
      </c>
      <c r="F304" s="2">
        <v>12</v>
      </c>
      <c r="G304" s="2">
        <v>46</v>
      </c>
      <c r="H304" s="2">
        <v>15.6</v>
      </c>
      <c r="I304" s="3">
        <v>336</v>
      </c>
      <c r="J304" s="4">
        <v>133</v>
      </c>
      <c r="K304" s="4">
        <v>191</v>
      </c>
      <c r="L304" s="3">
        <v>70.3</v>
      </c>
      <c r="M304" s="3">
        <v>0</v>
      </c>
      <c r="N304" s="3">
        <v>0</v>
      </c>
      <c r="O304" s="3">
        <v>0</v>
      </c>
      <c r="P304" s="3">
        <v>70</v>
      </c>
      <c r="Q304" s="3">
        <v>99</v>
      </c>
      <c r="R304" s="3">
        <v>67</v>
      </c>
      <c r="S304" s="4">
        <v>93</v>
      </c>
      <c r="T304" s="4">
        <v>151</v>
      </c>
      <c r="U304" s="4">
        <v>244</v>
      </c>
      <c r="V304" s="4">
        <v>29</v>
      </c>
      <c r="W304" s="4">
        <v>64</v>
      </c>
      <c r="X304" s="4">
        <v>23</v>
      </c>
      <c r="Y304" s="4">
        <v>70</v>
      </c>
      <c r="Z304" s="4">
        <v>128</v>
      </c>
      <c r="AA304" s="3">
        <v>893</v>
      </c>
      <c r="AB304" s="3">
        <v>3</v>
      </c>
      <c r="AC304" s="3">
        <v>0</v>
      </c>
      <c r="AD304" s="2">
        <v>-1.9</v>
      </c>
      <c r="AE304" s="2">
        <v>107.4</v>
      </c>
      <c r="AF304" s="2">
        <v>114</v>
      </c>
      <c r="AG304" s="2">
        <v>-6.6</v>
      </c>
      <c r="AH304" s="2">
        <v>4.3</v>
      </c>
      <c r="AI304" s="2">
        <v>0.44</v>
      </c>
      <c r="AJ304" s="2">
        <v>8.4</v>
      </c>
      <c r="AK304" s="2">
        <v>9.6999999999999993</v>
      </c>
      <c r="AL304" s="2">
        <v>16.399999999999999</v>
      </c>
      <c r="AM304" s="2">
        <v>13</v>
      </c>
      <c r="AN304" s="2">
        <v>18.899999999999999</v>
      </c>
      <c r="AO304" s="2">
        <v>70.3</v>
      </c>
      <c r="AP304" s="2">
        <v>71.400000000000006</v>
      </c>
      <c r="AQ304" s="2">
        <v>13.5</v>
      </c>
      <c r="AR304" s="2">
        <v>100.51</v>
      </c>
      <c r="AS304" s="2">
        <v>9.3000000000000007</v>
      </c>
      <c r="AT304" s="2">
        <v>1900</v>
      </c>
      <c r="AU304" s="53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6"/>
    </row>
    <row r="305" spans="1:69" ht="13.2">
      <c r="A305" s="1" t="s">
        <v>634</v>
      </c>
      <c r="B305" s="1" t="s">
        <v>635</v>
      </c>
      <c r="C305" s="24" t="str">
        <f>VLOOKUP(B305,Equipe!$A$1:$B$31,2,FALSE)</f>
        <v>Indiana Pacers</v>
      </c>
      <c r="D305" s="2">
        <v>23</v>
      </c>
      <c r="E305" s="2">
        <v>63</v>
      </c>
      <c r="F305" s="2">
        <v>40</v>
      </c>
      <c r="G305" s="2">
        <v>23</v>
      </c>
      <c r="H305" s="2">
        <v>19.5</v>
      </c>
      <c r="I305" s="3">
        <v>334</v>
      </c>
      <c r="J305" s="4">
        <v>120</v>
      </c>
      <c r="K305" s="4">
        <v>290</v>
      </c>
      <c r="L305" s="3">
        <v>41.8</v>
      </c>
      <c r="M305" s="4">
        <v>69</v>
      </c>
      <c r="N305" s="4">
        <v>202</v>
      </c>
      <c r="O305" s="3">
        <v>34.200000000000003</v>
      </c>
      <c r="P305" s="3">
        <v>25</v>
      </c>
      <c r="Q305" s="3">
        <v>25</v>
      </c>
      <c r="R305" s="3">
        <v>88.9</v>
      </c>
      <c r="S305" s="4">
        <v>44</v>
      </c>
      <c r="T305" s="4">
        <v>132</v>
      </c>
      <c r="U305" s="4">
        <v>176</v>
      </c>
      <c r="V305" s="4">
        <v>82</v>
      </c>
      <c r="W305" s="4">
        <v>19</v>
      </c>
      <c r="X305" s="4">
        <v>38</v>
      </c>
      <c r="Y305" s="4">
        <v>13</v>
      </c>
      <c r="Z305" s="4">
        <v>126</v>
      </c>
      <c r="AA305" s="3">
        <v>806</v>
      </c>
      <c r="AB305" s="3">
        <v>0</v>
      </c>
      <c r="AC305" s="3">
        <v>0</v>
      </c>
      <c r="AD305" s="2">
        <v>-0.9</v>
      </c>
      <c r="AE305" s="2">
        <v>111.2</v>
      </c>
      <c r="AF305" s="2">
        <v>113.4</v>
      </c>
      <c r="AG305" s="2">
        <v>-2.2000000000000002</v>
      </c>
      <c r="AH305" s="2">
        <v>8.6999999999999993</v>
      </c>
      <c r="AI305" s="2">
        <v>3.86</v>
      </c>
      <c r="AJ305" s="2">
        <v>21</v>
      </c>
      <c r="AK305" s="2">
        <v>3.5</v>
      </c>
      <c r="AL305" s="2">
        <v>10.6</v>
      </c>
      <c r="AM305" s="2">
        <v>7</v>
      </c>
      <c r="AN305" s="2">
        <v>5.4</v>
      </c>
      <c r="AO305" s="2">
        <v>53.7</v>
      </c>
      <c r="AP305" s="2">
        <v>55.5</v>
      </c>
      <c r="AQ305" s="2">
        <v>10.8</v>
      </c>
      <c r="AR305" s="2">
        <v>102.92</v>
      </c>
      <c r="AS305" s="2">
        <v>5.5</v>
      </c>
      <c r="AT305" s="2">
        <v>2636</v>
      </c>
      <c r="AU305" s="53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6"/>
    </row>
    <row r="306" spans="1:69" ht="13.2">
      <c r="A306" s="1" t="s">
        <v>636</v>
      </c>
      <c r="B306" s="1" t="s">
        <v>637</v>
      </c>
      <c r="C306" s="24" t="str">
        <f>VLOOKUP(B306,Equipe!$A$1:$B$31,2,FALSE)</f>
        <v>Utah Jazz</v>
      </c>
      <c r="D306" s="2">
        <v>28</v>
      </c>
      <c r="E306" s="2">
        <v>38</v>
      </c>
      <c r="F306" s="2">
        <v>6</v>
      </c>
      <c r="G306" s="2">
        <v>32</v>
      </c>
      <c r="H306" s="2">
        <v>20</v>
      </c>
      <c r="I306" s="3">
        <v>334</v>
      </c>
      <c r="J306" s="4">
        <v>118</v>
      </c>
      <c r="K306" s="4">
        <v>300</v>
      </c>
      <c r="L306" s="3">
        <v>39.1</v>
      </c>
      <c r="M306" s="4">
        <v>68</v>
      </c>
      <c r="N306" s="4">
        <v>201</v>
      </c>
      <c r="O306" s="3">
        <v>34.5</v>
      </c>
      <c r="P306" s="3">
        <v>27</v>
      </c>
      <c r="Q306" s="3">
        <v>34</v>
      </c>
      <c r="R306" s="3">
        <v>80</v>
      </c>
      <c r="S306" s="4">
        <v>23</v>
      </c>
      <c r="T306" s="4">
        <v>68</v>
      </c>
      <c r="U306" s="4">
        <v>91</v>
      </c>
      <c r="V306" s="4">
        <v>76</v>
      </c>
      <c r="W306" s="4">
        <v>53</v>
      </c>
      <c r="X306" s="4">
        <v>19</v>
      </c>
      <c r="Y306" s="4">
        <v>8</v>
      </c>
      <c r="Z306" s="4">
        <v>42</v>
      </c>
      <c r="AA306" s="3">
        <v>581</v>
      </c>
      <c r="AB306" s="3">
        <v>0</v>
      </c>
      <c r="AC306" s="3">
        <v>0</v>
      </c>
      <c r="AD306" s="2">
        <v>-2.8</v>
      </c>
      <c r="AE306" s="2">
        <v>110.3</v>
      </c>
      <c r="AF306" s="2">
        <v>117.7</v>
      </c>
      <c r="AG306" s="2">
        <v>-7.4</v>
      </c>
      <c r="AH306" s="2">
        <v>14.4</v>
      </c>
      <c r="AI306" s="2">
        <v>1.46</v>
      </c>
      <c r="AJ306" s="2">
        <v>17.100000000000001</v>
      </c>
      <c r="AK306" s="2">
        <v>2.6</v>
      </c>
      <c r="AL306" s="2">
        <v>8.5</v>
      </c>
      <c r="AM306" s="2">
        <v>5.5</v>
      </c>
      <c r="AN306" s="2">
        <v>11.7</v>
      </c>
      <c r="AO306" s="2">
        <v>50.7</v>
      </c>
      <c r="AP306" s="2">
        <v>52.6</v>
      </c>
      <c r="AQ306" s="2">
        <v>19.8</v>
      </c>
      <c r="AR306" s="2">
        <v>101.83</v>
      </c>
      <c r="AS306" s="2">
        <v>6.7</v>
      </c>
      <c r="AT306" s="2">
        <v>1619</v>
      </c>
      <c r="AU306" s="53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6"/>
    </row>
    <row r="307" spans="1:69" ht="13.2">
      <c r="A307" s="1" t="s">
        <v>638</v>
      </c>
      <c r="B307" s="1" t="s">
        <v>639</v>
      </c>
      <c r="C307" s="24" t="str">
        <f>VLOOKUP(B307,Equipe!$A$1:$B$31,2,FALSE)</f>
        <v>Phoenix Suns</v>
      </c>
      <c r="D307" s="2">
        <v>35</v>
      </c>
      <c r="E307" s="2">
        <v>74</v>
      </c>
      <c r="F307" s="2">
        <v>33</v>
      </c>
      <c r="G307" s="2">
        <v>41</v>
      </c>
      <c r="H307" s="2">
        <v>17.600000000000001</v>
      </c>
      <c r="I307" s="3">
        <v>333</v>
      </c>
      <c r="J307" s="4">
        <v>126</v>
      </c>
      <c r="K307" s="4">
        <v>200</v>
      </c>
      <c r="L307" s="3">
        <v>61.9</v>
      </c>
      <c r="M307" s="3">
        <v>0</v>
      </c>
      <c r="N307" s="4">
        <v>7</v>
      </c>
      <c r="O307" s="3">
        <v>0</v>
      </c>
      <c r="P307" s="3">
        <v>81</v>
      </c>
      <c r="Q307" s="3">
        <v>126</v>
      </c>
      <c r="R307" s="3">
        <v>64.8</v>
      </c>
      <c r="S307" s="4">
        <v>118</v>
      </c>
      <c r="T307" s="4">
        <v>340</v>
      </c>
      <c r="U307" s="4">
        <v>451</v>
      </c>
      <c r="V307" s="4">
        <v>133</v>
      </c>
      <c r="W307" s="4">
        <v>59</v>
      </c>
      <c r="X307" s="4">
        <v>30</v>
      </c>
      <c r="Y307" s="4">
        <v>44</v>
      </c>
      <c r="Z307" s="4">
        <v>155</v>
      </c>
      <c r="AA307" s="3">
        <v>1258</v>
      </c>
      <c r="AB307" s="3">
        <v>2</v>
      </c>
      <c r="AC307" s="3">
        <v>0</v>
      </c>
      <c r="AD307" s="2">
        <v>0.7</v>
      </c>
      <c r="AE307" s="2">
        <v>115.2</v>
      </c>
      <c r="AF307" s="2">
        <v>115</v>
      </c>
      <c r="AG307" s="2">
        <v>0.2</v>
      </c>
      <c r="AH307" s="2">
        <v>13.3</v>
      </c>
      <c r="AI307" s="2">
        <v>2.27</v>
      </c>
      <c r="AJ307" s="2">
        <v>29.5</v>
      </c>
      <c r="AK307" s="2">
        <v>9.4</v>
      </c>
      <c r="AL307" s="2">
        <v>25.3</v>
      </c>
      <c r="AM307" s="2">
        <v>17.600000000000001</v>
      </c>
      <c r="AN307" s="2">
        <v>13</v>
      </c>
      <c r="AO307" s="2">
        <v>61.9</v>
      </c>
      <c r="AP307" s="2">
        <v>64.5</v>
      </c>
      <c r="AQ307" s="2">
        <v>10.5</v>
      </c>
      <c r="AR307" s="2">
        <v>100.08</v>
      </c>
      <c r="AS307" s="2">
        <v>9.8000000000000007</v>
      </c>
      <c r="AT307" s="2">
        <v>2732</v>
      </c>
      <c r="AU307" s="53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6"/>
    </row>
    <row r="308" spans="1:69" ht="13.2">
      <c r="A308" s="1" t="s">
        <v>640</v>
      </c>
      <c r="B308" s="1" t="s">
        <v>641</v>
      </c>
      <c r="C308" s="24" t="str">
        <f>VLOOKUP(B308,Equipe!$A$1:$B$31,2,FALSE)</f>
        <v>Chicago Bulls</v>
      </c>
      <c r="D308" s="2">
        <v>25</v>
      </c>
      <c r="E308" s="2">
        <v>46</v>
      </c>
      <c r="F308" s="2">
        <v>21</v>
      </c>
      <c r="G308" s="2">
        <v>25</v>
      </c>
      <c r="H308" s="2">
        <v>19.7</v>
      </c>
      <c r="I308" s="3">
        <v>331</v>
      </c>
      <c r="J308" s="4">
        <v>129</v>
      </c>
      <c r="K308" s="4">
        <v>239</v>
      </c>
      <c r="L308" s="3">
        <v>53.8</v>
      </c>
      <c r="M308" s="4">
        <v>18</v>
      </c>
      <c r="N308" s="4">
        <v>46</v>
      </c>
      <c r="O308" s="3">
        <v>39.6</v>
      </c>
      <c r="P308" s="3">
        <v>55</v>
      </c>
      <c r="Q308" s="3">
        <v>69</v>
      </c>
      <c r="R308" s="3">
        <v>82.1</v>
      </c>
      <c r="S308" s="4">
        <v>32</v>
      </c>
      <c r="T308" s="4">
        <v>83</v>
      </c>
      <c r="U308" s="4">
        <v>115</v>
      </c>
      <c r="V308" s="4">
        <v>193</v>
      </c>
      <c r="W308" s="4">
        <v>37</v>
      </c>
      <c r="X308" s="4">
        <v>37</v>
      </c>
      <c r="Y308" s="4">
        <v>9</v>
      </c>
      <c r="Z308" s="4">
        <v>55</v>
      </c>
      <c r="AA308" s="3">
        <v>865</v>
      </c>
      <c r="AB308" s="3">
        <v>1</v>
      </c>
      <c r="AC308" s="3">
        <v>0</v>
      </c>
      <c r="AD308" s="2">
        <v>-0.7</v>
      </c>
      <c r="AE308" s="2">
        <v>112</v>
      </c>
      <c r="AF308" s="2">
        <v>113.5</v>
      </c>
      <c r="AG308" s="2">
        <v>-1.5</v>
      </c>
      <c r="AH308" s="2">
        <v>28.9</v>
      </c>
      <c r="AI308" s="2">
        <v>5.49</v>
      </c>
      <c r="AJ308" s="2">
        <v>38.9</v>
      </c>
      <c r="AK308" s="2">
        <v>3.2</v>
      </c>
      <c r="AL308" s="2">
        <v>8.6</v>
      </c>
      <c r="AM308" s="2">
        <v>5.9</v>
      </c>
      <c r="AN308" s="2">
        <v>7.1</v>
      </c>
      <c r="AO308" s="2">
        <v>57.8</v>
      </c>
      <c r="AP308" s="2">
        <v>61.7</v>
      </c>
      <c r="AQ308" s="2">
        <v>13.6</v>
      </c>
      <c r="AR308" s="2">
        <v>103.35</v>
      </c>
      <c r="AS308" s="2">
        <v>11</v>
      </c>
      <c r="AT308" s="2">
        <v>1948</v>
      </c>
      <c r="AU308" s="53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6"/>
    </row>
    <row r="309" spans="1:69" ht="13.2">
      <c r="A309" s="1" t="s">
        <v>642</v>
      </c>
      <c r="B309" s="1" t="s">
        <v>643</v>
      </c>
      <c r="C309" s="24" t="str">
        <f>VLOOKUP(B309,Equipe!$A$1:$B$31,2,FALSE)</f>
        <v>Chicago Bulls</v>
      </c>
      <c r="D309" s="2">
        <v>22</v>
      </c>
      <c r="E309" s="2">
        <v>73</v>
      </c>
      <c r="F309" s="2">
        <v>33</v>
      </c>
      <c r="G309" s="2">
        <v>40</v>
      </c>
      <c r="H309" s="2">
        <v>13.5</v>
      </c>
      <c r="I309" s="3">
        <v>329</v>
      </c>
      <c r="J309" s="4">
        <v>117</v>
      </c>
      <c r="K309" s="4">
        <v>270</v>
      </c>
      <c r="L309" s="3">
        <v>44.8</v>
      </c>
      <c r="M309" s="4">
        <v>37</v>
      </c>
      <c r="N309" s="4">
        <v>102</v>
      </c>
      <c r="O309" s="3">
        <v>35.6</v>
      </c>
      <c r="P309" s="3">
        <v>51</v>
      </c>
      <c r="Q309" s="3">
        <v>66</v>
      </c>
      <c r="R309" s="3">
        <v>71</v>
      </c>
      <c r="S309" s="4">
        <v>37</v>
      </c>
      <c r="T309" s="4">
        <v>88</v>
      </c>
      <c r="U309" s="4">
        <v>124</v>
      </c>
      <c r="V309" s="4">
        <v>95</v>
      </c>
      <c r="W309" s="4">
        <v>51</v>
      </c>
      <c r="X309" s="4">
        <v>44</v>
      </c>
      <c r="Y309" s="4">
        <v>15</v>
      </c>
      <c r="Z309" s="4">
        <v>117</v>
      </c>
      <c r="AA309" s="3">
        <v>745</v>
      </c>
      <c r="AB309" s="3">
        <v>0</v>
      </c>
      <c r="AC309" s="3">
        <v>0</v>
      </c>
      <c r="AD309" s="2">
        <v>-2.4</v>
      </c>
      <c r="AE309" s="2">
        <v>104</v>
      </c>
      <c r="AF309" s="2">
        <v>111.6</v>
      </c>
      <c r="AG309" s="2">
        <v>-7.6</v>
      </c>
      <c r="AH309" s="2">
        <v>13.6</v>
      </c>
      <c r="AI309" s="2">
        <v>1.83</v>
      </c>
      <c r="AJ309" s="2">
        <v>21.6</v>
      </c>
      <c r="AK309" s="2">
        <v>3.4</v>
      </c>
      <c r="AL309" s="2">
        <v>8</v>
      </c>
      <c r="AM309" s="2">
        <v>5.7</v>
      </c>
      <c r="AN309" s="2">
        <v>11.8</v>
      </c>
      <c r="AO309" s="2">
        <v>51.7</v>
      </c>
      <c r="AP309" s="2">
        <v>54.6</v>
      </c>
      <c r="AQ309" s="2">
        <v>14.2</v>
      </c>
      <c r="AR309" s="2">
        <v>106.51</v>
      </c>
      <c r="AS309" s="2">
        <v>5.6</v>
      </c>
      <c r="AT309" s="2">
        <v>2188</v>
      </c>
      <c r="AU309" s="53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6"/>
    </row>
    <row r="310" spans="1:69" ht="13.2">
      <c r="A310" s="1" t="s">
        <v>644</v>
      </c>
      <c r="B310" s="1" t="s">
        <v>645</v>
      </c>
      <c r="C310" s="24" t="str">
        <f>VLOOKUP(B310,Equipe!$A$1:$B$31,2,FALSE)</f>
        <v>Washington Wizards</v>
      </c>
      <c r="D310" s="2">
        <v>22</v>
      </c>
      <c r="E310" s="2">
        <v>35</v>
      </c>
      <c r="F310" s="2">
        <v>7</v>
      </c>
      <c r="G310" s="2">
        <v>28</v>
      </c>
      <c r="H310" s="2">
        <v>14.6</v>
      </c>
      <c r="I310" s="3">
        <v>329</v>
      </c>
      <c r="J310" s="4">
        <v>119</v>
      </c>
      <c r="K310" s="4">
        <v>242</v>
      </c>
      <c r="L310" s="3">
        <v>49.6</v>
      </c>
      <c r="M310" s="4">
        <v>39</v>
      </c>
      <c r="N310" s="4">
        <v>102</v>
      </c>
      <c r="O310" s="3">
        <v>37.299999999999997</v>
      </c>
      <c r="P310" s="3">
        <v>53</v>
      </c>
      <c r="Q310" s="3">
        <v>67</v>
      </c>
      <c r="R310" s="3">
        <v>77.599999999999994</v>
      </c>
      <c r="S310" s="4">
        <v>25</v>
      </c>
      <c r="T310" s="4">
        <v>105</v>
      </c>
      <c r="U310" s="4">
        <v>130</v>
      </c>
      <c r="V310" s="4">
        <v>39</v>
      </c>
      <c r="W310" s="4">
        <v>42</v>
      </c>
      <c r="X310" s="4">
        <v>11</v>
      </c>
      <c r="Y310" s="4">
        <v>25</v>
      </c>
      <c r="Z310" s="4">
        <v>56</v>
      </c>
      <c r="AA310" s="3">
        <v>606</v>
      </c>
      <c r="AB310" s="3">
        <v>1</v>
      </c>
      <c r="AC310" s="3">
        <v>0</v>
      </c>
      <c r="AD310" s="2">
        <v>-3.6</v>
      </c>
      <c r="AE310" s="2">
        <v>102.6</v>
      </c>
      <c r="AF310" s="2">
        <v>114.3</v>
      </c>
      <c r="AG310" s="2">
        <v>-11.7</v>
      </c>
      <c r="AH310" s="2">
        <v>13.6</v>
      </c>
      <c r="AI310" s="2">
        <v>0.93</v>
      </c>
      <c r="AJ310" s="2">
        <v>11.1</v>
      </c>
      <c r="AK310" s="2">
        <v>4.5999999999999996</v>
      </c>
      <c r="AL310" s="2">
        <v>18.600000000000001</v>
      </c>
      <c r="AM310" s="2">
        <v>11.6</v>
      </c>
      <c r="AN310" s="2">
        <v>12</v>
      </c>
      <c r="AO310" s="2">
        <v>57.4</v>
      </c>
      <c r="AP310" s="2">
        <v>60.8</v>
      </c>
      <c r="AQ310" s="2">
        <v>25.2</v>
      </c>
      <c r="AR310" s="2">
        <v>102.79</v>
      </c>
      <c r="AS310" s="2">
        <v>12.7</v>
      </c>
      <c r="AT310" s="2">
        <v>1099</v>
      </c>
      <c r="AU310" s="53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6"/>
    </row>
    <row r="311" spans="1:69" ht="13.2">
      <c r="A311" s="1" t="s">
        <v>646</v>
      </c>
      <c r="B311" s="1" t="s">
        <v>647</v>
      </c>
      <c r="C311" s="24" t="str">
        <f>VLOOKUP(B311,Equipe!$A$1:$B$31,2,FALSE)</f>
        <v>New Orleans Pelicans</v>
      </c>
      <c r="D311" s="2">
        <v>24</v>
      </c>
      <c r="E311" s="2">
        <v>42</v>
      </c>
      <c r="F311" s="2">
        <v>12</v>
      </c>
      <c r="G311" s="2">
        <v>30</v>
      </c>
      <c r="H311" s="2">
        <v>18.8</v>
      </c>
      <c r="I311" s="3">
        <v>323</v>
      </c>
      <c r="J311" s="4">
        <v>134</v>
      </c>
      <c r="K311" s="4">
        <v>235</v>
      </c>
      <c r="L311" s="3">
        <v>57.4</v>
      </c>
      <c r="M311" s="4">
        <v>21</v>
      </c>
      <c r="N311" s="4">
        <v>67</v>
      </c>
      <c r="O311" s="3">
        <v>31.8</v>
      </c>
      <c r="P311" s="3">
        <v>34</v>
      </c>
      <c r="Q311" s="3">
        <v>42</v>
      </c>
      <c r="R311" s="3">
        <v>77.3</v>
      </c>
      <c r="S311" s="4">
        <v>63</v>
      </c>
      <c r="T311" s="4">
        <v>147</v>
      </c>
      <c r="U311" s="4">
        <v>210</v>
      </c>
      <c r="V311" s="4">
        <v>46</v>
      </c>
      <c r="W311" s="4">
        <v>42</v>
      </c>
      <c r="X311" s="4">
        <v>21</v>
      </c>
      <c r="Y311" s="4">
        <v>42</v>
      </c>
      <c r="Z311" s="4">
        <v>105</v>
      </c>
      <c r="AA311" s="3">
        <v>790</v>
      </c>
      <c r="AB311" s="3">
        <v>4</v>
      </c>
      <c r="AC311" s="3">
        <v>0</v>
      </c>
      <c r="AD311" s="2">
        <v>-2.1</v>
      </c>
      <c r="AE311" s="2">
        <v>109.4</v>
      </c>
      <c r="AF311" s="2">
        <v>114.1</v>
      </c>
      <c r="AG311" s="2">
        <v>-4.7</v>
      </c>
      <c r="AH311" s="2">
        <v>8.3000000000000007</v>
      </c>
      <c r="AI311" s="2">
        <v>1.07</v>
      </c>
      <c r="AJ311" s="2">
        <v>13.5</v>
      </c>
      <c r="AK311" s="2">
        <v>7.9</v>
      </c>
      <c r="AL311" s="2">
        <v>17.7</v>
      </c>
      <c r="AM311" s="2">
        <v>12.9</v>
      </c>
      <c r="AN311" s="2">
        <v>12.6</v>
      </c>
      <c r="AO311" s="2">
        <v>61.9</v>
      </c>
      <c r="AP311" s="2">
        <v>63.9</v>
      </c>
      <c r="AQ311" s="2">
        <v>15.5</v>
      </c>
      <c r="AR311" s="2">
        <v>101.91</v>
      </c>
      <c r="AS311" s="2">
        <v>9.6</v>
      </c>
      <c r="AT311" s="2">
        <v>1674</v>
      </c>
      <c r="AU311" s="53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6"/>
    </row>
    <row r="312" spans="1:69" ht="13.2">
      <c r="A312" s="1" t="s">
        <v>648</v>
      </c>
      <c r="B312" s="1" t="s">
        <v>649</v>
      </c>
      <c r="C312" s="24" t="str">
        <f>VLOOKUP(B312,Equipe!$A$1:$B$31,2,FALSE)</f>
        <v>Cleveland Cavaliers</v>
      </c>
      <c r="D312" s="2">
        <v>28</v>
      </c>
      <c r="E312" s="2">
        <v>59</v>
      </c>
      <c r="F312" s="2">
        <v>47</v>
      </c>
      <c r="G312" s="2">
        <v>12</v>
      </c>
      <c r="H312" s="2">
        <v>21.2</v>
      </c>
      <c r="I312" s="3">
        <v>319</v>
      </c>
      <c r="J312" s="4">
        <v>112</v>
      </c>
      <c r="K312" s="4">
        <v>271</v>
      </c>
      <c r="L312" s="3">
        <v>41.3</v>
      </c>
      <c r="M312" s="4">
        <v>83</v>
      </c>
      <c r="N312" s="4">
        <v>224</v>
      </c>
      <c r="O312" s="3">
        <v>36</v>
      </c>
      <c r="P312" s="3">
        <v>18</v>
      </c>
      <c r="Q312" s="3">
        <v>30</v>
      </c>
      <c r="R312" s="3">
        <v>53.3</v>
      </c>
      <c r="S312" s="4">
        <v>53</v>
      </c>
      <c r="T312" s="4">
        <v>201</v>
      </c>
      <c r="U312" s="4">
        <v>248</v>
      </c>
      <c r="V312" s="4">
        <v>77</v>
      </c>
      <c r="W312" s="4">
        <v>24</v>
      </c>
      <c r="X312" s="4">
        <v>41</v>
      </c>
      <c r="Y312" s="4">
        <v>18</v>
      </c>
      <c r="Z312" s="4">
        <v>100</v>
      </c>
      <c r="AA312" s="3">
        <v>897</v>
      </c>
      <c r="AB312" s="3">
        <v>1</v>
      </c>
      <c r="AC312" s="3">
        <v>0</v>
      </c>
      <c r="AD312" s="2">
        <v>4.8</v>
      </c>
      <c r="AE312" s="2">
        <v>120</v>
      </c>
      <c r="AF312" s="2">
        <v>109.4</v>
      </c>
      <c r="AG312" s="2">
        <v>10.7</v>
      </c>
      <c r="AH312" s="2">
        <v>7.3</v>
      </c>
      <c r="AI312" s="2">
        <v>3.45</v>
      </c>
      <c r="AJ312" s="2">
        <v>20.100000000000001</v>
      </c>
      <c r="AK312" s="2">
        <v>4.0999999999999996</v>
      </c>
      <c r="AL312" s="2">
        <v>15</v>
      </c>
      <c r="AM312" s="2">
        <v>9.6999999999999993</v>
      </c>
      <c r="AN312" s="2">
        <v>5.8</v>
      </c>
      <c r="AO312" s="2">
        <v>56.1</v>
      </c>
      <c r="AP312" s="2">
        <v>56.3</v>
      </c>
      <c r="AQ312" s="2">
        <v>10.1</v>
      </c>
      <c r="AR312" s="2">
        <v>101.1</v>
      </c>
      <c r="AS312" s="2">
        <v>6.7</v>
      </c>
      <c r="AT312" s="2">
        <v>2639</v>
      </c>
      <c r="AU312" s="53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6"/>
    </row>
    <row r="313" spans="1:69" ht="13.2">
      <c r="A313" s="1" t="s">
        <v>650</v>
      </c>
      <c r="B313" s="1" t="s">
        <v>651</v>
      </c>
      <c r="C313" s="24" t="str">
        <f>VLOOKUP(B313,Equipe!$A$1:$B$31,2,FALSE)</f>
        <v>Charlotte Hornets</v>
      </c>
      <c r="D313" s="2">
        <v>27</v>
      </c>
      <c r="E313" s="2">
        <v>47</v>
      </c>
      <c r="F313" s="2">
        <v>9</v>
      </c>
      <c r="G313" s="2">
        <v>38</v>
      </c>
      <c r="H313" s="2">
        <v>22.8</v>
      </c>
      <c r="I313" s="3">
        <v>315</v>
      </c>
      <c r="J313" s="4">
        <v>118</v>
      </c>
      <c r="K313" s="4">
        <v>291</v>
      </c>
      <c r="L313" s="3">
        <v>40.5</v>
      </c>
      <c r="M313" s="4">
        <v>56</v>
      </c>
      <c r="N313" s="4">
        <v>165</v>
      </c>
      <c r="O313" s="3">
        <v>33.5</v>
      </c>
      <c r="P313" s="3">
        <v>24</v>
      </c>
      <c r="Q313" s="3">
        <v>28</v>
      </c>
      <c r="R313" s="3">
        <v>80</v>
      </c>
      <c r="S313" s="4">
        <v>38</v>
      </c>
      <c r="T313" s="4">
        <v>99</v>
      </c>
      <c r="U313" s="4">
        <v>136</v>
      </c>
      <c r="V313" s="4">
        <v>52</v>
      </c>
      <c r="W313" s="4">
        <v>33</v>
      </c>
      <c r="X313" s="4">
        <v>28</v>
      </c>
      <c r="Y313" s="4">
        <v>24</v>
      </c>
      <c r="Z313" s="4">
        <v>99</v>
      </c>
      <c r="AA313" s="3">
        <v>677</v>
      </c>
      <c r="AB313" s="3">
        <v>0</v>
      </c>
      <c r="AC313" s="3">
        <v>0</v>
      </c>
      <c r="AD313" s="2">
        <v>-5.9</v>
      </c>
      <c r="AE313" s="2">
        <v>106.6</v>
      </c>
      <c r="AF313" s="2">
        <v>118.2</v>
      </c>
      <c r="AG313" s="2">
        <v>-11.6</v>
      </c>
      <c r="AH313" s="2">
        <v>7.3</v>
      </c>
      <c r="AI313" s="2">
        <v>1.51</v>
      </c>
      <c r="AJ313" s="2">
        <v>13.5</v>
      </c>
      <c r="AK313" s="2">
        <v>3.3</v>
      </c>
      <c r="AL313" s="2">
        <v>8.6999999999999993</v>
      </c>
      <c r="AM313" s="2">
        <v>6</v>
      </c>
      <c r="AN313" s="2">
        <v>8.9</v>
      </c>
      <c r="AO313" s="2">
        <v>50</v>
      </c>
      <c r="AP313" s="2">
        <v>51.8</v>
      </c>
      <c r="AQ313" s="2">
        <v>13.6</v>
      </c>
      <c r="AR313" s="2">
        <v>98.04</v>
      </c>
      <c r="AS313" s="2">
        <v>4.5999999999999996</v>
      </c>
      <c r="AT313" s="2">
        <v>2179</v>
      </c>
      <c r="AU313" s="53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6"/>
    </row>
    <row r="314" spans="1:69" ht="13.2">
      <c r="A314" s="1" t="s">
        <v>652</v>
      </c>
      <c r="B314" s="1" t="s">
        <v>653</v>
      </c>
      <c r="C314" s="24" t="str">
        <f>VLOOKUP(B314,Equipe!$A$1:$B$31,2,FALSE)</f>
        <v>Los Angeles Lakers</v>
      </c>
      <c r="D314" s="2">
        <v>28</v>
      </c>
      <c r="E314" s="2">
        <v>57</v>
      </c>
      <c r="F314" s="2">
        <v>29</v>
      </c>
      <c r="G314" s="2">
        <v>28</v>
      </c>
      <c r="H314" s="2">
        <v>14.7</v>
      </c>
      <c r="I314" s="3">
        <v>314</v>
      </c>
      <c r="J314" s="4">
        <v>114</v>
      </c>
      <c r="K314" s="4">
        <v>257</v>
      </c>
      <c r="L314" s="3">
        <v>45.3</v>
      </c>
      <c r="M314" s="4">
        <v>40</v>
      </c>
      <c r="N314" s="4">
        <v>108</v>
      </c>
      <c r="O314" s="3">
        <v>35.799999999999997</v>
      </c>
      <c r="P314" s="3">
        <v>46</v>
      </c>
      <c r="Q314" s="3">
        <v>57</v>
      </c>
      <c r="R314" s="3">
        <v>79.7</v>
      </c>
      <c r="S314" s="4">
        <v>29</v>
      </c>
      <c r="T314" s="4">
        <v>74</v>
      </c>
      <c r="U314" s="4">
        <v>103</v>
      </c>
      <c r="V314" s="4">
        <v>103</v>
      </c>
      <c r="W314" s="4">
        <v>40</v>
      </c>
      <c r="X314" s="4">
        <v>23</v>
      </c>
      <c r="Y314" s="4">
        <v>6</v>
      </c>
      <c r="Z314" s="4">
        <v>68</v>
      </c>
      <c r="AA314" s="3">
        <v>638</v>
      </c>
      <c r="AB314" s="3">
        <v>1</v>
      </c>
      <c r="AC314" s="3">
        <v>0</v>
      </c>
      <c r="AD314" s="2">
        <v>-2.1</v>
      </c>
      <c r="AE314" s="2">
        <v>106.2</v>
      </c>
      <c r="AF314" s="2">
        <v>113.1</v>
      </c>
      <c r="AG314" s="2">
        <v>-6.9</v>
      </c>
      <c r="AH314" s="2">
        <v>18.399999999999999</v>
      </c>
      <c r="AI314" s="2">
        <v>2.5499999999999998</v>
      </c>
      <c r="AJ314" s="2">
        <v>24.2</v>
      </c>
      <c r="AK314" s="2">
        <v>3.6</v>
      </c>
      <c r="AL314" s="2">
        <v>8.6</v>
      </c>
      <c r="AM314" s="2">
        <v>6.1</v>
      </c>
      <c r="AN314" s="2">
        <v>9.5</v>
      </c>
      <c r="AO314" s="2">
        <v>52.8</v>
      </c>
      <c r="AP314" s="2">
        <v>56.3</v>
      </c>
      <c r="AQ314" s="2">
        <v>16.2</v>
      </c>
      <c r="AR314" s="2">
        <v>98.81</v>
      </c>
      <c r="AS314" s="2">
        <v>8.1</v>
      </c>
      <c r="AT314" s="2">
        <v>1722</v>
      </c>
      <c r="AU314" s="53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6"/>
    </row>
    <row r="315" spans="1:69" ht="13.2">
      <c r="A315" s="1" t="s">
        <v>654</v>
      </c>
      <c r="B315" s="1" t="s">
        <v>655</v>
      </c>
      <c r="C315" s="24" t="str">
        <f>VLOOKUP(B315,Equipe!$A$1:$B$31,2,FALSE)</f>
        <v>Dallas Mavericks</v>
      </c>
      <c r="D315" s="2">
        <v>21</v>
      </c>
      <c r="E315" s="2">
        <v>36</v>
      </c>
      <c r="F315" s="2">
        <v>21</v>
      </c>
      <c r="G315" s="2">
        <v>15</v>
      </c>
      <c r="H315" s="2">
        <v>23.1</v>
      </c>
      <c r="I315" s="3">
        <v>313</v>
      </c>
      <c r="J315" s="4">
        <v>133</v>
      </c>
      <c r="K315" s="4">
        <v>191</v>
      </c>
      <c r="L315" s="3">
        <v>70.2</v>
      </c>
      <c r="M315" s="3">
        <v>0</v>
      </c>
      <c r="N315" s="3">
        <v>0</v>
      </c>
      <c r="O315" s="3">
        <v>0</v>
      </c>
      <c r="P315" s="3">
        <v>47</v>
      </c>
      <c r="Q315" s="3">
        <v>72</v>
      </c>
      <c r="R315" s="3">
        <v>63</v>
      </c>
      <c r="S315" s="4">
        <v>104</v>
      </c>
      <c r="T315" s="4">
        <v>166</v>
      </c>
      <c r="U315" s="4">
        <v>270</v>
      </c>
      <c r="V315" s="4">
        <v>86</v>
      </c>
      <c r="W315" s="4">
        <v>40</v>
      </c>
      <c r="X315" s="4">
        <v>22</v>
      </c>
      <c r="Y315" s="4">
        <v>58</v>
      </c>
      <c r="Z315" s="4">
        <v>101</v>
      </c>
      <c r="AA315" s="3">
        <v>954</v>
      </c>
      <c r="AB315" s="3">
        <v>8</v>
      </c>
      <c r="AC315" s="3">
        <v>0</v>
      </c>
      <c r="AD315" s="2">
        <v>3.4</v>
      </c>
      <c r="AE315" s="2">
        <v>114.1</v>
      </c>
      <c r="AF315" s="2">
        <v>106.4</v>
      </c>
      <c r="AG315" s="2">
        <v>7.7</v>
      </c>
      <c r="AH315" s="2">
        <v>14.3</v>
      </c>
      <c r="AI315" s="2">
        <v>2.0699999999999998</v>
      </c>
      <c r="AJ315" s="2">
        <v>24.3</v>
      </c>
      <c r="AK315" s="2">
        <v>12.2</v>
      </c>
      <c r="AL315" s="2">
        <v>18.600000000000001</v>
      </c>
      <c r="AM315" s="2">
        <v>15.5</v>
      </c>
      <c r="AN315" s="2">
        <v>11.7</v>
      </c>
      <c r="AO315" s="2">
        <v>70.2</v>
      </c>
      <c r="AP315" s="2">
        <v>70.400000000000006</v>
      </c>
      <c r="AQ315" s="2">
        <v>13.2</v>
      </c>
      <c r="AR315" s="2">
        <v>100.99</v>
      </c>
      <c r="AS315" s="2">
        <v>12.4</v>
      </c>
      <c r="AT315" s="2">
        <v>1746</v>
      </c>
      <c r="AU315" s="53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6"/>
    </row>
    <row r="316" spans="1:69" ht="13.2">
      <c r="A316" s="1" t="s">
        <v>656</v>
      </c>
      <c r="B316" s="1" t="s">
        <v>657</v>
      </c>
      <c r="C316" s="24" t="str">
        <f>VLOOKUP(B316,Equipe!$A$1:$B$31,2,FALSE)</f>
        <v>Los Angeles Clippers</v>
      </c>
      <c r="D316" s="2">
        <v>36</v>
      </c>
      <c r="E316" s="2">
        <v>78</v>
      </c>
      <c r="F316" s="2">
        <v>47</v>
      </c>
      <c r="G316" s="2">
        <v>31</v>
      </c>
      <c r="H316" s="2">
        <v>17.5</v>
      </c>
      <c r="I316" s="3">
        <v>312</v>
      </c>
      <c r="J316" s="4">
        <v>101</v>
      </c>
      <c r="K316" s="4">
        <v>242</v>
      </c>
      <c r="L316" s="3">
        <v>43.7</v>
      </c>
      <c r="M316" s="4">
        <v>86</v>
      </c>
      <c r="N316" s="4">
        <v>203</v>
      </c>
      <c r="O316" s="3">
        <v>43.3</v>
      </c>
      <c r="P316" s="3">
        <v>16</v>
      </c>
      <c r="Q316" s="3">
        <v>23</v>
      </c>
      <c r="R316" s="3">
        <v>81</v>
      </c>
      <c r="S316" s="4">
        <v>47</v>
      </c>
      <c r="T316" s="4">
        <v>172</v>
      </c>
      <c r="U316" s="4">
        <v>218</v>
      </c>
      <c r="V316" s="4">
        <v>86</v>
      </c>
      <c r="W316" s="4">
        <v>31</v>
      </c>
      <c r="X316" s="4">
        <v>55</v>
      </c>
      <c r="Y316" s="4">
        <v>39</v>
      </c>
      <c r="Z316" s="4">
        <v>109</v>
      </c>
      <c r="AA316" s="3">
        <v>928</v>
      </c>
      <c r="AB316" s="3">
        <v>0</v>
      </c>
      <c r="AC316" s="3">
        <v>0</v>
      </c>
      <c r="AD316" s="2">
        <v>1.9</v>
      </c>
      <c r="AE316" s="2">
        <v>110.5</v>
      </c>
      <c r="AF316" s="2">
        <v>104.7</v>
      </c>
      <c r="AG316" s="2">
        <v>5.9</v>
      </c>
      <c r="AH316" s="2">
        <v>8.1999999999999993</v>
      </c>
      <c r="AI316" s="2">
        <v>2.4700000000000002</v>
      </c>
      <c r="AJ316" s="2">
        <v>23</v>
      </c>
      <c r="AK316" s="2">
        <v>3.4</v>
      </c>
      <c r="AL316" s="2">
        <v>11.7</v>
      </c>
      <c r="AM316" s="2">
        <v>7.7</v>
      </c>
      <c r="AN316" s="2">
        <v>9.3000000000000007</v>
      </c>
      <c r="AO316" s="2">
        <v>62.2</v>
      </c>
      <c r="AP316" s="2">
        <v>63.3</v>
      </c>
      <c r="AQ316" s="2">
        <v>8.6999999999999993</v>
      </c>
      <c r="AR316" s="2">
        <v>100.22</v>
      </c>
      <c r="AS316" s="2">
        <v>6.9</v>
      </c>
      <c r="AT316" s="2">
        <v>2848</v>
      </c>
      <c r="AU316" s="53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6"/>
    </row>
    <row r="317" spans="1:69" ht="13.2">
      <c r="A317" s="1" t="s">
        <v>658</v>
      </c>
      <c r="B317" s="1" t="s">
        <v>659</v>
      </c>
      <c r="C317" s="24" t="str">
        <f>VLOOKUP(B317,Equipe!$A$1:$B$31,2,FALSE)</f>
        <v>Portland Trail Blazers</v>
      </c>
      <c r="D317" s="2">
        <v>22</v>
      </c>
      <c r="E317" s="2">
        <v>60</v>
      </c>
      <c r="F317" s="2">
        <v>23</v>
      </c>
      <c r="G317" s="2">
        <v>37</v>
      </c>
      <c r="H317" s="2">
        <v>12.5</v>
      </c>
      <c r="I317" s="3">
        <v>312</v>
      </c>
      <c r="J317" s="4">
        <v>120</v>
      </c>
      <c r="K317" s="4">
        <v>228</v>
      </c>
      <c r="L317" s="3">
        <v>51.5</v>
      </c>
      <c r="M317" s="4">
        <v>30</v>
      </c>
      <c r="N317" s="4">
        <v>72</v>
      </c>
      <c r="O317" s="3">
        <v>38.9</v>
      </c>
      <c r="P317" s="3">
        <v>48</v>
      </c>
      <c r="Q317" s="3">
        <v>72</v>
      </c>
      <c r="R317" s="3">
        <v>69</v>
      </c>
      <c r="S317" s="4">
        <v>60</v>
      </c>
      <c r="T317" s="4">
        <v>150</v>
      </c>
      <c r="U317" s="4">
        <v>210</v>
      </c>
      <c r="V317" s="4">
        <v>36</v>
      </c>
      <c r="W317" s="4">
        <v>36</v>
      </c>
      <c r="X317" s="4">
        <v>36</v>
      </c>
      <c r="Y317" s="4">
        <v>6</v>
      </c>
      <c r="Z317" s="4">
        <v>90</v>
      </c>
      <c r="AA317" s="3">
        <v>702</v>
      </c>
      <c r="AB317" s="3">
        <v>1</v>
      </c>
      <c r="AC317" s="3">
        <v>0</v>
      </c>
      <c r="AD317" s="2">
        <v>0.3</v>
      </c>
      <c r="AE317" s="2">
        <v>108.1</v>
      </c>
      <c r="AF317" s="2">
        <v>107.6</v>
      </c>
      <c r="AG317" s="2">
        <v>0.5</v>
      </c>
      <c r="AH317" s="2">
        <v>7.1</v>
      </c>
      <c r="AI317" s="2">
        <v>1.0900000000000001</v>
      </c>
      <c r="AJ317" s="2">
        <v>11.2</v>
      </c>
      <c r="AK317" s="2">
        <v>7.2</v>
      </c>
      <c r="AL317" s="2">
        <v>19.8</v>
      </c>
      <c r="AM317" s="2">
        <v>13.3</v>
      </c>
      <c r="AN317" s="2">
        <v>10.3</v>
      </c>
      <c r="AO317" s="2">
        <v>57.6</v>
      </c>
      <c r="AP317" s="2">
        <v>60.1</v>
      </c>
      <c r="AQ317" s="2">
        <v>15.6</v>
      </c>
      <c r="AR317" s="2">
        <v>103.86</v>
      </c>
      <c r="AS317" s="2">
        <v>10.7</v>
      </c>
      <c r="AT317" s="2">
        <v>1624</v>
      </c>
      <c r="AU317" s="53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6"/>
    </row>
    <row r="318" spans="1:69" ht="13.2">
      <c r="A318" s="1" t="s">
        <v>660</v>
      </c>
      <c r="B318" s="1" t="s">
        <v>661</v>
      </c>
      <c r="C318" s="24" t="str">
        <f>VLOOKUP(B318,Equipe!$A$1:$B$31,2,FALSE)</f>
        <v>Boston Celtics</v>
      </c>
      <c r="D318" s="2">
        <v>25</v>
      </c>
      <c r="E318" s="2">
        <v>62</v>
      </c>
      <c r="F318" s="2">
        <v>46</v>
      </c>
      <c r="G318" s="2">
        <v>16</v>
      </c>
      <c r="H318" s="2">
        <v>13.9</v>
      </c>
      <c r="I318" s="3">
        <v>310</v>
      </c>
      <c r="J318" s="4">
        <v>130</v>
      </c>
      <c r="K318" s="4">
        <v>205</v>
      </c>
      <c r="L318" s="3">
        <v>65</v>
      </c>
      <c r="M318" s="3">
        <v>0</v>
      </c>
      <c r="N318" s="3">
        <v>0</v>
      </c>
      <c r="O318" s="3">
        <v>0</v>
      </c>
      <c r="P318" s="3">
        <v>43</v>
      </c>
      <c r="Q318" s="3">
        <v>62</v>
      </c>
      <c r="R318" s="3">
        <v>75.400000000000006</v>
      </c>
      <c r="S318" s="4">
        <v>87</v>
      </c>
      <c r="T318" s="4">
        <v>149</v>
      </c>
      <c r="U318" s="4">
        <v>236</v>
      </c>
      <c r="V318" s="4">
        <v>43</v>
      </c>
      <c r="W318" s="4">
        <v>37</v>
      </c>
      <c r="X318" s="4">
        <v>19</v>
      </c>
      <c r="Y318" s="4">
        <v>43</v>
      </c>
      <c r="Z318" s="4">
        <v>105</v>
      </c>
      <c r="AA318" s="3">
        <v>800</v>
      </c>
      <c r="AB318" s="3">
        <v>0</v>
      </c>
      <c r="AC318" s="3">
        <v>0</v>
      </c>
      <c r="AD318" s="2">
        <v>2.5</v>
      </c>
      <c r="AE318" s="2">
        <v>117.4</v>
      </c>
      <c r="AF318" s="2">
        <v>108.3</v>
      </c>
      <c r="AG318" s="2">
        <v>9.1</v>
      </c>
      <c r="AH318" s="2">
        <v>7.6</v>
      </c>
      <c r="AI318" s="2">
        <v>1.1299999999999999</v>
      </c>
      <c r="AJ318" s="2">
        <v>14.2</v>
      </c>
      <c r="AK318" s="2">
        <v>10.5</v>
      </c>
      <c r="AL318" s="2">
        <v>16.8</v>
      </c>
      <c r="AM318" s="2">
        <v>13.7</v>
      </c>
      <c r="AN318" s="2">
        <v>12.7</v>
      </c>
      <c r="AO318" s="2">
        <v>65</v>
      </c>
      <c r="AP318" s="2">
        <v>67.400000000000006</v>
      </c>
      <c r="AQ318" s="2">
        <v>13.6</v>
      </c>
      <c r="AR318" s="2">
        <v>95.52</v>
      </c>
      <c r="AS318" s="2">
        <v>10.199999999999999</v>
      </c>
      <c r="AT318" s="2">
        <v>1717</v>
      </c>
      <c r="AU318" s="53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6"/>
    </row>
    <row r="319" spans="1:69" ht="13.2">
      <c r="A319" s="1" t="s">
        <v>662</v>
      </c>
      <c r="B319" s="1" t="s">
        <v>663</v>
      </c>
      <c r="C319" s="24" t="str">
        <f>VLOOKUP(B319,Equipe!$A$1:$B$31,2,FALSE)</f>
        <v>Washington Wizards</v>
      </c>
      <c r="D319" s="2">
        <v>31</v>
      </c>
      <c r="E319" s="2">
        <v>34</v>
      </c>
      <c r="F319" s="2">
        <v>17</v>
      </c>
      <c r="G319" s="2">
        <v>17</v>
      </c>
      <c r="H319" s="2">
        <v>20</v>
      </c>
      <c r="I319" s="3">
        <v>306</v>
      </c>
      <c r="J319" s="4">
        <v>102</v>
      </c>
      <c r="K319" s="4">
        <v>258</v>
      </c>
      <c r="L319" s="3">
        <v>39.299999999999997</v>
      </c>
      <c r="M319" s="4">
        <v>48</v>
      </c>
      <c r="N319" s="4">
        <v>139</v>
      </c>
      <c r="O319" s="3">
        <v>34.799999999999997</v>
      </c>
      <c r="P319" s="3">
        <v>54</v>
      </c>
      <c r="Q319" s="3">
        <v>71</v>
      </c>
      <c r="R319" s="3">
        <v>76.099999999999994</v>
      </c>
      <c r="S319" s="4">
        <v>17</v>
      </c>
      <c r="T319" s="4">
        <v>54</v>
      </c>
      <c r="U319" s="4">
        <v>71</v>
      </c>
      <c r="V319" s="4">
        <v>109</v>
      </c>
      <c r="W319" s="4">
        <v>54</v>
      </c>
      <c r="X319" s="4">
        <v>37</v>
      </c>
      <c r="Y319" s="4">
        <v>10</v>
      </c>
      <c r="Z319" s="4">
        <v>54</v>
      </c>
      <c r="AA319" s="3">
        <v>646</v>
      </c>
      <c r="AB319" s="3">
        <v>0</v>
      </c>
      <c r="AC319" s="3">
        <v>0</v>
      </c>
      <c r="AD319" s="2">
        <v>1.2</v>
      </c>
      <c r="AE319" s="2">
        <v>109.9</v>
      </c>
      <c r="AF319" s="2">
        <v>107.3</v>
      </c>
      <c r="AG319" s="2">
        <v>2.6</v>
      </c>
      <c r="AH319" s="2">
        <v>22.1</v>
      </c>
      <c r="AI319" s="2">
        <v>2.02</v>
      </c>
      <c r="AJ319" s="2">
        <v>24.1</v>
      </c>
      <c r="AK319" s="2">
        <v>2.4</v>
      </c>
      <c r="AL319" s="2">
        <v>6.9</v>
      </c>
      <c r="AM319" s="2">
        <v>4.7</v>
      </c>
      <c r="AN319" s="2">
        <v>11.9</v>
      </c>
      <c r="AO319" s="2">
        <v>48.8</v>
      </c>
      <c r="AP319" s="2">
        <v>52.9</v>
      </c>
      <c r="AQ319" s="2">
        <v>19.8</v>
      </c>
      <c r="AR319" s="2">
        <v>107.13</v>
      </c>
      <c r="AS319" s="2">
        <v>8.6</v>
      </c>
      <c r="AT319" s="2">
        <v>1520</v>
      </c>
      <c r="AU319" s="53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6"/>
    </row>
    <row r="320" spans="1:69" ht="13.2">
      <c r="A320" s="1" t="s">
        <v>664</v>
      </c>
      <c r="B320" s="1" t="s">
        <v>665</v>
      </c>
      <c r="C320" s="24" t="str">
        <f>VLOOKUP(B320,Equipe!$A$1:$B$31,2,FALSE)</f>
        <v>Washington Wizards</v>
      </c>
      <c r="D320" s="2">
        <v>32</v>
      </c>
      <c r="E320" s="2">
        <v>24</v>
      </c>
      <c r="F320" s="2">
        <v>6</v>
      </c>
      <c r="G320" s="2">
        <v>18</v>
      </c>
      <c r="H320" s="2">
        <v>23.5</v>
      </c>
      <c r="I320" s="3">
        <v>305</v>
      </c>
      <c r="J320" s="4">
        <v>103</v>
      </c>
      <c r="K320" s="4">
        <v>240</v>
      </c>
      <c r="L320" s="3">
        <v>43.3</v>
      </c>
      <c r="M320" s="4">
        <v>17</v>
      </c>
      <c r="N320" s="4">
        <v>55</v>
      </c>
      <c r="O320" s="3">
        <v>28.6</v>
      </c>
      <c r="P320" s="3">
        <v>82</v>
      </c>
      <c r="Q320" s="3">
        <v>91</v>
      </c>
      <c r="R320" s="3">
        <v>88</v>
      </c>
      <c r="S320" s="4">
        <v>22</v>
      </c>
      <c r="T320" s="4">
        <v>70</v>
      </c>
      <c r="U320" s="4">
        <v>91</v>
      </c>
      <c r="V320" s="4">
        <v>98</v>
      </c>
      <c r="W320" s="4">
        <v>38</v>
      </c>
      <c r="X320" s="4">
        <v>12</v>
      </c>
      <c r="Y320" s="4">
        <v>5</v>
      </c>
      <c r="Z320" s="4">
        <v>31</v>
      </c>
      <c r="AA320" s="3">
        <v>578</v>
      </c>
      <c r="AB320" s="3">
        <v>2</v>
      </c>
      <c r="AC320" s="3">
        <v>0</v>
      </c>
      <c r="AD320" s="2">
        <v>-5</v>
      </c>
      <c r="AE320" s="2">
        <v>106.5</v>
      </c>
      <c r="AF320" s="2">
        <v>116.9</v>
      </c>
      <c r="AG320" s="2">
        <v>-10.4</v>
      </c>
      <c r="AH320" s="2">
        <v>26.7</v>
      </c>
      <c r="AI320" s="2">
        <v>2.58</v>
      </c>
      <c r="AJ320" s="2">
        <v>23.5</v>
      </c>
      <c r="AK320" s="2">
        <v>3.6</v>
      </c>
      <c r="AL320" s="2">
        <v>11.9</v>
      </c>
      <c r="AM320" s="2">
        <v>7.7</v>
      </c>
      <c r="AN320" s="2">
        <v>9.1</v>
      </c>
      <c r="AO320" s="2">
        <v>46.7</v>
      </c>
      <c r="AP320" s="2">
        <v>54.4</v>
      </c>
      <c r="AQ320" s="2">
        <v>23.1</v>
      </c>
      <c r="AR320" s="2">
        <v>103.18</v>
      </c>
      <c r="AS320" s="2">
        <v>11.3</v>
      </c>
      <c r="AT320" s="2">
        <v>1215</v>
      </c>
      <c r="AU320" s="53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6"/>
    </row>
    <row r="321" spans="1:69" ht="13.2">
      <c r="A321" s="1" t="s">
        <v>668</v>
      </c>
      <c r="B321" s="1" t="s">
        <v>669</v>
      </c>
      <c r="C321" s="24" t="str">
        <f>VLOOKUP(B321,Equipe!$A$1:$B$31,2,FALSE)</f>
        <v>Toronto Raptors</v>
      </c>
      <c r="D321" s="2">
        <v>24</v>
      </c>
      <c r="E321" s="2">
        <v>44</v>
      </c>
      <c r="F321" s="2">
        <v>23</v>
      </c>
      <c r="G321" s="2">
        <v>21</v>
      </c>
      <c r="H321" s="2">
        <v>17.5</v>
      </c>
      <c r="I321" s="3">
        <v>304</v>
      </c>
      <c r="J321" s="4">
        <v>114</v>
      </c>
      <c r="K321" s="4">
        <v>260</v>
      </c>
      <c r="L321" s="3">
        <v>44.4</v>
      </c>
      <c r="M321" s="4">
        <v>18</v>
      </c>
      <c r="N321" s="4">
        <v>53</v>
      </c>
      <c r="O321" s="3">
        <v>32.700000000000003</v>
      </c>
      <c r="P321" s="3">
        <v>53</v>
      </c>
      <c r="Q321" s="3">
        <v>70</v>
      </c>
      <c r="R321" s="3">
        <v>77.099999999999994</v>
      </c>
      <c r="S321" s="4">
        <v>88</v>
      </c>
      <c r="T321" s="4">
        <v>132</v>
      </c>
      <c r="U321" s="4">
        <v>220</v>
      </c>
      <c r="V321" s="4">
        <v>79</v>
      </c>
      <c r="W321" s="4">
        <v>48</v>
      </c>
      <c r="X321" s="4">
        <v>18</v>
      </c>
      <c r="Y321" s="4">
        <v>18</v>
      </c>
      <c r="Z321" s="4">
        <v>101</v>
      </c>
      <c r="AA321" s="3">
        <v>730</v>
      </c>
      <c r="AB321" s="3">
        <v>4</v>
      </c>
      <c r="AC321" s="3">
        <v>0</v>
      </c>
      <c r="AD321" s="2">
        <v>-2</v>
      </c>
      <c r="AE321" s="2">
        <v>104.5</v>
      </c>
      <c r="AF321" s="2">
        <v>109.2</v>
      </c>
      <c r="AG321" s="2">
        <v>-4.8</v>
      </c>
      <c r="AH321" s="2">
        <v>15.2</v>
      </c>
      <c r="AI321" s="2">
        <v>1.57</v>
      </c>
      <c r="AJ321" s="2">
        <v>18.3</v>
      </c>
      <c r="AK321" s="2">
        <v>9.6999999999999993</v>
      </c>
      <c r="AL321" s="2">
        <v>16.100000000000001</v>
      </c>
      <c r="AM321" s="2">
        <v>12.7</v>
      </c>
      <c r="AN321" s="2">
        <v>11.6</v>
      </c>
      <c r="AO321" s="2">
        <v>47.7</v>
      </c>
      <c r="AP321" s="2">
        <v>51.9</v>
      </c>
      <c r="AQ321" s="2">
        <v>17.7</v>
      </c>
      <c r="AR321" s="2">
        <v>102.45</v>
      </c>
      <c r="AS321" s="2">
        <v>8.8000000000000007</v>
      </c>
      <c r="AT321" s="2">
        <v>1639</v>
      </c>
      <c r="AU321" s="53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6"/>
    </row>
    <row r="322" spans="1:69" ht="13.2">
      <c r="A322" s="1" t="s">
        <v>666</v>
      </c>
      <c r="B322" s="1" t="s">
        <v>667</v>
      </c>
      <c r="C322" s="24" t="str">
        <f>VLOOKUP(B322,Equipe!$A$1:$B$31,2,FALSE)</f>
        <v>New Orleans Pelicans</v>
      </c>
      <c r="D322" s="2">
        <v>22</v>
      </c>
      <c r="E322" s="2">
        <v>44</v>
      </c>
      <c r="F322" s="2">
        <v>6</v>
      </c>
      <c r="G322" s="2">
        <v>38</v>
      </c>
      <c r="H322" s="2">
        <v>15</v>
      </c>
      <c r="I322" s="3">
        <v>304</v>
      </c>
      <c r="J322" s="4">
        <v>114</v>
      </c>
      <c r="K322" s="4">
        <v>246</v>
      </c>
      <c r="L322" s="3">
        <v>45.6</v>
      </c>
      <c r="M322" s="4">
        <v>53</v>
      </c>
      <c r="N322" s="4">
        <v>128</v>
      </c>
      <c r="O322" s="3">
        <v>39.5</v>
      </c>
      <c r="P322" s="3">
        <v>26</v>
      </c>
      <c r="Q322" s="3">
        <v>35</v>
      </c>
      <c r="R322" s="3">
        <v>80</v>
      </c>
      <c r="S322" s="4">
        <v>18</v>
      </c>
      <c r="T322" s="4">
        <v>44</v>
      </c>
      <c r="U322" s="4">
        <v>62</v>
      </c>
      <c r="V322" s="4">
        <v>40</v>
      </c>
      <c r="W322" s="4">
        <v>31</v>
      </c>
      <c r="X322" s="4">
        <v>22</v>
      </c>
      <c r="Y322" s="4">
        <v>4</v>
      </c>
      <c r="Z322" s="4">
        <v>40</v>
      </c>
      <c r="AA322" s="3">
        <v>484</v>
      </c>
      <c r="AB322" s="3">
        <v>0</v>
      </c>
      <c r="AC322" s="3">
        <v>0</v>
      </c>
      <c r="AD322" s="2">
        <v>-3.4</v>
      </c>
      <c r="AE322" s="2">
        <v>107.3</v>
      </c>
      <c r="AF322" s="2">
        <v>117.5</v>
      </c>
      <c r="AG322" s="2">
        <v>-10.199999999999999</v>
      </c>
      <c r="AH322" s="2">
        <v>8.9</v>
      </c>
      <c r="AI322" s="2">
        <v>1.3</v>
      </c>
      <c r="AJ322" s="2">
        <v>11.8</v>
      </c>
      <c r="AK322" s="2">
        <v>2.6</v>
      </c>
      <c r="AL322" s="2">
        <v>7</v>
      </c>
      <c r="AM322" s="2">
        <v>4.7</v>
      </c>
      <c r="AN322" s="2">
        <v>9.1</v>
      </c>
      <c r="AO322" s="2">
        <v>55.8</v>
      </c>
      <c r="AP322" s="2">
        <v>57.9</v>
      </c>
      <c r="AQ322" s="2">
        <v>18.3</v>
      </c>
      <c r="AR322" s="2">
        <v>101.12</v>
      </c>
      <c r="AS322" s="2">
        <v>7.2</v>
      </c>
      <c r="AT322" s="2">
        <v>1386</v>
      </c>
      <c r="AU322" s="53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6"/>
    </row>
    <row r="323" spans="1:69" ht="13.2">
      <c r="A323" s="1" t="s">
        <v>670</v>
      </c>
      <c r="B323" s="1" t="s">
        <v>671</v>
      </c>
      <c r="C323" s="24" t="str">
        <f>VLOOKUP(B323,Equipe!$A$1:$B$31,2,FALSE)</f>
        <v>Philadelphia 76ers</v>
      </c>
      <c r="D323" s="2">
        <v>31</v>
      </c>
      <c r="E323" s="2">
        <v>40</v>
      </c>
      <c r="F323" s="2">
        <v>12</v>
      </c>
      <c r="G323" s="2">
        <v>28</v>
      </c>
      <c r="H323" s="2">
        <v>18.8</v>
      </c>
      <c r="I323" s="3">
        <v>292</v>
      </c>
      <c r="J323" s="4">
        <v>116</v>
      </c>
      <c r="K323" s="4">
        <v>236</v>
      </c>
      <c r="L323" s="3">
        <v>50</v>
      </c>
      <c r="M323" s="4">
        <v>4</v>
      </c>
      <c r="N323" s="4">
        <v>20</v>
      </c>
      <c r="O323" s="3">
        <v>15</v>
      </c>
      <c r="P323" s="3">
        <v>56</v>
      </c>
      <c r="Q323" s="3">
        <v>92</v>
      </c>
      <c r="R323" s="3">
        <v>62.2</v>
      </c>
      <c r="S323" s="4">
        <v>108</v>
      </c>
      <c r="T323" s="4">
        <v>200</v>
      </c>
      <c r="U323" s="4">
        <v>312</v>
      </c>
      <c r="V323" s="4">
        <v>36</v>
      </c>
      <c r="W323" s="4">
        <v>56</v>
      </c>
      <c r="X323" s="4">
        <v>40</v>
      </c>
      <c r="Y323" s="4">
        <v>20</v>
      </c>
      <c r="Z323" s="4">
        <v>96</v>
      </c>
      <c r="AA323" s="3">
        <v>832</v>
      </c>
      <c r="AB323" s="3">
        <v>5</v>
      </c>
      <c r="AC323" s="3">
        <v>0</v>
      </c>
      <c r="AD323" s="2">
        <v>-6.1</v>
      </c>
      <c r="AE323" s="2">
        <v>103.4</v>
      </c>
      <c r="AF323" s="2">
        <v>118.9</v>
      </c>
      <c r="AG323" s="2">
        <v>-15.5</v>
      </c>
      <c r="AH323" s="2">
        <v>7</v>
      </c>
      <c r="AI323" s="2">
        <v>0.62</v>
      </c>
      <c r="AJ323" s="2">
        <v>9.4</v>
      </c>
      <c r="AK323" s="2">
        <v>13.4</v>
      </c>
      <c r="AL323" s="2">
        <v>28.8</v>
      </c>
      <c r="AM323" s="2">
        <v>20.5</v>
      </c>
      <c r="AN323" s="2">
        <v>15.2</v>
      </c>
      <c r="AO323" s="2">
        <v>50.6</v>
      </c>
      <c r="AP323" s="2">
        <v>53.5</v>
      </c>
      <c r="AQ323" s="2">
        <v>18.3</v>
      </c>
      <c r="AR323" s="2">
        <v>98.83</v>
      </c>
      <c r="AS323" s="2">
        <v>10.9</v>
      </c>
      <c r="AT323" s="2">
        <v>1543</v>
      </c>
      <c r="AU323" s="53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6"/>
    </row>
    <row r="324" spans="1:69" ht="13.2">
      <c r="A324" s="1" t="s">
        <v>672</v>
      </c>
      <c r="B324" s="1" t="s">
        <v>673</v>
      </c>
      <c r="C324" s="24" t="str">
        <f>VLOOKUP(B324,Equipe!$A$1:$B$31,2,FALSE)</f>
        <v>Portland Trail Blazers</v>
      </c>
      <c r="D324" s="2">
        <v>24</v>
      </c>
      <c r="E324" s="2">
        <v>69</v>
      </c>
      <c r="F324" s="2">
        <v>31</v>
      </c>
      <c r="G324" s="2">
        <v>38</v>
      </c>
      <c r="H324" s="2">
        <v>15.1</v>
      </c>
      <c r="I324" s="3">
        <v>290</v>
      </c>
      <c r="J324" s="4">
        <v>117</v>
      </c>
      <c r="K324" s="4">
        <v>276</v>
      </c>
      <c r="L324" s="3">
        <v>41.9</v>
      </c>
      <c r="M324" s="4">
        <v>28</v>
      </c>
      <c r="N324" s="4">
        <v>117</v>
      </c>
      <c r="O324" s="3">
        <v>22.5</v>
      </c>
      <c r="P324" s="3">
        <v>28</v>
      </c>
      <c r="Q324" s="3">
        <v>55</v>
      </c>
      <c r="R324" s="3">
        <v>45.6</v>
      </c>
      <c r="S324" s="4">
        <v>76</v>
      </c>
      <c r="T324" s="4">
        <v>104</v>
      </c>
      <c r="U324" s="4">
        <v>179</v>
      </c>
      <c r="V324" s="4">
        <v>69</v>
      </c>
      <c r="W324" s="4">
        <v>41</v>
      </c>
      <c r="X324" s="4">
        <v>35</v>
      </c>
      <c r="Y324" s="4">
        <v>14</v>
      </c>
      <c r="Z324" s="4">
        <v>69</v>
      </c>
      <c r="AA324" s="3">
        <v>718</v>
      </c>
      <c r="AB324" s="3">
        <v>1</v>
      </c>
      <c r="AC324" s="3">
        <v>0</v>
      </c>
      <c r="AD324" s="2">
        <v>-0.7</v>
      </c>
      <c r="AE324" s="2">
        <v>106</v>
      </c>
      <c r="AF324" s="2">
        <v>107.8</v>
      </c>
      <c r="AG324" s="2">
        <v>-1.8</v>
      </c>
      <c r="AH324" s="2">
        <v>9</v>
      </c>
      <c r="AI324" s="2">
        <v>1.58</v>
      </c>
      <c r="AJ324" s="2">
        <v>16.3</v>
      </c>
      <c r="AK324" s="2">
        <v>6.6</v>
      </c>
      <c r="AL324" s="2">
        <v>9.6</v>
      </c>
      <c r="AM324" s="2">
        <v>8.1</v>
      </c>
      <c r="AN324" s="2">
        <v>10.3</v>
      </c>
      <c r="AO324" s="2">
        <v>46.8</v>
      </c>
      <c r="AP324" s="2">
        <v>47.2</v>
      </c>
      <c r="AQ324" s="2">
        <v>13.3</v>
      </c>
      <c r="AR324" s="2">
        <v>102.7</v>
      </c>
      <c r="AS324" s="2">
        <v>6.1</v>
      </c>
      <c r="AT324" s="2">
        <v>2221</v>
      </c>
      <c r="AU324" s="53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6"/>
    </row>
    <row r="325" spans="1:69" ht="13.2">
      <c r="A325" s="8" t="s">
        <v>674</v>
      </c>
      <c r="B325" s="1" t="s">
        <v>675</v>
      </c>
      <c r="C325" s="24" t="str">
        <f>VLOOKUP(B325,Equipe!$A$1:$B$31,2,FALSE)</f>
        <v>Philadelphia 76ers</v>
      </c>
      <c r="D325" s="2">
        <v>28</v>
      </c>
      <c r="E325" s="2">
        <v>41</v>
      </c>
      <c r="F325" s="2">
        <v>10</v>
      </c>
      <c r="G325" s="2">
        <v>31</v>
      </c>
      <c r="H325" s="2">
        <v>15.1</v>
      </c>
      <c r="I325" s="3">
        <v>287</v>
      </c>
      <c r="J325" s="4">
        <v>111</v>
      </c>
      <c r="K325" s="4">
        <v>230</v>
      </c>
      <c r="L325" s="3">
        <v>48.7</v>
      </c>
      <c r="M325" s="4">
        <v>29</v>
      </c>
      <c r="N325" s="4">
        <v>70</v>
      </c>
      <c r="O325" s="3">
        <v>40</v>
      </c>
      <c r="P325" s="3">
        <v>33</v>
      </c>
      <c r="Q325" s="3">
        <v>45</v>
      </c>
      <c r="R325" s="3">
        <v>73.3</v>
      </c>
      <c r="S325" s="4">
        <v>12</v>
      </c>
      <c r="T325" s="4">
        <v>49</v>
      </c>
      <c r="U325" s="4">
        <v>62</v>
      </c>
      <c r="V325" s="4">
        <v>78</v>
      </c>
      <c r="W325" s="4">
        <v>16</v>
      </c>
      <c r="X325" s="4">
        <v>25</v>
      </c>
      <c r="Y325" s="4">
        <v>12</v>
      </c>
      <c r="Z325" s="4">
        <v>29</v>
      </c>
      <c r="AA325" s="3">
        <v>566</v>
      </c>
      <c r="AB325" s="3">
        <v>0</v>
      </c>
      <c r="AC325" s="3">
        <v>0</v>
      </c>
      <c r="AD325" s="2">
        <v>-2.5</v>
      </c>
      <c r="AE325" s="2">
        <v>107.6</v>
      </c>
      <c r="AF325" s="2">
        <v>116.7</v>
      </c>
      <c r="AG325" s="2">
        <v>-9.1999999999999993</v>
      </c>
      <c r="AH325" s="2">
        <v>19.600000000000001</v>
      </c>
      <c r="AI325" s="2">
        <v>5.2</v>
      </c>
      <c r="AJ325" s="2">
        <v>22.8</v>
      </c>
      <c r="AK325" s="2">
        <v>1.8</v>
      </c>
      <c r="AL325" s="2">
        <v>7.9</v>
      </c>
      <c r="AM325" s="2">
        <v>4.7</v>
      </c>
      <c r="AN325" s="2">
        <v>4.4000000000000004</v>
      </c>
      <c r="AO325" s="2">
        <v>54.8</v>
      </c>
      <c r="AP325" s="2">
        <v>57</v>
      </c>
      <c r="AQ325" s="2">
        <v>17.600000000000001</v>
      </c>
      <c r="AR325" s="2">
        <v>99.32</v>
      </c>
      <c r="AS325" s="2">
        <v>10.6</v>
      </c>
      <c r="AT325" s="2">
        <v>1291</v>
      </c>
      <c r="AU325" s="53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6"/>
    </row>
    <row r="326" spans="1:69" ht="13.2">
      <c r="A326" s="1" t="s">
        <v>676</v>
      </c>
      <c r="B326" s="1" t="s">
        <v>677</v>
      </c>
      <c r="C326" s="24" t="str">
        <f>VLOOKUP(B326,Equipe!$A$1:$B$31,2,FALSE)</f>
        <v>New York Knicks</v>
      </c>
      <c r="D326" s="2">
        <v>28</v>
      </c>
      <c r="E326" s="2">
        <v>50</v>
      </c>
      <c r="F326" s="2">
        <v>30</v>
      </c>
      <c r="G326" s="2">
        <v>20</v>
      </c>
      <c r="H326" s="2">
        <v>15.2</v>
      </c>
      <c r="I326" s="3">
        <v>285</v>
      </c>
      <c r="J326" s="4">
        <v>105</v>
      </c>
      <c r="K326" s="4">
        <v>230</v>
      </c>
      <c r="L326" s="3">
        <v>46.1</v>
      </c>
      <c r="M326" s="4">
        <v>60</v>
      </c>
      <c r="N326" s="4">
        <v>155</v>
      </c>
      <c r="O326" s="3">
        <v>39.700000000000003</v>
      </c>
      <c r="P326" s="3">
        <v>10</v>
      </c>
      <c r="Q326" s="3">
        <v>20</v>
      </c>
      <c r="R326" s="3">
        <v>66.7</v>
      </c>
      <c r="S326" s="4">
        <v>10</v>
      </c>
      <c r="T326" s="4">
        <v>50</v>
      </c>
      <c r="U326" s="4">
        <v>60</v>
      </c>
      <c r="V326" s="4">
        <v>25</v>
      </c>
      <c r="W326" s="4">
        <v>20</v>
      </c>
      <c r="X326" s="4">
        <v>25</v>
      </c>
      <c r="Y326" s="3">
        <v>0</v>
      </c>
      <c r="Z326" s="4">
        <v>50</v>
      </c>
      <c r="AA326" s="3">
        <v>455</v>
      </c>
      <c r="AB326" s="3">
        <v>0</v>
      </c>
      <c r="AC326" s="3">
        <v>0</v>
      </c>
      <c r="AD326" s="2">
        <v>1.8</v>
      </c>
      <c r="AE326" s="2">
        <v>111.6</v>
      </c>
      <c r="AF326" s="2">
        <v>106.5</v>
      </c>
      <c r="AG326" s="2">
        <v>5.0999999999999996</v>
      </c>
      <c r="AH326" s="2">
        <v>4.9000000000000004</v>
      </c>
      <c r="AI326" s="2">
        <v>1.23</v>
      </c>
      <c r="AJ326" s="2">
        <v>9.4</v>
      </c>
      <c r="AK326" s="2">
        <v>1.4</v>
      </c>
      <c r="AL326" s="2">
        <v>6.4</v>
      </c>
      <c r="AM326" s="2">
        <v>3.9</v>
      </c>
      <c r="AN326" s="2">
        <v>7.7</v>
      </c>
      <c r="AO326" s="2">
        <v>59.6</v>
      </c>
      <c r="AP326" s="2">
        <v>60.1</v>
      </c>
      <c r="AQ326" s="2">
        <v>14.3</v>
      </c>
      <c r="AR326" s="2">
        <v>99.55</v>
      </c>
      <c r="AS326" s="2">
        <v>6.2</v>
      </c>
      <c r="AT326" s="2">
        <v>1583</v>
      </c>
      <c r="AU326" s="53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6"/>
    </row>
    <row r="327" spans="1:69" ht="13.2">
      <c r="A327" s="1" t="s">
        <v>678</v>
      </c>
      <c r="B327" s="1" t="s">
        <v>679</v>
      </c>
      <c r="C327" s="24" t="str">
        <f>VLOOKUP(B327,Equipe!$A$1:$B$31,2,FALSE)</f>
        <v>Charlotte Hornets</v>
      </c>
      <c r="D327" s="2">
        <v>26</v>
      </c>
      <c r="E327" s="2">
        <v>40</v>
      </c>
      <c r="F327" s="2">
        <v>11</v>
      </c>
      <c r="G327" s="2">
        <v>29</v>
      </c>
      <c r="H327" s="2">
        <v>15.6</v>
      </c>
      <c r="I327" s="3">
        <v>284</v>
      </c>
      <c r="J327" s="4">
        <v>96</v>
      </c>
      <c r="K327" s="4">
        <v>212</v>
      </c>
      <c r="L327" s="3">
        <v>44.3</v>
      </c>
      <c r="M327" s="4">
        <v>32</v>
      </c>
      <c r="N327" s="4">
        <v>92</v>
      </c>
      <c r="O327" s="3">
        <v>34.799999999999997</v>
      </c>
      <c r="P327" s="3">
        <v>64</v>
      </c>
      <c r="Q327" s="3">
        <v>84</v>
      </c>
      <c r="R327" s="3">
        <v>74.099999999999994</v>
      </c>
      <c r="S327" s="4">
        <v>44</v>
      </c>
      <c r="T327" s="4">
        <v>68</v>
      </c>
      <c r="U327" s="4">
        <v>112</v>
      </c>
      <c r="V327" s="4">
        <v>32</v>
      </c>
      <c r="W327" s="4">
        <v>32</v>
      </c>
      <c r="X327" s="4">
        <v>48</v>
      </c>
      <c r="Y327" s="4">
        <v>20</v>
      </c>
      <c r="Z327" s="4">
        <v>48</v>
      </c>
      <c r="AA327" s="3">
        <v>636</v>
      </c>
      <c r="AB327" s="3">
        <v>1</v>
      </c>
      <c r="AC327" s="3">
        <v>0</v>
      </c>
      <c r="AD327" s="2">
        <v>-0.3</v>
      </c>
      <c r="AE327" s="2">
        <v>108.8</v>
      </c>
      <c r="AF327" s="2">
        <v>109.3</v>
      </c>
      <c r="AG327" s="2">
        <v>-0.5</v>
      </c>
      <c r="AH327" s="2">
        <v>8.1999999999999993</v>
      </c>
      <c r="AI327" s="2">
        <v>1.06</v>
      </c>
      <c r="AJ327" s="2">
        <v>10.5</v>
      </c>
      <c r="AK327" s="2">
        <v>6.6</v>
      </c>
      <c r="AL327" s="2">
        <v>10.8</v>
      </c>
      <c r="AM327" s="2">
        <v>8.6</v>
      </c>
      <c r="AN327" s="2">
        <v>9.9</v>
      </c>
      <c r="AO327" s="2">
        <v>51.9</v>
      </c>
      <c r="AP327" s="2">
        <v>56.7</v>
      </c>
      <c r="AQ327" s="2">
        <v>18.5</v>
      </c>
      <c r="AR327" s="2">
        <v>98.69</v>
      </c>
      <c r="AS327" s="2">
        <v>10</v>
      </c>
      <c r="AT327" s="2">
        <v>1282</v>
      </c>
      <c r="AU327" s="53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6"/>
    </row>
    <row r="328" spans="1:69" ht="13.2">
      <c r="A328" s="1" t="s">
        <v>680</v>
      </c>
      <c r="B328" s="1" t="s">
        <v>681</v>
      </c>
      <c r="C328" s="24" t="str">
        <f>VLOOKUP(B328,Equipe!$A$1:$B$31,2,FALSE)</f>
        <v>Charlotte Hornets</v>
      </c>
      <c r="D328" s="2">
        <v>22</v>
      </c>
      <c r="E328" s="2">
        <v>36</v>
      </c>
      <c r="F328" s="2">
        <v>3</v>
      </c>
      <c r="G328" s="2">
        <v>33</v>
      </c>
      <c r="H328" s="2">
        <v>23.4</v>
      </c>
      <c r="I328" s="3">
        <v>281</v>
      </c>
      <c r="J328" s="4">
        <v>104</v>
      </c>
      <c r="K328" s="4">
        <v>302</v>
      </c>
      <c r="L328" s="3">
        <v>34.6</v>
      </c>
      <c r="M328" s="4">
        <v>32</v>
      </c>
      <c r="N328" s="4">
        <v>130</v>
      </c>
      <c r="O328" s="3">
        <v>25.4</v>
      </c>
      <c r="P328" s="3">
        <v>40</v>
      </c>
      <c r="Q328" s="3">
        <v>50</v>
      </c>
      <c r="R328" s="3">
        <v>82</v>
      </c>
      <c r="S328" s="4">
        <v>40</v>
      </c>
      <c r="T328" s="4">
        <v>68</v>
      </c>
      <c r="U328" s="4">
        <v>108</v>
      </c>
      <c r="V328" s="4">
        <v>112</v>
      </c>
      <c r="W328" s="4">
        <v>58</v>
      </c>
      <c r="X328" s="4">
        <v>32</v>
      </c>
      <c r="Y328" s="4">
        <v>7</v>
      </c>
      <c r="Z328" s="4">
        <v>58</v>
      </c>
      <c r="AA328" s="3">
        <v>644</v>
      </c>
      <c r="AB328" s="3">
        <v>0</v>
      </c>
      <c r="AC328" s="3">
        <v>0</v>
      </c>
      <c r="AD328" s="2">
        <v>-7.7</v>
      </c>
      <c r="AE328" s="2">
        <v>101</v>
      </c>
      <c r="AF328" s="2">
        <v>116.4</v>
      </c>
      <c r="AG328" s="2">
        <v>-15.4</v>
      </c>
      <c r="AH328" s="2">
        <v>21</v>
      </c>
      <c r="AI328" s="2">
        <v>2</v>
      </c>
      <c r="AJ328" s="2">
        <v>22.8</v>
      </c>
      <c r="AK328" s="2">
        <v>4.2</v>
      </c>
      <c r="AL328" s="2">
        <v>8.1</v>
      </c>
      <c r="AM328" s="2">
        <v>6</v>
      </c>
      <c r="AN328" s="2">
        <v>11.4</v>
      </c>
      <c r="AO328" s="2">
        <v>40</v>
      </c>
      <c r="AP328" s="2">
        <v>43.7</v>
      </c>
      <c r="AQ328" s="2">
        <v>18.8</v>
      </c>
      <c r="AR328" s="2">
        <v>99.1</v>
      </c>
      <c r="AS328" s="2">
        <v>6</v>
      </c>
      <c r="AT328" s="2">
        <v>1734</v>
      </c>
      <c r="AU328" s="53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6"/>
    </row>
    <row r="329" spans="1:69" ht="13.2">
      <c r="A329" s="1" t="s">
        <v>682</v>
      </c>
      <c r="B329" s="1" t="s">
        <v>683</v>
      </c>
      <c r="C329" s="24" t="str">
        <f>VLOOKUP(B329,Equipe!$A$1:$B$31,2,FALSE)</f>
        <v>Los Angeles Clippers</v>
      </c>
      <c r="D329" s="2">
        <v>28</v>
      </c>
      <c r="E329" s="2">
        <v>61</v>
      </c>
      <c r="F329" s="2">
        <v>25</v>
      </c>
      <c r="G329" s="2">
        <v>36</v>
      </c>
      <c r="H329" s="2">
        <v>12.2</v>
      </c>
      <c r="I329" s="3">
        <v>281</v>
      </c>
      <c r="J329" s="4">
        <v>116</v>
      </c>
      <c r="K329" s="4">
        <v>195</v>
      </c>
      <c r="L329" s="3">
        <v>59.3</v>
      </c>
      <c r="M329" s="3">
        <v>0</v>
      </c>
      <c r="N329" s="4">
        <v>6</v>
      </c>
      <c r="O329" s="3">
        <v>50</v>
      </c>
      <c r="P329" s="3">
        <v>49</v>
      </c>
      <c r="Q329" s="3">
        <v>73</v>
      </c>
      <c r="R329" s="3">
        <v>66.2</v>
      </c>
      <c r="S329" s="4">
        <v>61</v>
      </c>
      <c r="T329" s="4">
        <v>165</v>
      </c>
      <c r="U329" s="4">
        <v>226</v>
      </c>
      <c r="V329" s="4">
        <v>55</v>
      </c>
      <c r="W329" s="4">
        <v>43</v>
      </c>
      <c r="X329" s="4">
        <v>12</v>
      </c>
      <c r="Y329" s="4">
        <v>37</v>
      </c>
      <c r="Z329" s="4">
        <v>61</v>
      </c>
      <c r="AA329" s="3">
        <v>744</v>
      </c>
      <c r="AB329" s="3">
        <v>0</v>
      </c>
      <c r="AC329" s="3">
        <v>0</v>
      </c>
      <c r="AD329" s="2">
        <v>-2.1</v>
      </c>
      <c r="AE329" s="2">
        <v>106.7</v>
      </c>
      <c r="AF329" s="2">
        <v>114.8</v>
      </c>
      <c r="AG329" s="2">
        <v>-8.1</v>
      </c>
      <c r="AH329" s="2">
        <v>11</v>
      </c>
      <c r="AI329" s="2">
        <v>1.32</v>
      </c>
      <c r="AJ329" s="2">
        <v>16.7</v>
      </c>
      <c r="AK329" s="2">
        <v>7.8</v>
      </c>
      <c r="AL329" s="2">
        <v>21.1</v>
      </c>
      <c r="AM329" s="2">
        <v>14.5</v>
      </c>
      <c r="AN329" s="2">
        <v>12.7</v>
      </c>
      <c r="AO329" s="2">
        <v>60.1</v>
      </c>
      <c r="AP329" s="2">
        <v>62.2</v>
      </c>
      <c r="AQ329" s="2">
        <v>14.9</v>
      </c>
      <c r="AR329" s="2">
        <v>102.72</v>
      </c>
      <c r="AS329" s="2">
        <v>11.1</v>
      </c>
      <c r="AT329" s="2">
        <v>1598</v>
      </c>
      <c r="AU329" s="53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6"/>
    </row>
    <row r="330" spans="1:69" ht="13.2">
      <c r="A330" s="1" t="s">
        <v>684</v>
      </c>
      <c r="B330" s="1" t="s">
        <v>685</v>
      </c>
      <c r="C330" s="24" t="str">
        <f>VLOOKUP(B330,Equipe!$A$1:$B$31,2,FALSE)</f>
        <v>Oklahoma City Thunder</v>
      </c>
      <c r="D330" s="2">
        <v>22</v>
      </c>
      <c r="E330" s="2">
        <v>47</v>
      </c>
      <c r="F330" s="2">
        <v>40</v>
      </c>
      <c r="G330" s="2">
        <v>7</v>
      </c>
      <c r="H330" s="2">
        <v>16.7</v>
      </c>
      <c r="I330" s="3">
        <v>277</v>
      </c>
      <c r="J330" s="4">
        <v>99</v>
      </c>
      <c r="K330" s="4">
        <v>221</v>
      </c>
      <c r="L330" s="3">
        <v>43.9</v>
      </c>
      <c r="M330" s="4">
        <v>61</v>
      </c>
      <c r="N330" s="4">
        <v>155</v>
      </c>
      <c r="O330" s="3">
        <v>39.9</v>
      </c>
      <c r="P330" s="3">
        <v>24</v>
      </c>
      <c r="Q330" s="3">
        <v>28</v>
      </c>
      <c r="R330" s="3">
        <v>76.7</v>
      </c>
      <c r="S330" s="4">
        <v>47</v>
      </c>
      <c r="T330" s="4">
        <v>216</v>
      </c>
      <c r="U330" s="4">
        <v>263</v>
      </c>
      <c r="V330" s="4">
        <v>122</v>
      </c>
      <c r="W330" s="4">
        <v>33</v>
      </c>
      <c r="X330" s="4">
        <v>24</v>
      </c>
      <c r="Y330" s="4">
        <v>28</v>
      </c>
      <c r="Z330" s="4">
        <v>80</v>
      </c>
      <c r="AA330" s="3">
        <v>888</v>
      </c>
      <c r="AB330" s="3">
        <v>4</v>
      </c>
      <c r="AC330" s="3">
        <v>3</v>
      </c>
      <c r="AD330" s="2">
        <v>6.4</v>
      </c>
      <c r="AE330" s="2">
        <v>121</v>
      </c>
      <c r="AF330" s="2">
        <v>103</v>
      </c>
      <c r="AG330" s="2">
        <v>17.899999999999999</v>
      </c>
      <c r="AH330" s="2">
        <v>19</v>
      </c>
      <c r="AI330" s="2">
        <v>3.43</v>
      </c>
      <c r="AJ330" s="2">
        <v>30.9</v>
      </c>
      <c r="AK330" s="2">
        <v>5.9</v>
      </c>
      <c r="AL330" s="2">
        <v>25.1</v>
      </c>
      <c r="AM330" s="2">
        <v>15.8</v>
      </c>
      <c r="AN330" s="2">
        <v>9</v>
      </c>
      <c r="AO330" s="2">
        <v>57.7</v>
      </c>
      <c r="AP330" s="2">
        <v>59.4</v>
      </c>
      <c r="AQ330" s="2">
        <v>14.1</v>
      </c>
      <c r="AR330" s="2">
        <v>102.7</v>
      </c>
      <c r="AS330" s="2">
        <v>12.4</v>
      </c>
      <c r="AT330" s="2">
        <v>1678</v>
      </c>
      <c r="AU330" s="53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6"/>
    </row>
    <row r="331" spans="1:69" ht="13.2">
      <c r="A331" s="1" t="s">
        <v>686</v>
      </c>
      <c r="B331" s="1" t="s">
        <v>687</v>
      </c>
      <c r="C331" s="24" t="str">
        <f>VLOOKUP(B331,Equipe!$A$1:$B$31,2,FALSE)</f>
        <v>Utah Jazz</v>
      </c>
      <c r="D331" s="2">
        <v>24</v>
      </c>
      <c r="E331" s="2">
        <v>43</v>
      </c>
      <c r="F331" s="2">
        <v>11</v>
      </c>
      <c r="G331" s="2">
        <v>32</v>
      </c>
      <c r="H331" s="2">
        <v>21.2</v>
      </c>
      <c r="I331" s="3">
        <v>275</v>
      </c>
      <c r="J331" s="4">
        <v>112</v>
      </c>
      <c r="K331" s="4">
        <v>202</v>
      </c>
      <c r="L331" s="3">
        <v>55.2</v>
      </c>
      <c r="M331" s="4">
        <v>13</v>
      </c>
      <c r="N331" s="4">
        <v>56</v>
      </c>
      <c r="O331" s="3">
        <v>25.9</v>
      </c>
      <c r="P331" s="3">
        <v>39</v>
      </c>
      <c r="Q331" s="3">
        <v>47</v>
      </c>
      <c r="R331" s="3">
        <v>78.7</v>
      </c>
      <c r="S331" s="4">
        <v>30</v>
      </c>
      <c r="T331" s="4">
        <v>95</v>
      </c>
      <c r="U331" s="4">
        <v>125</v>
      </c>
      <c r="V331" s="4">
        <v>47</v>
      </c>
      <c r="W331" s="4">
        <v>26</v>
      </c>
      <c r="X331" s="4">
        <v>17</v>
      </c>
      <c r="Y331" s="4">
        <v>22</v>
      </c>
      <c r="Z331" s="4">
        <v>99</v>
      </c>
      <c r="AA331" s="3">
        <v>589</v>
      </c>
      <c r="AB331" s="3">
        <v>0</v>
      </c>
      <c r="AC331" s="3">
        <v>0</v>
      </c>
      <c r="AD331" s="2">
        <v>-3.3</v>
      </c>
      <c r="AE331" s="2">
        <v>109.3</v>
      </c>
      <c r="AF331" s="2">
        <v>117.4</v>
      </c>
      <c r="AG331" s="2">
        <v>-8.1</v>
      </c>
      <c r="AH331" s="2">
        <v>7.4</v>
      </c>
      <c r="AI331" s="2">
        <v>2</v>
      </c>
      <c r="AJ331" s="2">
        <v>16.399999999999999</v>
      </c>
      <c r="AK331" s="2">
        <v>3.2</v>
      </c>
      <c r="AL331" s="2">
        <v>10.3</v>
      </c>
      <c r="AM331" s="2">
        <v>6.7</v>
      </c>
      <c r="AN331" s="2">
        <v>8.1999999999999993</v>
      </c>
      <c r="AO331" s="2">
        <v>59</v>
      </c>
      <c r="AP331" s="2">
        <v>61.8</v>
      </c>
      <c r="AQ331" s="2">
        <v>11.2</v>
      </c>
      <c r="AR331" s="2">
        <v>100.63</v>
      </c>
      <c r="AS331" s="2">
        <v>6.1</v>
      </c>
      <c r="AT331" s="2">
        <v>1917</v>
      </c>
      <c r="AU331" s="53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6"/>
    </row>
    <row r="332" spans="1:69" ht="13.2">
      <c r="A332" s="1" t="s">
        <v>688</v>
      </c>
      <c r="B332" s="1" t="s">
        <v>689</v>
      </c>
      <c r="C332" s="24" t="str">
        <f>VLOOKUP(B332,Equipe!$A$1:$B$31,2,FALSE)</f>
        <v>Dallas Mavericks</v>
      </c>
      <c r="D332" s="2">
        <v>25</v>
      </c>
      <c r="E332" s="2">
        <v>33</v>
      </c>
      <c r="F332" s="2">
        <v>15</v>
      </c>
      <c r="G332" s="2">
        <v>18</v>
      </c>
      <c r="H332" s="2">
        <v>14.8</v>
      </c>
      <c r="I332" s="3">
        <v>274</v>
      </c>
      <c r="J332" s="4">
        <v>99</v>
      </c>
      <c r="K332" s="4">
        <v>188</v>
      </c>
      <c r="L332" s="3">
        <v>52.1</v>
      </c>
      <c r="M332" s="4">
        <v>23</v>
      </c>
      <c r="N332" s="4">
        <v>59</v>
      </c>
      <c r="O332" s="3">
        <v>40</v>
      </c>
      <c r="P332" s="3">
        <v>56</v>
      </c>
      <c r="Q332" s="3">
        <v>66</v>
      </c>
      <c r="R332" s="3">
        <v>83.3</v>
      </c>
      <c r="S332" s="4">
        <v>13</v>
      </c>
      <c r="T332" s="4">
        <v>46</v>
      </c>
      <c r="U332" s="4">
        <v>59</v>
      </c>
      <c r="V332" s="4">
        <v>76</v>
      </c>
      <c r="W332" s="4">
        <v>40</v>
      </c>
      <c r="X332" s="4">
        <v>23</v>
      </c>
      <c r="Y332" s="4">
        <v>7</v>
      </c>
      <c r="Z332" s="4">
        <v>33</v>
      </c>
      <c r="AA332" s="3">
        <v>508</v>
      </c>
      <c r="AB332" s="3">
        <v>0</v>
      </c>
      <c r="AC332" s="3">
        <v>0</v>
      </c>
      <c r="AD332" s="2">
        <v>0.3</v>
      </c>
      <c r="AE332" s="2">
        <v>109.5</v>
      </c>
      <c r="AF332" s="2">
        <v>108.8</v>
      </c>
      <c r="AG332" s="2">
        <v>0.7</v>
      </c>
      <c r="AH332" s="2">
        <v>22.8</v>
      </c>
      <c r="AI332" s="2">
        <v>1.95</v>
      </c>
      <c r="AJ332" s="2">
        <v>22.9</v>
      </c>
      <c r="AK332" s="2">
        <v>2.5</v>
      </c>
      <c r="AL332" s="2">
        <v>9.1</v>
      </c>
      <c r="AM332" s="2">
        <v>5.9</v>
      </c>
      <c r="AN332" s="2">
        <v>11.7</v>
      </c>
      <c r="AO332" s="2">
        <v>58.5</v>
      </c>
      <c r="AP332" s="2">
        <v>63.4</v>
      </c>
      <c r="AQ332" s="2">
        <v>21.8</v>
      </c>
      <c r="AR332" s="2">
        <v>104.74</v>
      </c>
      <c r="AS332" s="2">
        <v>11.9</v>
      </c>
      <c r="AT332" s="2">
        <v>1064</v>
      </c>
      <c r="AU332" s="53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6"/>
    </row>
    <row r="333" spans="1:69" ht="13.2">
      <c r="A333" s="1" t="s">
        <v>690</v>
      </c>
      <c r="B333" s="1" t="s">
        <v>691</v>
      </c>
      <c r="C333" s="24" t="str">
        <f>VLOOKUP(B333,Equipe!$A$1:$B$31,2,FALSE)</f>
        <v>Phoenix Suns</v>
      </c>
      <c r="D333" s="2">
        <v>31</v>
      </c>
      <c r="E333" s="2">
        <v>41</v>
      </c>
      <c r="F333" s="2">
        <v>8</v>
      </c>
      <c r="G333" s="2">
        <v>33</v>
      </c>
      <c r="H333" s="2">
        <v>19.100000000000001</v>
      </c>
      <c r="I333" s="3">
        <v>271</v>
      </c>
      <c r="J333" s="4">
        <v>94</v>
      </c>
      <c r="K333" s="4">
        <v>275</v>
      </c>
      <c r="L333" s="3">
        <v>34.799999999999997</v>
      </c>
      <c r="M333" s="4">
        <v>45</v>
      </c>
      <c r="N333" s="4">
        <v>123</v>
      </c>
      <c r="O333" s="3">
        <v>36</v>
      </c>
      <c r="P333" s="3">
        <v>33</v>
      </c>
      <c r="Q333" s="3">
        <v>41</v>
      </c>
      <c r="R333" s="3">
        <v>82.9</v>
      </c>
      <c r="S333" s="4">
        <v>21</v>
      </c>
      <c r="T333" s="4">
        <v>70</v>
      </c>
      <c r="U333" s="4">
        <v>90</v>
      </c>
      <c r="V333" s="4">
        <v>127</v>
      </c>
      <c r="W333" s="4">
        <v>78</v>
      </c>
      <c r="X333" s="4">
        <v>16</v>
      </c>
      <c r="Y333" s="3">
        <v>0</v>
      </c>
      <c r="Z333" s="4">
        <v>45</v>
      </c>
      <c r="AA333" s="3">
        <v>537</v>
      </c>
      <c r="AB333" s="3">
        <v>1</v>
      </c>
      <c r="AC333" s="3">
        <v>0</v>
      </c>
      <c r="AD333" s="2">
        <v>-3</v>
      </c>
      <c r="AE333" s="2">
        <v>102.2</v>
      </c>
      <c r="AF333" s="2">
        <v>109.4</v>
      </c>
      <c r="AG333" s="2">
        <v>-7.2</v>
      </c>
      <c r="AH333" s="2">
        <v>25.8</v>
      </c>
      <c r="AI333" s="2">
        <v>1.66</v>
      </c>
      <c r="AJ333" s="2">
        <v>25.9</v>
      </c>
      <c r="AK333" s="2">
        <v>2.2999999999999998</v>
      </c>
      <c r="AL333" s="2">
        <v>8.5</v>
      </c>
      <c r="AM333" s="2">
        <v>5.3</v>
      </c>
      <c r="AN333" s="2">
        <v>15.6</v>
      </c>
      <c r="AO333" s="2">
        <v>43</v>
      </c>
      <c r="AP333" s="2">
        <v>46.2</v>
      </c>
      <c r="AQ333" s="2">
        <v>19.899999999999999</v>
      </c>
      <c r="AR333" s="2">
        <v>97.45</v>
      </c>
      <c r="AS333" s="2">
        <v>6.1</v>
      </c>
      <c r="AT333" s="2">
        <v>1590</v>
      </c>
      <c r="AU333" s="53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6"/>
    </row>
    <row r="334" spans="1:69" ht="13.2">
      <c r="A334" s="1" t="s">
        <v>692</v>
      </c>
      <c r="B334" s="1" t="s">
        <v>693</v>
      </c>
      <c r="C334" s="24" t="str">
        <f>VLOOKUP(B334,Equipe!$A$1:$B$31,2,FALSE)</f>
        <v>Orlando Magic</v>
      </c>
      <c r="D334" s="2">
        <v>21</v>
      </c>
      <c r="E334" s="2">
        <v>60</v>
      </c>
      <c r="F334" s="2">
        <v>29</v>
      </c>
      <c r="G334" s="2">
        <v>31</v>
      </c>
      <c r="H334" s="2">
        <v>11.7</v>
      </c>
      <c r="I334" s="3">
        <v>270</v>
      </c>
      <c r="J334" s="4">
        <v>96</v>
      </c>
      <c r="K334" s="4">
        <v>264</v>
      </c>
      <c r="L334" s="3">
        <v>37.4</v>
      </c>
      <c r="M334" s="4">
        <v>54</v>
      </c>
      <c r="N334" s="4">
        <v>186</v>
      </c>
      <c r="O334" s="3">
        <v>29.6</v>
      </c>
      <c r="P334" s="3">
        <v>18</v>
      </c>
      <c r="Q334" s="3">
        <v>24</v>
      </c>
      <c r="R334" s="3">
        <v>69.599999999999994</v>
      </c>
      <c r="S334" s="4">
        <v>18</v>
      </c>
      <c r="T334" s="4">
        <v>48</v>
      </c>
      <c r="U334" s="4">
        <v>72</v>
      </c>
      <c r="V334" s="4">
        <v>42</v>
      </c>
      <c r="W334" s="4">
        <v>36</v>
      </c>
      <c r="X334" s="4">
        <v>12</v>
      </c>
      <c r="Y334" s="4">
        <v>12</v>
      </c>
      <c r="Z334" s="4">
        <v>66</v>
      </c>
      <c r="AA334" s="3">
        <v>456</v>
      </c>
      <c r="AB334" s="3">
        <v>0</v>
      </c>
      <c r="AC334" s="3">
        <v>0</v>
      </c>
      <c r="AD334" s="2">
        <v>-1.4</v>
      </c>
      <c r="AE334" s="2">
        <v>103</v>
      </c>
      <c r="AF334" s="2">
        <v>108.7</v>
      </c>
      <c r="AG334" s="2">
        <v>-5.7</v>
      </c>
      <c r="AH334" s="2">
        <v>10.199999999999999</v>
      </c>
      <c r="AI334" s="2">
        <v>1.22</v>
      </c>
      <c r="AJ334" s="2">
        <v>12.5</v>
      </c>
      <c r="AK334" s="2">
        <v>2.6</v>
      </c>
      <c r="AL334" s="2">
        <v>7.4</v>
      </c>
      <c r="AM334" s="2">
        <v>4.8</v>
      </c>
      <c r="AN334" s="2">
        <v>10.199999999999999</v>
      </c>
      <c r="AO334" s="2">
        <v>47.9</v>
      </c>
      <c r="AP334" s="2">
        <v>49.1</v>
      </c>
      <c r="AQ334" s="2">
        <v>18.100000000000001</v>
      </c>
      <c r="AR334" s="2">
        <v>99.92</v>
      </c>
      <c r="AS334" s="2">
        <v>4.5</v>
      </c>
      <c r="AT334" s="2">
        <v>1458</v>
      </c>
      <c r="AU334" s="53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6"/>
    </row>
    <row r="335" spans="1:69" ht="13.2">
      <c r="A335" s="1" t="s">
        <v>696</v>
      </c>
      <c r="B335" s="1" t="s">
        <v>697</v>
      </c>
      <c r="C335" s="24" t="str">
        <f>VLOOKUP(B335,Equipe!$A$1:$B$31,2,FALSE)</f>
        <v>Chicago Bulls</v>
      </c>
      <c r="D335" s="2">
        <v>27</v>
      </c>
      <c r="E335" s="2">
        <v>35</v>
      </c>
      <c r="F335" s="2">
        <v>16</v>
      </c>
      <c r="G335" s="2">
        <v>19</v>
      </c>
      <c r="H335" s="2">
        <v>22.2</v>
      </c>
      <c r="I335" s="3">
        <v>266</v>
      </c>
      <c r="J335" s="4">
        <v>88</v>
      </c>
      <c r="K335" s="4">
        <v>242</v>
      </c>
      <c r="L335" s="3">
        <v>36.6</v>
      </c>
      <c r="M335" s="4">
        <v>67</v>
      </c>
      <c r="N335" s="4">
        <v>196</v>
      </c>
      <c r="O335" s="3">
        <v>34.4</v>
      </c>
      <c r="P335" s="3">
        <v>21</v>
      </c>
      <c r="Q335" s="3">
        <v>28</v>
      </c>
      <c r="R335" s="3">
        <v>81.5</v>
      </c>
      <c r="S335" s="4">
        <v>25</v>
      </c>
      <c r="T335" s="4">
        <v>95</v>
      </c>
      <c r="U335" s="4">
        <v>119</v>
      </c>
      <c r="V335" s="4">
        <v>116</v>
      </c>
      <c r="W335" s="4">
        <v>42</v>
      </c>
      <c r="X335" s="4">
        <v>46</v>
      </c>
      <c r="Y335" s="4">
        <v>18</v>
      </c>
      <c r="Z335" s="4">
        <v>56</v>
      </c>
      <c r="AA335" s="3">
        <v>732</v>
      </c>
      <c r="AB335" s="3">
        <v>0</v>
      </c>
      <c r="AC335" s="3">
        <v>0</v>
      </c>
      <c r="AD335" s="2">
        <v>2.9</v>
      </c>
      <c r="AE335" s="2">
        <v>113.5</v>
      </c>
      <c r="AF335" s="2">
        <v>108</v>
      </c>
      <c r="AG335" s="2">
        <v>5.5</v>
      </c>
      <c r="AH335" s="2">
        <v>18.7</v>
      </c>
      <c r="AI335" s="2">
        <v>2.8</v>
      </c>
      <c r="AJ335" s="2">
        <v>28</v>
      </c>
      <c r="AK335" s="2">
        <v>2.9</v>
      </c>
      <c r="AL335" s="2">
        <v>10.6</v>
      </c>
      <c r="AM335" s="2">
        <v>6.8</v>
      </c>
      <c r="AN335" s="2">
        <v>10</v>
      </c>
      <c r="AO335" s="2">
        <v>50.4</v>
      </c>
      <c r="AP335" s="2">
        <v>52.4</v>
      </c>
      <c r="AQ335" s="2">
        <v>15.2</v>
      </c>
      <c r="AR335" s="2">
        <v>105.6</v>
      </c>
      <c r="AS335" s="2">
        <v>7.8</v>
      </c>
      <c r="AT335" s="2">
        <v>1712</v>
      </c>
      <c r="AU335" s="53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6"/>
    </row>
    <row r="336" spans="1:69" ht="13.2">
      <c r="A336" s="1" t="s">
        <v>694</v>
      </c>
      <c r="B336" s="1" t="s">
        <v>695</v>
      </c>
      <c r="C336" s="24" t="str">
        <f>VLOOKUP(B336,Equipe!$A$1:$B$31,2,FALSE)</f>
        <v>Brooklyn Nets</v>
      </c>
      <c r="D336" s="2">
        <v>24</v>
      </c>
      <c r="E336" s="2">
        <v>28</v>
      </c>
      <c r="F336" s="2">
        <v>8</v>
      </c>
      <c r="G336" s="2">
        <v>20</v>
      </c>
      <c r="H336" s="2">
        <v>23.7</v>
      </c>
      <c r="I336" s="3">
        <v>266</v>
      </c>
      <c r="J336" s="4">
        <v>95</v>
      </c>
      <c r="K336" s="4">
        <v>221</v>
      </c>
      <c r="L336" s="3">
        <v>42.7</v>
      </c>
      <c r="M336" s="4">
        <v>25</v>
      </c>
      <c r="N336" s="4">
        <v>78</v>
      </c>
      <c r="O336" s="3">
        <v>31.2</v>
      </c>
      <c r="P336" s="3">
        <v>56</v>
      </c>
      <c r="Q336" s="3">
        <v>73</v>
      </c>
      <c r="R336" s="3">
        <v>75.3</v>
      </c>
      <c r="S336" s="4">
        <v>31</v>
      </c>
      <c r="T336" s="4">
        <v>87</v>
      </c>
      <c r="U336" s="4">
        <v>120</v>
      </c>
      <c r="V336" s="4">
        <v>56</v>
      </c>
      <c r="W336" s="4">
        <v>39</v>
      </c>
      <c r="X336" s="4">
        <v>25</v>
      </c>
      <c r="Y336" s="4">
        <v>11</v>
      </c>
      <c r="Z336" s="4">
        <v>56</v>
      </c>
      <c r="AA336" s="3">
        <v>557</v>
      </c>
      <c r="AB336" s="3">
        <v>0</v>
      </c>
      <c r="AC336" s="3">
        <v>0</v>
      </c>
      <c r="AD336" s="2">
        <v>-2.4</v>
      </c>
      <c r="AE336" s="2">
        <v>103.4</v>
      </c>
      <c r="AF336" s="2">
        <v>108.4</v>
      </c>
      <c r="AG336" s="2">
        <v>-5</v>
      </c>
      <c r="AH336" s="2">
        <v>13.2</v>
      </c>
      <c r="AI336" s="2">
        <v>1.41</v>
      </c>
      <c r="AJ336" s="2">
        <v>15.9</v>
      </c>
      <c r="AK336" s="2">
        <v>4.4000000000000004</v>
      </c>
      <c r="AL336" s="2">
        <v>13.6</v>
      </c>
      <c r="AM336" s="2">
        <v>8.6999999999999993</v>
      </c>
      <c r="AN336" s="2">
        <v>11.2</v>
      </c>
      <c r="AO336" s="2">
        <v>48.2</v>
      </c>
      <c r="AP336" s="2">
        <v>53</v>
      </c>
      <c r="AQ336" s="2">
        <v>18.3</v>
      </c>
      <c r="AR336" s="2">
        <v>97.96</v>
      </c>
      <c r="AS336" s="2">
        <v>8.6999999999999993</v>
      </c>
      <c r="AT336" s="2">
        <v>1358</v>
      </c>
      <c r="AU336" s="53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6"/>
    </row>
    <row r="337" spans="1:69" ht="13.2">
      <c r="A337" s="1" t="s">
        <v>698</v>
      </c>
      <c r="B337" s="1" t="s">
        <v>699</v>
      </c>
      <c r="C337" s="24" t="str">
        <f>VLOOKUP(B337,Equipe!$A$1:$B$31,2,FALSE)</f>
        <v>Philadelphia 76ers</v>
      </c>
      <c r="D337" s="2">
        <v>36</v>
      </c>
      <c r="E337" s="2">
        <v>39</v>
      </c>
      <c r="F337" s="2">
        <v>12</v>
      </c>
      <c r="G337" s="2">
        <v>27</v>
      </c>
      <c r="H337" s="2">
        <v>19.7</v>
      </c>
      <c r="I337" s="3">
        <v>265</v>
      </c>
      <c r="J337" s="4">
        <v>86</v>
      </c>
      <c r="K337" s="4">
        <v>203</v>
      </c>
      <c r="L337" s="3">
        <v>42.6</v>
      </c>
      <c r="M337" s="4">
        <v>55</v>
      </c>
      <c r="N337" s="4">
        <v>137</v>
      </c>
      <c r="O337" s="3">
        <v>40.9</v>
      </c>
      <c r="P337" s="3">
        <v>35</v>
      </c>
      <c r="Q337" s="3">
        <v>47</v>
      </c>
      <c r="R337" s="3">
        <v>75</v>
      </c>
      <c r="S337" s="4">
        <v>8</v>
      </c>
      <c r="T337" s="4">
        <v>39</v>
      </c>
      <c r="U337" s="4">
        <v>47</v>
      </c>
      <c r="V337" s="4">
        <v>66</v>
      </c>
      <c r="W337" s="4">
        <v>27</v>
      </c>
      <c r="X337" s="4">
        <v>27</v>
      </c>
      <c r="Y337" s="4">
        <v>12</v>
      </c>
      <c r="Z337" s="4">
        <v>31</v>
      </c>
      <c r="AA337" s="3">
        <v>503</v>
      </c>
      <c r="AB337" s="3">
        <v>0</v>
      </c>
      <c r="AC337" s="3">
        <v>0</v>
      </c>
      <c r="AD337" s="2">
        <v>-1.8</v>
      </c>
      <c r="AE337" s="2">
        <v>111</v>
      </c>
      <c r="AF337" s="2">
        <v>116.4</v>
      </c>
      <c r="AG337" s="2">
        <v>-5.4</v>
      </c>
      <c r="AH337" s="2">
        <v>11.8</v>
      </c>
      <c r="AI337" s="2">
        <v>2.3199999999999998</v>
      </c>
      <c r="AJ337" s="2">
        <v>20.5</v>
      </c>
      <c r="AK337" s="2">
        <v>1.1000000000000001</v>
      </c>
      <c r="AL337" s="2">
        <v>5.2</v>
      </c>
      <c r="AM337" s="2">
        <v>3.1</v>
      </c>
      <c r="AN337" s="2">
        <v>8.8000000000000007</v>
      </c>
      <c r="AO337" s="2">
        <v>56.4</v>
      </c>
      <c r="AP337" s="2">
        <v>59.1</v>
      </c>
      <c r="AQ337" s="2">
        <v>14</v>
      </c>
      <c r="AR337" s="2">
        <v>99.62</v>
      </c>
      <c r="AS337" s="2">
        <v>6.7</v>
      </c>
      <c r="AT337" s="2">
        <v>1601</v>
      </c>
      <c r="AU337" s="53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6"/>
    </row>
    <row r="338" spans="1:69" ht="13.2">
      <c r="A338" s="1" t="s">
        <v>700</v>
      </c>
      <c r="B338" s="1" t="s">
        <v>701</v>
      </c>
      <c r="C338" s="24" t="str">
        <f>VLOOKUP(B338,Equipe!$A$1:$B$31,2,FALSE)</f>
        <v>Phoenix Suns</v>
      </c>
      <c r="D338" s="2">
        <v>22</v>
      </c>
      <c r="E338" s="2">
        <v>61</v>
      </c>
      <c r="F338" s="2">
        <v>25</v>
      </c>
      <c r="G338" s="2">
        <v>36</v>
      </c>
      <c r="H338" s="2">
        <v>17.100000000000001</v>
      </c>
      <c r="I338" s="3">
        <v>256</v>
      </c>
      <c r="J338" s="4">
        <v>116</v>
      </c>
      <c r="K338" s="4">
        <v>189</v>
      </c>
      <c r="L338" s="3">
        <v>60.4</v>
      </c>
      <c r="M338" s="3">
        <v>0</v>
      </c>
      <c r="N338" s="3">
        <v>0</v>
      </c>
      <c r="O338" s="3">
        <v>0</v>
      </c>
      <c r="P338" s="3">
        <v>31</v>
      </c>
      <c r="Q338" s="3">
        <v>49</v>
      </c>
      <c r="R338" s="3">
        <v>58</v>
      </c>
      <c r="S338" s="4">
        <v>67</v>
      </c>
      <c r="T338" s="4">
        <v>159</v>
      </c>
      <c r="U338" s="4">
        <v>220</v>
      </c>
      <c r="V338" s="4">
        <v>73</v>
      </c>
      <c r="W338" s="4">
        <v>37</v>
      </c>
      <c r="X338" s="4">
        <v>31</v>
      </c>
      <c r="Y338" s="4">
        <v>31</v>
      </c>
      <c r="Z338" s="4">
        <v>104</v>
      </c>
      <c r="AA338" s="3">
        <v>763</v>
      </c>
      <c r="AB338" s="3">
        <v>0</v>
      </c>
      <c r="AC338" s="3">
        <v>0</v>
      </c>
      <c r="AD338" s="2">
        <v>-0.3</v>
      </c>
      <c r="AE338" s="2">
        <v>109.4</v>
      </c>
      <c r="AF338" s="2">
        <v>110</v>
      </c>
      <c r="AG338" s="2">
        <v>-0.6</v>
      </c>
      <c r="AH338" s="2">
        <v>9.5</v>
      </c>
      <c r="AI338" s="2">
        <v>1.82</v>
      </c>
      <c r="AJ338" s="2">
        <v>22.3</v>
      </c>
      <c r="AK338" s="2">
        <v>6.3</v>
      </c>
      <c r="AL338" s="2">
        <v>14.3</v>
      </c>
      <c r="AM338" s="2">
        <v>10.4</v>
      </c>
      <c r="AN338" s="2">
        <v>12.2</v>
      </c>
      <c r="AO338" s="2">
        <v>60.4</v>
      </c>
      <c r="AP338" s="2">
        <v>61</v>
      </c>
      <c r="AQ338" s="2">
        <v>10.3</v>
      </c>
      <c r="AR338" s="2">
        <v>99.05</v>
      </c>
      <c r="AS338" s="2">
        <v>7.3</v>
      </c>
      <c r="AT338" s="2">
        <v>2154</v>
      </c>
      <c r="AU338" s="53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6"/>
    </row>
    <row r="339" spans="1:69" ht="13.2">
      <c r="A339" s="1" t="s">
        <v>704</v>
      </c>
      <c r="B339" s="1" t="s">
        <v>705</v>
      </c>
      <c r="C339" s="24" t="str">
        <f>VLOOKUP(B339,Equipe!$A$1:$B$31,2,FALSE)</f>
        <v>Los Angeles Clippers</v>
      </c>
      <c r="D339" s="2">
        <v>28</v>
      </c>
      <c r="E339" s="2">
        <v>51</v>
      </c>
      <c r="F339" s="2">
        <v>26</v>
      </c>
      <c r="G339" s="2">
        <v>25</v>
      </c>
      <c r="H339" s="2">
        <v>22</v>
      </c>
      <c r="I339" s="3">
        <v>255</v>
      </c>
      <c r="J339" s="4">
        <v>117</v>
      </c>
      <c r="K339" s="4">
        <v>224</v>
      </c>
      <c r="L339" s="3">
        <v>52</v>
      </c>
      <c r="M339" s="3">
        <v>0</v>
      </c>
      <c r="N339" s="3">
        <v>0</v>
      </c>
      <c r="O339" s="3">
        <v>0</v>
      </c>
      <c r="P339" s="3">
        <v>26</v>
      </c>
      <c r="Q339" s="3">
        <v>31</v>
      </c>
      <c r="R339" s="3">
        <v>72.7</v>
      </c>
      <c r="S339" s="4">
        <v>46</v>
      </c>
      <c r="T339" s="4">
        <v>194</v>
      </c>
      <c r="U339" s="4">
        <v>240</v>
      </c>
      <c r="V339" s="4">
        <v>286</v>
      </c>
      <c r="W339" s="4">
        <v>102</v>
      </c>
      <c r="X339" s="4">
        <v>36</v>
      </c>
      <c r="Y339" s="4">
        <v>26</v>
      </c>
      <c r="Z339" s="4">
        <v>107</v>
      </c>
      <c r="AA339" s="3">
        <v>1056</v>
      </c>
      <c r="AB339" s="3">
        <v>1</v>
      </c>
      <c r="AC339" s="3">
        <v>0</v>
      </c>
      <c r="AD339" s="2">
        <v>-1.1000000000000001</v>
      </c>
      <c r="AE339" s="2">
        <v>111.7</v>
      </c>
      <c r="AF339" s="2">
        <v>113.5</v>
      </c>
      <c r="AG339" s="2">
        <v>-1.8</v>
      </c>
      <c r="AH339" s="2">
        <v>35.799999999999997</v>
      </c>
      <c r="AI339" s="2">
        <v>2.79</v>
      </c>
      <c r="AJ339" s="2">
        <v>45.7</v>
      </c>
      <c r="AK339" s="2">
        <v>4.3</v>
      </c>
      <c r="AL339" s="2">
        <v>18.399999999999999</v>
      </c>
      <c r="AM339" s="2">
        <v>11.3</v>
      </c>
      <c r="AN339" s="2">
        <v>16.3</v>
      </c>
      <c r="AO339" s="2">
        <v>52</v>
      </c>
      <c r="AP339" s="2">
        <v>53.9</v>
      </c>
      <c r="AQ339" s="2">
        <v>13.3</v>
      </c>
      <c r="AR339" s="2">
        <v>98.17</v>
      </c>
      <c r="AS339" s="2">
        <v>10.3</v>
      </c>
      <c r="AT339" s="2">
        <v>2283</v>
      </c>
      <c r="AU339" s="53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6"/>
    </row>
    <row r="340" spans="1:69" ht="13.2">
      <c r="A340" s="1" t="s">
        <v>702</v>
      </c>
      <c r="B340" s="1" t="s">
        <v>703</v>
      </c>
      <c r="C340" s="24" t="str">
        <f>VLOOKUP(B340,Equipe!$A$1:$B$31,2,FALSE)</f>
        <v>Detroit Pistons</v>
      </c>
      <c r="D340" s="2">
        <v>27</v>
      </c>
      <c r="E340" s="2">
        <v>52</v>
      </c>
      <c r="F340" s="2">
        <v>27</v>
      </c>
      <c r="G340" s="2">
        <v>25</v>
      </c>
      <c r="H340" s="2">
        <v>15</v>
      </c>
      <c r="I340" s="3">
        <v>255</v>
      </c>
      <c r="J340" s="4">
        <v>94</v>
      </c>
      <c r="K340" s="4">
        <v>250</v>
      </c>
      <c r="L340" s="3">
        <v>36.9</v>
      </c>
      <c r="M340" s="4">
        <v>62</v>
      </c>
      <c r="N340" s="4">
        <v>187</v>
      </c>
      <c r="O340" s="3">
        <v>34.4</v>
      </c>
      <c r="P340" s="3">
        <v>10</v>
      </c>
      <c r="Q340" s="3">
        <v>10</v>
      </c>
      <c r="R340" s="3">
        <v>72.7</v>
      </c>
      <c r="S340" s="4">
        <v>21</v>
      </c>
      <c r="T340" s="4">
        <v>88</v>
      </c>
      <c r="U340" s="4">
        <v>109</v>
      </c>
      <c r="V340" s="4">
        <v>52</v>
      </c>
      <c r="W340" s="4">
        <v>21</v>
      </c>
      <c r="X340" s="4">
        <v>26</v>
      </c>
      <c r="Y340" s="4">
        <v>10</v>
      </c>
      <c r="Z340" s="4">
        <v>62</v>
      </c>
      <c r="AA340" s="3">
        <v>562</v>
      </c>
      <c r="AB340" s="3">
        <v>0</v>
      </c>
      <c r="AC340" s="3">
        <v>0</v>
      </c>
      <c r="AD340" s="2">
        <v>0.3</v>
      </c>
      <c r="AE340" s="2">
        <v>111.6</v>
      </c>
      <c r="AF340" s="2">
        <v>110.2</v>
      </c>
      <c r="AG340" s="2">
        <v>1.4</v>
      </c>
      <c r="AH340" s="2">
        <v>9.1999999999999993</v>
      </c>
      <c r="AI340" s="2">
        <v>2.6</v>
      </c>
      <c r="AJ340" s="2">
        <v>16</v>
      </c>
      <c r="AK340" s="2">
        <v>2.2999999999999998</v>
      </c>
      <c r="AL340" s="2">
        <v>11.6</v>
      </c>
      <c r="AM340" s="2">
        <v>6.7</v>
      </c>
      <c r="AN340" s="2">
        <v>6.2</v>
      </c>
      <c r="AO340" s="2">
        <v>49.8</v>
      </c>
      <c r="AP340" s="2">
        <v>50.4</v>
      </c>
      <c r="AQ340" s="2">
        <v>14.5</v>
      </c>
      <c r="AR340" s="2">
        <v>99.37</v>
      </c>
      <c r="AS340" s="2">
        <v>6.1</v>
      </c>
      <c r="AT340" s="2">
        <v>1607</v>
      </c>
      <c r="AU340" s="53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6"/>
    </row>
    <row r="341" spans="1:69" ht="13.2">
      <c r="A341" s="1" t="s">
        <v>706</v>
      </c>
      <c r="B341" s="1" t="s">
        <v>707</v>
      </c>
      <c r="C341" s="24" t="str">
        <f>VLOOKUP(B341,Equipe!$A$1:$B$31,2,FALSE)</f>
        <v>Miami Heat</v>
      </c>
      <c r="D341" s="2">
        <v>24</v>
      </c>
      <c r="E341" s="2">
        <v>55</v>
      </c>
      <c r="F341" s="2">
        <v>24</v>
      </c>
      <c r="G341" s="2">
        <v>31</v>
      </c>
      <c r="H341" s="2">
        <v>14.2</v>
      </c>
      <c r="I341" s="3">
        <v>253</v>
      </c>
      <c r="J341" s="4">
        <v>88</v>
      </c>
      <c r="K341" s="4">
        <v>204</v>
      </c>
      <c r="L341" s="3">
        <v>43.8</v>
      </c>
      <c r="M341" s="4">
        <v>33</v>
      </c>
      <c r="N341" s="4">
        <v>94</v>
      </c>
      <c r="O341" s="3">
        <v>33.700000000000003</v>
      </c>
      <c r="P341" s="3">
        <v>39</v>
      </c>
      <c r="Q341" s="3">
        <v>61</v>
      </c>
      <c r="R341" s="3">
        <v>67.2</v>
      </c>
      <c r="S341" s="4">
        <v>28</v>
      </c>
      <c r="T341" s="4">
        <v>66</v>
      </c>
      <c r="U341" s="4">
        <v>94</v>
      </c>
      <c r="V341" s="4">
        <v>66</v>
      </c>
      <c r="W341" s="4">
        <v>22</v>
      </c>
      <c r="X341" s="4">
        <v>33</v>
      </c>
      <c r="Y341" s="4">
        <v>6</v>
      </c>
      <c r="Z341" s="4">
        <v>94</v>
      </c>
      <c r="AA341" s="3">
        <v>550</v>
      </c>
      <c r="AB341" s="3">
        <v>0</v>
      </c>
      <c r="AC341" s="3">
        <v>0</v>
      </c>
      <c r="AD341" s="2">
        <v>0.2</v>
      </c>
      <c r="AE341" s="2">
        <v>111.1</v>
      </c>
      <c r="AF341" s="2">
        <v>108.7</v>
      </c>
      <c r="AG341" s="2">
        <v>2.4</v>
      </c>
      <c r="AH341" s="2">
        <v>11.6</v>
      </c>
      <c r="AI341" s="2">
        <v>2.71</v>
      </c>
      <c r="AJ341" s="2">
        <v>20.399999999999999</v>
      </c>
      <c r="AK341" s="2">
        <v>3.6</v>
      </c>
      <c r="AL341" s="2">
        <v>8.1</v>
      </c>
      <c r="AM341" s="2">
        <v>5.8</v>
      </c>
      <c r="AN341" s="2">
        <v>7.5</v>
      </c>
      <c r="AO341" s="2">
        <v>51.7</v>
      </c>
      <c r="AP341" s="2">
        <v>54.6</v>
      </c>
      <c r="AQ341" s="2">
        <v>14.1</v>
      </c>
      <c r="AR341" s="2">
        <v>98.71</v>
      </c>
      <c r="AS341" s="2">
        <v>5.5</v>
      </c>
      <c r="AT341" s="2">
        <v>1595</v>
      </c>
      <c r="AU341" s="53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6"/>
    </row>
    <row r="342" spans="1:69" ht="13.2">
      <c r="A342" s="1" t="s">
        <v>708</v>
      </c>
      <c r="B342" s="1" t="s">
        <v>709</v>
      </c>
      <c r="C342" s="24" t="str">
        <f>VLOOKUP(B342,Equipe!$A$1:$B$31,2,FALSE)</f>
        <v>Philadelphia 76ers</v>
      </c>
      <c r="D342" s="2">
        <v>26</v>
      </c>
      <c r="E342" s="2">
        <v>20</v>
      </c>
      <c r="F342" s="2">
        <v>3</v>
      </c>
      <c r="G342" s="2">
        <v>17</v>
      </c>
      <c r="H342" s="2">
        <v>23.8</v>
      </c>
      <c r="I342" s="3">
        <v>248</v>
      </c>
      <c r="J342" s="4">
        <v>90</v>
      </c>
      <c r="K342" s="4">
        <v>212</v>
      </c>
      <c r="L342" s="3">
        <v>42</v>
      </c>
      <c r="M342" s="4">
        <v>46</v>
      </c>
      <c r="N342" s="4">
        <v>128</v>
      </c>
      <c r="O342" s="3">
        <v>35.4</v>
      </c>
      <c r="P342" s="3">
        <v>24</v>
      </c>
      <c r="Q342" s="3">
        <v>30</v>
      </c>
      <c r="R342" s="3">
        <v>80</v>
      </c>
      <c r="S342" s="4">
        <v>6</v>
      </c>
      <c r="T342" s="4">
        <v>58</v>
      </c>
      <c r="U342" s="4">
        <v>64</v>
      </c>
      <c r="V342" s="4">
        <v>50</v>
      </c>
      <c r="W342" s="4">
        <v>26</v>
      </c>
      <c r="X342" s="4">
        <v>10</v>
      </c>
      <c r="Y342" s="4">
        <v>6</v>
      </c>
      <c r="Z342" s="4">
        <v>28</v>
      </c>
      <c r="AA342" s="3">
        <v>418</v>
      </c>
      <c r="AB342" s="3">
        <v>1</v>
      </c>
      <c r="AC342" s="3">
        <v>0</v>
      </c>
      <c r="AD342" s="2">
        <v>-7.1</v>
      </c>
      <c r="AE342" s="2">
        <v>104.7</v>
      </c>
      <c r="AF342" s="2">
        <v>118.7</v>
      </c>
      <c r="AG342" s="2">
        <v>-14.1</v>
      </c>
      <c r="AH342" s="2">
        <v>16.7</v>
      </c>
      <c r="AI342" s="2">
        <v>2</v>
      </c>
      <c r="AJ342" s="2">
        <v>16.7</v>
      </c>
      <c r="AK342" s="2">
        <v>1.2</v>
      </c>
      <c r="AL342" s="2">
        <v>11.7</v>
      </c>
      <c r="AM342" s="2">
        <v>6.3</v>
      </c>
      <c r="AN342" s="2">
        <v>8.4</v>
      </c>
      <c r="AO342" s="2">
        <v>52.6</v>
      </c>
      <c r="AP342" s="2">
        <v>54.8</v>
      </c>
      <c r="AQ342" s="2">
        <v>21.4</v>
      </c>
      <c r="AR342" s="2">
        <v>101.6</v>
      </c>
      <c r="AS342" s="2">
        <v>9.1</v>
      </c>
      <c r="AT342" s="2">
        <v>1009</v>
      </c>
      <c r="AU342" s="53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6"/>
    </row>
    <row r="343" spans="1:69" ht="13.2">
      <c r="A343" s="1" t="s">
        <v>710</v>
      </c>
      <c r="B343" s="1" t="s">
        <v>711</v>
      </c>
      <c r="C343" s="24" t="str">
        <f>VLOOKUP(B343,Equipe!$A$1:$B$31,2,FALSE)</f>
        <v>Phoenix Suns</v>
      </c>
      <c r="D343" s="2">
        <v>25</v>
      </c>
      <c r="E343" s="2">
        <v>36</v>
      </c>
      <c r="F343" s="2">
        <v>10</v>
      </c>
      <c r="G343" s="2">
        <v>26</v>
      </c>
      <c r="H343" s="2">
        <v>12.5</v>
      </c>
      <c r="I343" s="3">
        <v>245</v>
      </c>
      <c r="J343" s="4">
        <v>97</v>
      </c>
      <c r="K343" s="4">
        <v>184</v>
      </c>
      <c r="L343" s="3">
        <v>52.5</v>
      </c>
      <c r="M343" s="4">
        <v>32</v>
      </c>
      <c r="N343" s="4">
        <v>94</v>
      </c>
      <c r="O343" s="3">
        <v>34.4</v>
      </c>
      <c r="P343" s="3">
        <v>22</v>
      </c>
      <c r="Q343" s="3">
        <v>25</v>
      </c>
      <c r="R343" s="3">
        <v>76.900000000000006</v>
      </c>
      <c r="S343" s="4">
        <v>22</v>
      </c>
      <c r="T343" s="4">
        <v>83</v>
      </c>
      <c r="U343" s="4">
        <v>104</v>
      </c>
      <c r="V343" s="4">
        <v>22</v>
      </c>
      <c r="W343" s="4">
        <v>22</v>
      </c>
      <c r="X343" s="4">
        <v>11</v>
      </c>
      <c r="Y343" s="4">
        <v>25</v>
      </c>
      <c r="Z343" s="4">
        <v>22</v>
      </c>
      <c r="AA343" s="3">
        <v>482</v>
      </c>
      <c r="AB343" s="3">
        <v>1</v>
      </c>
      <c r="AC343" s="3">
        <v>0</v>
      </c>
      <c r="AD343" s="2">
        <v>-1</v>
      </c>
      <c r="AE343" s="2">
        <v>112.1</v>
      </c>
      <c r="AF343" s="2">
        <v>115.9</v>
      </c>
      <c r="AG343" s="2">
        <v>-3.9</v>
      </c>
      <c r="AH343" s="2">
        <v>7.1</v>
      </c>
      <c r="AI343" s="2">
        <v>1.1000000000000001</v>
      </c>
      <c r="AJ343" s="2">
        <v>9.3000000000000007</v>
      </c>
      <c r="AK343" s="2">
        <v>4.7</v>
      </c>
      <c r="AL343" s="2">
        <v>16.8</v>
      </c>
      <c r="AM343" s="2">
        <v>11.3</v>
      </c>
      <c r="AN343" s="2">
        <v>8.4</v>
      </c>
      <c r="AO343" s="2">
        <v>61.2</v>
      </c>
      <c r="AP343" s="2">
        <v>62.7</v>
      </c>
      <c r="AQ343" s="2">
        <v>20.399999999999999</v>
      </c>
      <c r="AR343" s="2">
        <v>102.75</v>
      </c>
      <c r="AS343" s="2">
        <v>11.4</v>
      </c>
      <c r="AT343" s="2">
        <v>960</v>
      </c>
      <c r="AU343" s="53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6"/>
    </row>
    <row r="344" spans="1:69" ht="13.2">
      <c r="A344" s="1" t="s">
        <v>712</v>
      </c>
      <c r="B344" s="1" t="s">
        <v>713</v>
      </c>
      <c r="C344" s="24" t="str">
        <f>VLOOKUP(B344,Equipe!$A$1:$B$31,2,FALSE)</f>
        <v>Orlando Magic</v>
      </c>
      <c r="D344" s="2">
        <v>22</v>
      </c>
      <c r="E344" s="2">
        <v>58</v>
      </c>
      <c r="F344" s="2">
        <v>29</v>
      </c>
      <c r="G344" s="2">
        <v>29</v>
      </c>
      <c r="H344" s="2">
        <v>13.6</v>
      </c>
      <c r="I344" s="3">
        <v>238</v>
      </c>
      <c r="J344" s="4">
        <v>81</v>
      </c>
      <c r="K344" s="4">
        <v>191</v>
      </c>
      <c r="L344" s="3">
        <v>42.1</v>
      </c>
      <c r="M344" s="4">
        <v>64</v>
      </c>
      <c r="N344" s="4">
        <v>162</v>
      </c>
      <c r="O344" s="3">
        <v>40</v>
      </c>
      <c r="P344" s="3">
        <v>17</v>
      </c>
      <c r="Q344" s="3">
        <v>17</v>
      </c>
      <c r="R344" s="3">
        <v>88.2</v>
      </c>
      <c r="S344" s="4">
        <v>17</v>
      </c>
      <c r="T344" s="4">
        <v>58</v>
      </c>
      <c r="U344" s="4">
        <v>75</v>
      </c>
      <c r="V344" s="4">
        <v>35</v>
      </c>
      <c r="W344" s="4">
        <v>12</v>
      </c>
      <c r="X344" s="4">
        <v>23</v>
      </c>
      <c r="Y344" s="4">
        <v>6</v>
      </c>
      <c r="Z344" s="4">
        <v>64</v>
      </c>
      <c r="AA344" s="3">
        <v>452</v>
      </c>
      <c r="AB344" s="3">
        <v>0</v>
      </c>
      <c r="AC344" s="3">
        <v>0</v>
      </c>
      <c r="AD344" s="2">
        <v>-1.1000000000000001</v>
      </c>
      <c r="AE344" s="2">
        <v>104.2</v>
      </c>
      <c r="AF344" s="2">
        <v>108.2</v>
      </c>
      <c r="AG344" s="2">
        <v>-4.0999999999999996</v>
      </c>
      <c r="AH344" s="2">
        <v>6.6</v>
      </c>
      <c r="AI344" s="2">
        <v>2.69</v>
      </c>
      <c r="AJ344" s="2">
        <v>14.3</v>
      </c>
      <c r="AK344" s="2">
        <v>2.2999999999999998</v>
      </c>
      <c r="AL344" s="2">
        <v>7.3</v>
      </c>
      <c r="AM344" s="2">
        <v>4.7</v>
      </c>
      <c r="AN344" s="2">
        <v>5.3</v>
      </c>
      <c r="AO344" s="2">
        <v>58.9</v>
      </c>
      <c r="AP344" s="2">
        <v>60.5</v>
      </c>
      <c r="AQ344" s="2">
        <v>11.5</v>
      </c>
      <c r="AR344" s="2">
        <v>96.82</v>
      </c>
      <c r="AS344" s="2">
        <v>6.1</v>
      </c>
      <c r="AT344" s="2">
        <v>1589</v>
      </c>
      <c r="AU344" s="53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6"/>
    </row>
    <row r="345" spans="1:69" ht="13.2">
      <c r="A345" s="8" t="s">
        <v>714</v>
      </c>
      <c r="B345" s="1" t="s">
        <v>715</v>
      </c>
      <c r="C345" s="24" t="str">
        <f>VLOOKUP(B345,Equipe!$A$1:$B$31,2,FALSE)</f>
        <v>Toronto Raptors</v>
      </c>
      <c r="D345" s="2">
        <v>24</v>
      </c>
      <c r="E345" s="2">
        <v>26</v>
      </c>
      <c r="F345" s="2">
        <v>14</v>
      </c>
      <c r="G345" s="2">
        <v>12</v>
      </c>
      <c r="H345" s="2">
        <v>18.7</v>
      </c>
      <c r="I345" s="3">
        <v>237</v>
      </c>
      <c r="J345" s="4">
        <v>81</v>
      </c>
      <c r="K345" s="4">
        <v>190</v>
      </c>
      <c r="L345" s="3">
        <v>42.1</v>
      </c>
      <c r="M345" s="4">
        <v>34</v>
      </c>
      <c r="N345" s="4">
        <v>101</v>
      </c>
      <c r="O345" s="3">
        <v>32.700000000000003</v>
      </c>
      <c r="P345" s="3">
        <v>44</v>
      </c>
      <c r="Q345" s="3">
        <v>62</v>
      </c>
      <c r="R345" s="3">
        <v>68.3</v>
      </c>
      <c r="S345" s="4">
        <v>21</v>
      </c>
      <c r="T345" s="4">
        <v>65</v>
      </c>
      <c r="U345" s="4">
        <v>86</v>
      </c>
      <c r="V345" s="4">
        <v>31</v>
      </c>
      <c r="W345" s="4">
        <v>16</v>
      </c>
      <c r="X345" s="4">
        <v>13</v>
      </c>
      <c r="Y345" s="4">
        <v>5</v>
      </c>
      <c r="Z345" s="4">
        <v>44</v>
      </c>
      <c r="AA345" s="3">
        <v>429</v>
      </c>
      <c r="AB345" s="3">
        <v>2</v>
      </c>
      <c r="AC345" s="3">
        <v>0</v>
      </c>
      <c r="AD345" s="2">
        <v>-0.7</v>
      </c>
      <c r="AE345" s="2">
        <v>109.7</v>
      </c>
      <c r="AF345" s="2">
        <v>111.1</v>
      </c>
      <c r="AG345" s="2">
        <v>-1.4</v>
      </c>
      <c r="AH345" s="2">
        <v>9.3000000000000007</v>
      </c>
      <c r="AI345" s="2">
        <v>2.0699999999999998</v>
      </c>
      <c r="AJ345" s="2">
        <v>11.7</v>
      </c>
      <c r="AK345" s="2">
        <v>3.6</v>
      </c>
      <c r="AL345" s="2">
        <v>12.8</v>
      </c>
      <c r="AM345" s="2">
        <v>8</v>
      </c>
      <c r="AN345" s="2">
        <v>5.7</v>
      </c>
      <c r="AO345" s="2">
        <v>50.8</v>
      </c>
      <c r="AP345" s="2">
        <v>54.2</v>
      </c>
      <c r="AQ345" s="2">
        <v>18.899999999999999</v>
      </c>
      <c r="AR345" s="2">
        <v>103.71</v>
      </c>
      <c r="AS345" s="2">
        <v>8.1999999999999993</v>
      </c>
      <c r="AT345" s="2">
        <v>1050</v>
      </c>
      <c r="AU345" s="53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6"/>
    </row>
    <row r="346" spans="1:69" ht="13.2">
      <c r="A346" s="1" t="s">
        <v>716</v>
      </c>
      <c r="B346" s="1" t="s">
        <v>717</v>
      </c>
      <c r="C346" s="24" t="str">
        <f>VLOOKUP(B346,Equipe!$A$1:$B$31,2,FALSE)</f>
        <v>San Antonio Spurs</v>
      </c>
      <c r="D346" s="2">
        <v>22</v>
      </c>
      <c r="E346" s="2">
        <v>47</v>
      </c>
      <c r="F346" s="2">
        <v>18</v>
      </c>
      <c r="G346" s="2">
        <v>29</v>
      </c>
      <c r="H346" s="2">
        <v>9.1</v>
      </c>
      <c r="I346" s="3">
        <v>235</v>
      </c>
      <c r="J346" s="4">
        <v>89</v>
      </c>
      <c r="K346" s="4">
        <v>188</v>
      </c>
      <c r="L346" s="3">
        <v>45.8</v>
      </c>
      <c r="M346" s="4">
        <v>33</v>
      </c>
      <c r="N346" s="4">
        <v>85</v>
      </c>
      <c r="O346" s="3">
        <v>40.5</v>
      </c>
      <c r="P346" s="3">
        <v>28</v>
      </c>
      <c r="Q346" s="3">
        <v>33</v>
      </c>
      <c r="R346" s="3">
        <v>81.8</v>
      </c>
      <c r="S346" s="4">
        <v>5</v>
      </c>
      <c r="T346" s="4">
        <v>42</v>
      </c>
      <c r="U346" s="4">
        <v>52</v>
      </c>
      <c r="V346" s="4">
        <v>38</v>
      </c>
      <c r="W346" s="4">
        <v>33</v>
      </c>
      <c r="X346" s="4">
        <v>9</v>
      </c>
      <c r="Y346" s="3">
        <v>0</v>
      </c>
      <c r="Z346" s="4">
        <v>28</v>
      </c>
      <c r="AA346" s="3">
        <v>357</v>
      </c>
      <c r="AB346" s="3">
        <v>0</v>
      </c>
      <c r="AC346" s="3">
        <v>0</v>
      </c>
      <c r="AD346" s="2">
        <v>-0.7</v>
      </c>
      <c r="AE346" s="2">
        <v>106.1</v>
      </c>
      <c r="AF346" s="2">
        <v>109.8</v>
      </c>
      <c r="AG346" s="2">
        <v>-3.7</v>
      </c>
      <c r="AH346" s="2">
        <v>13.9</v>
      </c>
      <c r="AI346" s="2">
        <v>1.1200000000000001</v>
      </c>
      <c r="AJ346" s="2">
        <v>13.7</v>
      </c>
      <c r="AK346" s="2">
        <v>1.6</v>
      </c>
      <c r="AL346" s="2">
        <v>9.3000000000000007</v>
      </c>
      <c r="AM346" s="2">
        <v>5.7</v>
      </c>
      <c r="AN346" s="2">
        <v>12.3</v>
      </c>
      <c r="AO346" s="2">
        <v>54.7</v>
      </c>
      <c r="AP346" s="2">
        <v>57.5</v>
      </c>
      <c r="AQ346" s="2">
        <v>23.3</v>
      </c>
      <c r="AR346" s="2">
        <v>103.25</v>
      </c>
      <c r="AS346" s="2">
        <v>8.6999999999999993</v>
      </c>
      <c r="AT346" s="2">
        <v>918</v>
      </c>
      <c r="AU346" s="53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6"/>
    </row>
    <row r="347" spans="1:69" ht="13.2">
      <c r="A347" s="1" t="s">
        <v>720</v>
      </c>
      <c r="B347" s="1" t="s">
        <v>721</v>
      </c>
      <c r="C347" s="24" t="str">
        <f>VLOOKUP(B347,Equipe!$A$1:$B$31,2,FALSE)</f>
        <v>Phoenix Suns</v>
      </c>
      <c r="D347" s="2">
        <v>29</v>
      </c>
      <c r="E347" s="2">
        <v>45</v>
      </c>
      <c r="F347" s="2">
        <v>21</v>
      </c>
      <c r="G347" s="2">
        <v>24</v>
      </c>
      <c r="H347" s="2">
        <v>12.7</v>
      </c>
      <c r="I347" s="3">
        <v>234</v>
      </c>
      <c r="J347" s="4">
        <v>81</v>
      </c>
      <c r="K347" s="4">
        <v>194</v>
      </c>
      <c r="L347" s="3">
        <v>42.6</v>
      </c>
      <c r="M347" s="4">
        <v>32</v>
      </c>
      <c r="N347" s="4">
        <v>86</v>
      </c>
      <c r="O347" s="3">
        <v>36</v>
      </c>
      <c r="P347" s="3">
        <v>36</v>
      </c>
      <c r="Q347" s="3">
        <v>41</v>
      </c>
      <c r="R347" s="3">
        <v>85.7</v>
      </c>
      <c r="S347" s="4">
        <v>14</v>
      </c>
      <c r="T347" s="4">
        <v>54</v>
      </c>
      <c r="U347" s="4">
        <v>68</v>
      </c>
      <c r="V347" s="4">
        <v>72</v>
      </c>
      <c r="W347" s="4">
        <v>23</v>
      </c>
      <c r="X347" s="4">
        <v>18</v>
      </c>
      <c r="Y347" s="4">
        <v>5</v>
      </c>
      <c r="Z347" s="4">
        <v>23</v>
      </c>
      <c r="AA347" s="3">
        <v>473</v>
      </c>
      <c r="AB347" s="3">
        <v>0</v>
      </c>
      <c r="AC347" s="3">
        <v>0</v>
      </c>
      <c r="AD347" s="2">
        <v>1</v>
      </c>
      <c r="AE347" s="2">
        <v>111.1</v>
      </c>
      <c r="AF347" s="2">
        <v>108.3</v>
      </c>
      <c r="AG347" s="2">
        <v>2.8</v>
      </c>
      <c r="AH347" s="2">
        <v>18.8</v>
      </c>
      <c r="AI347" s="2">
        <v>3.48</v>
      </c>
      <c r="AJ347" s="2">
        <v>23.6</v>
      </c>
      <c r="AK347" s="2">
        <v>2.1</v>
      </c>
      <c r="AL347" s="2">
        <v>8.8000000000000007</v>
      </c>
      <c r="AM347" s="2">
        <v>5.6</v>
      </c>
      <c r="AN347" s="2">
        <v>6.8</v>
      </c>
      <c r="AO347" s="2">
        <v>50.5</v>
      </c>
      <c r="AP347" s="2">
        <v>54.6</v>
      </c>
      <c r="AQ347" s="2">
        <v>17.3</v>
      </c>
      <c r="AR347" s="2">
        <v>99.99</v>
      </c>
      <c r="AS347" s="2">
        <v>9.6</v>
      </c>
      <c r="AT347" s="2">
        <v>1195</v>
      </c>
      <c r="AU347" s="53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6"/>
    </row>
    <row r="348" spans="1:69" ht="13.2">
      <c r="A348" s="1" t="s">
        <v>718</v>
      </c>
      <c r="B348" s="1" t="s">
        <v>719</v>
      </c>
      <c r="C348" s="24" t="str">
        <f>VLOOKUP(B348,Equipe!$A$1:$B$31,2,FALSE)</f>
        <v>Oklahoma City Thunder</v>
      </c>
      <c r="D348" s="2">
        <v>22</v>
      </c>
      <c r="E348" s="2">
        <v>36</v>
      </c>
      <c r="F348" s="2">
        <v>31</v>
      </c>
      <c r="G348" s="2">
        <v>5</v>
      </c>
      <c r="H348" s="2">
        <v>16.600000000000001</v>
      </c>
      <c r="I348" s="3">
        <v>234</v>
      </c>
      <c r="J348" s="4">
        <v>90</v>
      </c>
      <c r="K348" s="4">
        <v>184</v>
      </c>
      <c r="L348" s="3">
        <v>49.5</v>
      </c>
      <c r="M348" s="4">
        <v>22</v>
      </c>
      <c r="N348" s="4">
        <v>61</v>
      </c>
      <c r="O348" s="3">
        <v>38.299999999999997</v>
      </c>
      <c r="P348" s="3">
        <v>29</v>
      </c>
      <c r="Q348" s="3">
        <v>36</v>
      </c>
      <c r="R348" s="3">
        <v>82.9</v>
      </c>
      <c r="S348" s="4">
        <v>18</v>
      </c>
      <c r="T348" s="4">
        <v>50</v>
      </c>
      <c r="U348" s="4">
        <v>68</v>
      </c>
      <c r="V348" s="4">
        <v>65</v>
      </c>
      <c r="W348" s="4">
        <v>29</v>
      </c>
      <c r="X348" s="4">
        <v>25</v>
      </c>
      <c r="Y348" s="4">
        <v>4</v>
      </c>
      <c r="Z348" s="4">
        <v>68</v>
      </c>
      <c r="AA348" s="3">
        <v>468</v>
      </c>
      <c r="AB348" s="3">
        <v>1</v>
      </c>
      <c r="AC348" s="3">
        <v>0</v>
      </c>
      <c r="AD348" s="2">
        <v>3.5</v>
      </c>
      <c r="AE348" s="2">
        <v>110</v>
      </c>
      <c r="AF348" s="2">
        <v>100.2</v>
      </c>
      <c r="AG348" s="2">
        <v>9.6999999999999993</v>
      </c>
      <c r="AH348" s="2">
        <v>15.3</v>
      </c>
      <c r="AI348" s="2">
        <v>2.21</v>
      </c>
      <c r="AJ348" s="2">
        <v>22.1</v>
      </c>
      <c r="AK348" s="2">
        <v>2.8</v>
      </c>
      <c r="AL348" s="2">
        <v>8</v>
      </c>
      <c r="AM348" s="2">
        <v>5.3</v>
      </c>
      <c r="AN348" s="2">
        <v>10</v>
      </c>
      <c r="AO348" s="2">
        <v>55.7</v>
      </c>
      <c r="AP348" s="2">
        <v>58.7</v>
      </c>
      <c r="AQ348" s="2">
        <v>15.9</v>
      </c>
      <c r="AR348" s="2">
        <v>100.63</v>
      </c>
      <c r="AS348" s="2">
        <v>8.1999999999999993</v>
      </c>
      <c r="AT348" s="2">
        <v>1254</v>
      </c>
      <c r="AU348" s="53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6"/>
    </row>
    <row r="349" spans="1:69" ht="13.2">
      <c r="A349" s="1" t="s">
        <v>722</v>
      </c>
      <c r="B349" s="1" t="s">
        <v>723</v>
      </c>
      <c r="C349" s="24" t="str">
        <f>VLOOKUP(B349,Equipe!$A$1:$B$31,2,FALSE)</f>
        <v>Golden State Warriors</v>
      </c>
      <c r="D349" s="2">
        <v>22</v>
      </c>
      <c r="E349" s="2">
        <v>56</v>
      </c>
      <c r="F349" s="2">
        <v>36</v>
      </c>
      <c r="G349" s="2">
        <v>20</v>
      </c>
      <c r="H349" s="2">
        <v>13.6</v>
      </c>
      <c r="I349" s="3">
        <v>230</v>
      </c>
      <c r="J349" s="4">
        <v>84</v>
      </c>
      <c r="K349" s="4">
        <v>179</v>
      </c>
      <c r="L349" s="3">
        <v>45.8</v>
      </c>
      <c r="M349" s="4">
        <v>34</v>
      </c>
      <c r="N349" s="4">
        <v>101</v>
      </c>
      <c r="O349" s="3">
        <v>33</v>
      </c>
      <c r="P349" s="3">
        <v>28</v>
      </c>
      <c r="Q349" s="3">
        <v>45</v>
      </c>
      <c r="R349" s="3">
        <v>69</v>
      </c>
      <c r="S349" s="4">
        <v>73</v>
      </c>
      <c r="T349" s="4">
        <v>101</v>
      </c>
      <c r="U349" s="4">
        <v>174</v>
      </c>
      <c r="V349" s="4">
        <v>78</v>
      </c>
      <c r="W349" s="4">
        <v>45</v>
      </c>
      <c r="X349" s="4">
        <v>22</v>
      </c>
      <c r="Y349" s="4">
        <v>11</v>
      </c>
      <c r="Z349" s="4">
        <v>90</v>
      </c>
      <c r="AA349" s="3">
        <v>616</v>
      </c>
      <c r="AB349" s="3">
        <v>0</v>
      </c>
      <c r="AC349" s="3">
        <v>0</v>
      </c>
      <c r="AD349" s="2">
        <v>2.9</v>
      </c>
      <c r="AE349" s="2">
        <v>117.8</v>
      </c>
      <c r="AF349" s="2">
        <v>107.3</v>
      </c>
      <c r="AG349" s="2">
        <v>10.6</v>
      </c>
      <c r="AH349" s="2">
        <v>13.8</v>
      </c>
      <c r="AI349" s="2">
        <v>1.9</v>
      </c>
      <c r="AJ349" s="2">
        <v>25.1</v>
      </c>
      <c r="AK349" s="2">
        <v>8.5</v>
      </c>
      <c r="AL349" s="2">
        <v>12.7</v>
      </c>
      <c r="AM349" s="2">
        <v>10.6</v>
      </c>
      <c r="AN349" s="2">
        <v>13.2</v>
      </c>
      <c r="AO349" s="2">
        <v>55.3</v>
      </c>
      <c r="AP349" s="2">
        <v>57.5</v>
      </c>
      <c r="AQ349" s="2">
        <v>12.6</v>
      </c>
      <c r="AR349" s="2">
        <v>99.78</v>
      </c>
      <c r="AS349" s="2">
        <v>7.3</v>
      </c>
      <c r="AT349" s="2">
        <v>1582</v>
      </c>
      <c r="AU349" s="53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6"/>
    </row>
    <row r="350" spans="1:69" ht="13.2">
      <c r="A350" s="1" t="s">
        <v>724</v>
      </c>
      <c r="B350" s="1" t="s">
        <v>725</v>
      </c>
      <c r="C350" s="24" t="str">
        <f>VLOOKUP(B350,Equipe!$A$1:$B$31,2,FALSE)</f>
        <v>Utah Jazz</v>
      </c>
      <c r="D350" s="2">
        <v>20</v>
      </c>
      <c r="E350" s="2">
        <v>50</v>
      </c>
      <c r="F350" s="2">
        <v>9</v>
      </c>
      <c r="G350" s="2">
        <v>41</v>
      </c>
      <c r="H350" s="2">
        <v>21.2</v>
      </c>
      <c r="I350" s="3">
        <v>230</v>
      </c>
      <c r="J350" s="4">
        <v>85</v>
      </c>
      <c r="K350" s="4">
        <v>255</v>
      </c>
      <c r="L350" s="3">
        <v>32.299999999999997</v>
      </c>
      <c r="M350" s="4">
        <v>35</v>
      </c>
      <c r="N350" s="4">
        <v>135</v>
      </c>
      <c r="O350" s="3">
        <v>25.9</v>
      </c>
      <c r="P350" s="3">
        <v>30</v>
      </c>
      <c r="Q350" s="3">
        <v>40</v>
      </c>
      <c r="R350" s="3">
        <v>72.5</v>
      </c>
      <c r="S350" s="4">
        <v>25</v>
      </c>
      <c r="T350" s="4">
        <v>85</v>
      </c>
      <c r="U350" s="4">
        <v>115</v>
      </c>
      <c r="V350" s="4">
        <v>60</v>
      </c>
      <c r="W350" s="4">
        <v>45</v>
      </c>
      <c r="X350" s="4">
        <v>25</v>
      </c>
      <c r="Y350" s="4">
        <v>15</v>
      </c>
      <c r="Z350" s="4">
        <v>95</v>
      </c>
      <c r="AA350" s="3">
        <v>525</v>
      </c>
      <c r="AB350" s="3">
        <v>0</v>
      </c>
      <c r="AC350" s="3">
        <v>0</v>
      </c>
      <c r="AD350" s="2">
        <v>-6.8</v>
      </c>
      <c r="AE350" s="2">
        <v>103</v>
      </c>
      <c r="AF350" s="2">
        <v>118.5</v>
      </c>
      <c r="AG350" s="2">
        <v>-15.5</v>
      </c>
      <c r="AH350" s="2">
        <v>7.8</v>
      </c>
      <c r="AI350" s="2">
        <v>1.34</v>
      </c>
      <c r="AJ350" s="2">
        <v>15.6</v>
      </c>
      <c r="AK350" s="2">
        <v>2.4</v>
      </c>
      <c r="AL350" s="2">
        <v>7.5</v>
      </c>
      <c r="AM350" s="2">
        <v>4.9000000000000004</v>
      </c>
      <c r="AN350" s="2">
        <v>11.6</v>
      </c>
      <c r="AO350" s="2">
        <v>39.1</v>
      </c>
      <c r="AP350" s="2">
        <v>41.9</v>
      </c>
      <c r="AQ350" s="2">
        <v>12.2</v>
      </c>
      <c r="AR350" s="2">
        <v>103.19</v>
      </c>
      <c r="AS350" s="2">
        <v>2.1</v>
      </c>
      <c r="AT350" s="2">
        <v>2284</v>
      </c>
      <c r="AU350" s="53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6"/>
    </row>
    <row r="351" spans="1:69" ht="13.2">
      <c r="A351" s="1" t="s">
        <v>726</v>
      </c>
      <c r="B351" s="1" t="s">
        <v>727</v>
      </c>
      <c r="C351" s="24" t="str">
        <f>VLOOKUP(B351,Equipe!$A$1:$B$31,2,FALSE)</f>
        <v>Houston Rockets</v>
      </c>
      <c r="D351" s="2">
        <v>20</v>
      </c>
      <c r="E351" s="2">
        <v>52</v>
      </c>
      <c r="F351" s="2">
        <v>30</v>
      </c>
      <c r="G351" s="2">
        <v>22</v>
      </c>
      <c r="H351" s="2">
        <v>12.6</v>
      </c>
      <c r="I351" s="3">
        <v>229</v>
      </c>
      <c r="J351" s="4">
        <v>83</v>
      </c>
      <c r="K351" s="4">
        <v>239</v>
      </c>
      <c r="L351" s="3">
        <v>35.1</v>
      </c>
      <c r="M351" s="4">
        <v>47</v>
      </c>
      <c r="N351" s="4">
        <v>140</v>
      </c>
      <c r="O351" s="3">
        <v>33.799999999999997</v>
      </c>
      <c r="P351" s="3">
        <v>16</v>
      </c>
      <c r="Q351" s="3">
        <v>16</v>
      </c>
      <c r="R351" s="3">
        <v>81.3</v>
      </c>
      <c r="S351" s="4">
        <v>16</v>
      </c>
      <c r="T351" s="4">
        <v>62</v>
      </c>
      <c r="U351" s="4">
        <v>78</v>
      </c>
      <c r="V351" s="4">
        <v>73</v>
      </c>
      <c r="W351" s="4">
        <v>36</v>
      </c>
      <c r="X351" s="4">
        <v>36</v>
      </c>
      <c r="Y351" s="4">
        <v>16</v>
      </c>
      <c r="Z351" s="4">
        <v>52</v>
      </c>
      <c r="AA351" s="3">
        <v>556</v>
      </c>
      <c r="AB351" s="3">
        <v>0</v>
      </c>
      <c r="AC351" s="3">
        <v>0</v>
      </c>
      <c r="AD351" s="2">
        <v>-1</v>
      </c>
      <c r="AE351" s="2">
        <v>108.5</v>
      </c>
      <c r="AF351" s="2">
        <v>111.1</v>
      </c>
      <c r="AG351" s="2">
        <v>-2.7</v>
      </c>
      <c r="AH351" s="2">
        <v>15.3</v>
      </c>
      <c r="AI351" s="2">
        <v>2.0299999999999998</v>
      </c>
      <c r="AJ351" s="2">
        <v>20.9</v>
      </c>
      <c r="AK351" s="2">
        <v>2.2000000000000002</v>
      </c>
      <c r="AL351" s="2">
        <v>8.6</v>
      </c>
      <c r="AM351" s="2">
        <v>5.4</v>
      </c>
      <c r="AN351" s="2">
        <v>10.3</v>
      </c>
      <c r="AO351" s="2">
        <v>45.2</v>
      </c>
      <c r="AP351" s="2">
        <v>46.5</v>
      </c>
      <c r="AQ351" s="2">
        <v>17.100000000000001</v>
      </c>
      <c r="AR351" s="2">
        <v>104.93</v>
      </c>
      <c r="AS351" s="2">
        <v>6</v>
      </c>
      <c r="AT351" s="2">
        <v>1425</v>
      </c>
      <c r="AU351" s="53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6"/>
    </row>
    <row r="352" spans="1:69" ht="13.2">
      <c r="A352" s="1" t="s">
        <v>728</v>
      </c>
      <c r="B352" s="1" t="s">
        <v>729</v>
      </c>
      <c r="C352" s="24" t="str">
        <f>VLOOKUP(B352,Equipe!$A$1:$B$31,2,FALSE)</f>
        <v>Washington Wizards</v>
      </c>
      <c r="D352" s="2">
        <v>31</v>
      </c>
      <c r="E352" s="2">
        <v>31</v>
      </c>
      <c r="F352" s="2">
        <v>9</v>
      </c>
      <c r="G352" s="2">
        <v>22</v>
      </c>
      <c r="H352" s="2">
        <v>17.2</v>
      </c>
      <c r="I352" s="3">
        <v>229</v>
      </c>
      <c r="J352" s="4">
        <v>90</v>
      </c>
      <c r="K352" s="4">
        <v>140</v>
      </c>
      <c r="L352" s="3">
        <v>64.7</v>
      </c>
      <c r="M352" s="3">
        <v>0</v>
      </c>
      <c r="N352" s="4">
        <v>3</v>
      </c>
      <c r="O352" s="3">
        <v>0</v>
      </c>
      <c r="P352" s="3">
        <v>50</v>
      </c>
      <c r="Q352" s="3">
        <v>59</v>
      </c>
      <c r="R352" s="3">
        <v>83.3</v>
      </c>
      <c r="S352" s="4">
        <v>62</v>
      </c>
      <c r="T352" s="4">
        <v>115</v>
      </c>
      <c r="U352" s="4">
        <v>177</v>
      </c>
      <c r="V352" s="4">
        <v>43</v>
      </c>
      <c r="W352" s="4">
        <v>22</v>
      </c>
      <c r="X352" s="4">
        <v>9</v>
      </c>
      <c r="Y352" s="4">
        <v>22</v>
      </c>
      <c r="Z352" s="4">
        <v>50</v>
      </c>
      <c r="AA352" s="3">
        <v>580</v>
      </c>
      <c r="AB352" s="3">
        <v>3</v>
      </c>
      <c r="AC352" s="3">
        <v>0</v>
      </c>
      <c r="AD352" s="2">
        <v>-1.2</v>
      </c>
      <c r="AE352" s="2">
        <v>110.2</v>
      </c>
      <c r="AF352" s="2">
        <v>114.5</v>
      </c>
      <c r="AG352" s="2">
        <v>-4.3</v>
      </c>
      <c r="AH352" s="2">
        <v>11.2</v>
      </c>
      <c r="AI352" s="2">
        <v>2</v>
      </c>
      <c r="AJ352" s="2">
        <v>18.5</v>
      </c>
      <c r="AK352" s="2">
        <v>11.3</v>
      </c>
      <c r="AL352" s="2">
        <v>20.8</v>
      </c>
      <c r="AM352" s="2">
        <v>16.100000000000001</v>
      </c>
      <c r="AN352" s="2">
        <v>9.3000000000000007</v>
      </c>
      <c r="AO352" s="2">
        <v>64.7</v>
      </c>
      <c r="AP352" s="2">
        <v>69.5</v>
      </c>
      <c r="AQ352" s="2">
        <v>14.3</v>
      </c>
      <c r="AR352" s="2">
        <v>100.78</v>
      </c>
      <c r="AS352" s="2">
        <v>13.5</v>
      </c>
      <c r="AT352" s="2">
        <v>1127</v>
      </c>
      <c r="AU352" s="53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6"/>
    </row>
    <row r="353" spans="1:69" ht="13.2">
      <c r="A353" s="8" t="s">
        <v>730</v>
      </c>
      <c r="B353" s="1" t="s">
        <v>731</v>
      </c>
      <c r="C353" s="24" t="str">
        <f>VLOOKUP(B353,Equipe!$A$1:$B$31,2,FALSE)</f>
        <v>Milwaukee Bucks</v>
      </c>
      <c r="D353" s="2">
        <v>23</v>
      </c>
      <c r="E353" s="2">
        <v>67</v>
      </c>
      <c r="F353" s="2">
        <v>39</v>
      </c>
      <c r="G353" s="2">
        <v>28</v>
      </c>
      <c r="H353" s="2">
        <v>14.6</v>
      </c>
      <c r="I353" s="3">
        <v>228</v>
      </c>
      <c r="J353" s="4">
        <v>94</v>
      </c>
      <c r="K353" s="4">
        <v>194</v>
      </c>
      <c r="L353" s="3">
        <v>47.7</v>
      </c>
      <c r="M353" s="4">
        <v>27</v>
      </c>
      <c r="N353" s="4">
        <v>74</v>
      </c>
      <c r="O353" s="3">
        <v>39.5</v>
      </c>
      <c r="P353" s="3">
        <v>13</v>
      </c>
      <c r="Q353" s="3">
        <v>27</v>
      </c>
      <c r="R353" s="3">
        <v>50</v>
      </c>
      <c r="S353" s="4">
        <v>67</v>
      </c>
      <c r="T353" s="4">
        <v>114</v>
      </c>
      <c r="U353" s="4">
        <v>181</v>
      </c>
      <c r="V353" s="4">
        <v>80</v>
      </c>
      <c r="W353" s="4">
        <v>60</v>
      </c>
      <c r="X353" s="4">
        <v>34</v>
      </c>
      <c r="Y353" s="4">
        <v>13</v>
      </c>
      <c r="Z353" s="4">
        <v>114</v>
      </c>
      <c r="AA353" s="3">
        <v>657</v>
      </c>
      <c r="AB353" s="3">
        <v>0</v>
      </c>
      <c r="AC353" s="3">
        <v>0</v>
      </c>
      <c r="AD353" s="2">
        <v>-0.5</v>
      </c>
      <c r="AE353" s="2">
        <v>110.6</v>
      </c>
      <c r="AF353" s="2">
        <v>112.1</v>
      </c>
      <c r="AG353" s="2">
        <v>-1.5</v>
      </c>
      <c r="AH353" s="2">
        <v>10.9</v>
      </c>
      <c r="AI353" s="2">
        <v>1.43</v>
      </c>
      <c r="AJ353" s="2">
        <v>23.8</v>
      </c>
      <c r="AK353" s="2">
        <v>6.6</v>
      </c>
      <c r="AL353" s="2">
        <v>11.4</v>
      </c>
      <c r="AM353" s="2">
        <v>9.1</v>
      </c>
      <c r="AN353" s="2">
        <v>16.600000000000001</v>
      </c>
      <c r="AO353" s="2">
        <v>55.3</v>
      </c>
      <c r="AP353" s="2">
        <v>55.4</v>
      </c>
      <c r="AQ353" s="2">
        <v>11.5</v>
      </c>
      <c r="AR353" s="2">
        <v>101.48</v>
      </c>
      <c r="AS353" s="2">
        <v>5.0999999999999996</v>
      </c>
      <c r="AT353" s="2">
        <v>2071</v>
      </c>
      <c r="AU353" s="53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6"/>
    </row>
    <row r="354" spans="1:69" ht="13.2">
      <c r="A354" s="1" t="s">
        <v>732</v>
      </c>
      <c r="B354" s="1" t="s">
        <v>733</v>
      </c>
      <c r="C354" s="24" t="str">
        <f>VLOOKUP(B354,Equipe!$A$1:$B$31,2,FALSE)</f>
        <v>Houston Rockets</v>
      </c>
      <c r="D354" s="2">
        <v>31</v>
      </c>
      <c r="E354" s="2">
        <v>58</v>
      </c>
      <c r="F354" s="2">
        <v>38</v>
      </c>
      <c r="G354" s="2">
        <v>20</v>
      </c>
      <c r="H354" s="2">
        <v>13.7</v>
      </c>
      <c r="I354" s="3">
        <v>226</v>
      </c>
      <c r="J354" s="4">
        <v>93</v>
      </c>
      <c r="K354" s="4">
        <v>168</v>
      </c>
      <c r="L354" s="3">
        <v>54.5</v>
      </c>
      <c r="M354" s="3">
        <v>0</v>
      </c>
      <c r="N354" s="3">
        <v>0</v>
      </c>
      <c r="O354" s="3">
        <v>0</v>
      </c>
      <c r="P354" s="3">
        <v>41</v>
      </c>
      <c r="Q354" s="3">
        <v>93</v>
      </c>
      <c r="R354" s="3">
        <v>46.2</v>
      </c>
      <c r="S354" s="4">
        <v>168</v>
      </c>
      <c r="T354" s="4">
        <v>162</v>
      </c>
      <c r="U354" s="4">
        <v>325</v>
      </c>
      <c r="V354" s="4">
        <v>64</v>
      </c>
      <c r="W354" s="4">
        <v>52</v>
      </c>
      <c r="X354" s="4">
        <v>23</v>
      </c>
      <c r="Y354" s="4">
        <v>29</v>
      </c>
      <c r="Z354" s="4">
        <v>58</v>
      </c>
      <c r="AA354" s="3">
        <v>812</v>
      </c>
      <c r="AB354" s="3">
        <v>3</v>
      </c>
      <c r="AC354" s="3">
        <v>0</v>
      </c>
      <c r="AD354" s="2">
        <v>3</v>
      </c>
      <c r="AE354" s="2">
        <v>115.3</v>
      </c>
      <c r="AF354" s="2">
        <v>105.9</v>
      </c>
      <c r="AG354" s="2">
        <v>9.4</v>
      </c>
      <c r="AH354" s="2">
        <v>10.7</v>
      </c>
      <c r="AI354" s="2">
        <v>1.22</v>
      </c>
      <c r="AJ354" s="2">
        <v>20.100000000000001</v>
      </c>
      <c r="AK354" s="2">
        <v>18.100000000000001</v>
      </c>
      <c r="AL354" s="2">
        <v>19.3</v>
      </c>
      <c r="AM354" s="2">
        <v>18.7</v>
      </c>
      <c r="AN354" s="2">
        <v>16.399999999999999</v>
      </c>
      <c r="AO354" s="2">
        <v>54.5</v>
      </c>
      <c r="AP354" s="2">
        <v>54.1</v>
      </c>
      <c r="AQ354" s="2">
        <v>12.7</v>
      </c>
      <c r="AR354" s="2">
        <v>99.77</v>
      </c>
      <c r="AS354" s="2">
        <v>10.9</v>
      </c>
      <c r="AT354" s="2">
        <v>1658</v>
      </c>
      <c r="AU354" s="53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6"/>
    </row>
    <row r="355" spans="1:69" ht="13.2">
      <c r="A355" s="1" t="s">
        <v>734</v>
      </c>
      <c r="B355" s="1" t="s">
        <v>735</v>
      </c>
      <c r="C355" s="24" t="str">
        <f>VLOOKUP(B355,Equipe!$A$1:$B$31,2,FALSE)</f>
        <v>Minnesota Timberwolves</v>
      </c>
      <c r="D355" s="2">
        <v>20</v>
      </c>
      <c r="E355" s="2">
        <v>49</v>
      </c>
      <c r="F355" s="2">
        <v>30</v>
      </c>
      <c r="G355" s="2">
        <v>19</v>
      </c>
      <c r="H355" s="2">
        <v>10.5</v>
      </c>
      <c r="I355" s="3">
        <v>221</v>
      </c>
      <c r="J355" s="4">
        <v>93</v>
      </c>
      <c r="K355" s="4">
        <v>211</v>
      </c>
      <c r="L355" s="3">
        <v>44.1</v>
      </c>
      <c r="M355" s="4">
        <v>25</v>
      </c>
      <c r="N355" s="4">
        <v>74</v>
      </c>
      <c r="O355" s="3">
        <v>33.799999999999997</v>
      </c>
      <c r="P355" s="3">
        <v>10</v>
      </c>
      <c r="Q355" s="3">
        <v>15</v>
      </c>
      <c r="R355" s="3">
        <v>53.3</v>
      </c>
      <c r="S355" s="4">
        <v>10</v>
      </c>
      <c r="T355" s="4">
        <v>39</v>
      </c>
      <c r="U355" s="4">
        <v>49</v>
      </c>
      <c r="V355" s="4">
        <v>98</v>
      </c>
      <c r="W355" s="4">
        <v>54</v>
      </c>
      <c r="X355" s="4">
        <v>20</v>
      </c>
      <c r="Y355" s="3">
        <v>0</v>
      </c>
      <c r="Z355" s="4">
        <v>39</v>
      </c>
      <c r="AA355" s="3">
        <v>436</v>
      </c>
      <c r="AB355" s="3">
        <v>0</v>
      </c>
      <c r="AC355" s="3">
        <v>0</v>
      </c>
      <c r="AD355" s="2">
        <v>0.4</v>
      </c>
      <c r="AE355" s="2">
        <v>112.3</v>
      </c>
      <c r="AF355" s="2">
        <v>111.1</v>
      </c>
      <c r="AG355" s="2">
        <v>1.2</v>
      </c>
      <c r="AH355" s="2">
        <v>28.3</v>
      </c>
      <c r="AI355" s="2">
        <v>1.85</v>
      </c>
      <c r="AJ355" s="2">
        <v>26.6</v>
      </c>
      <c r="AK355" s="2">
        <v>2.2000000000000002</v>
      </c>
      <c r="AL355" s="2">
        <v>7</v>
      </c>
      <c r="AM355" s="2">
        <v>4.5999999999999996</v>
      </c>
      <c r="AN355" s="2">
        <v>14.4</v>
      </c>
      <c r="AO355" s="2">
        <v>50</v>
      </c>
      <c r="AP355" s="2">
        <v>50.3</v>
      </c>
      <c r="AQ355" s="2">
        <v>21.5</v>
      </c>
      <c r="AR355" s="2">
        <v>101.82</v>
      </c>
      <c r="AS355" s="2">
        <v>7.8</v>
      </c>
      <c r="AT355" s="2">
        <v>1097</v>
      </c>
      <c r="AU355" s="53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6"/>
    </row>
    <row r="356" spans="1:69" ht="13.2">
      <c r="A356" s="1" t="s">
        <v>736</v>
      </c>
      <c r="B356" s="1" t="s">
        <v>737</v>
      </c>
      <c r="C356" s="24" t="str">
        <f>VLOOKUP(B356,Equipe!$A$1:$B$31,2,FALSE)</f>
        <v>Washington Wizards</v>
      </c>
      <c r="D356" s="2">
        <v>20</v>
      </c>
      <c r="E356" s="2">
        <v>29</v>
      </c>
      <c r="F356" s="2">
        <v>8</v>
      </c>
      <c r="G356" s="2">
        <v>21</v>
      </c>
      <c r="H356" s="2">
        <v>22</v>
      </c>
      <c r="I356" s="3">
        <v>220</v>
      </c>
      <c r="J356" s="4">
        <v>81</v>
      </c>
      <c r="K356" s="4">
        <v>212</v>
      </c>
      <c r="L356" s="3">
        <v>38.5</v>
      </c>
      <c r="M356" s="4">
        <v>23</v>
      </c>
      <c r="N356" s="4">
        <v>90</v>
      </c>
      <c r="O356" s="3">
        <v>26.7</v>
      </c>
      <c r="P356" s="3">
        <v>32</v>
      </c>
      <c r="Q356" s="3">
        <v>38</v>
      </c>
      <c r="R356" s="3">
        <v>86.5</v>
      </c>
      <c r="S356" s="4">
        <v>9</v>
      </c>
      <c r="T356" s="4">
        <v>52</v>
      </c>
      <c r="U356" s="4">
        <v>58</v>
      </c>
      <c r="V356" s="4">
        <v>75</v>
      </c>
      <c r="W356" s="4">
        <v>35</v>
      </c>
      <c r="X356" s="4">
        <v>12</v>
      </c>
      <c r="Y356" s="4">
        <v>3</v>
      </c>
      <c r="Z356" s="4">
        <v>49</v>
      </c>
      <c r="AA356" s="3">
        <v>415</v>
      </c>
      <c r="AB356" s="3">
        <v>0</v>
      </c>
      <c r="AC356" s="3">
        <v>0</v>
      </c>
      <c r="AD356" s="2">
        <v>-5.2</v>
      </c>
      <c r="AE356" s="2">
        <v>104.1</v>
      </c>
      <c r="AF356" s="2">
        <v>115.6</v>
      </c>
      <c r="AG356" s="2">
        <v>-11.5</v>
      </c>
      <c r="AH356" s="2">
        <v>17.8</v>
      </c>
      <c r="AI356" s="2">
        <v>2.17</v>
      </c>
      <c r="AJ356" s="2">
        <v>22.3</v>
      </c>
      <c r="AK356" s="2">
        <v>1.1000000000000001</v>
      </c>
      <c r="AL356" s="2">
        <v>7.3</v>
      </c>
      <c r="AM356" s="2">
        <v>4.2</v>
      </c>
      <c r="AN356" s="2">
        <v>10.3</v>
      </c>
      <c r="AO356" s="2">
        <v>44.1</v>
      </c>
      <c r="AP356" s="2">
        <v>48</v>
      </c>
      <c r="AQ356" s="2">
        <v>17.3</v>
      </c>
      <c r="AR356" s="2">
        <v>100.83</v>
      </c>
      <c r="AS356" s="2">
        <v>5.3</v>
      </c>
      <c r="AT356" s="2">
        <v>1342</v>
      </c>
      <c r="AU356" s="53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6"/>
    </row>
    <row r="357" spans="1:69" ht="13.2">
      <c r="A357" s="1" t="s">
        <v>738</v>
      </c>
      <c r="B357" s="1" t="s">
        <v>739</v>
      </c>
      <c r="C357" s="24" t="str">
        <f>VLOOKUP(B357,Equipe!$A$1:$B$31,2,FALSE)</f>
        <v>Milwaukee Bucks</v>
      </c>
      <c r="D357" s="2">
        <v>32</v>
      </c>
      <c r="E357" s="2">
        <v>41</v>
      </c>
      <c r="F357" s="2">
        <v>19</v>
      </c>
      <c r="G357" s="2">
        <v>22</v>
      </c>
      <c r="H357" s="2">
        <v>14.7</v>
      </c>
      <c r="I357" s="3">
        <v>217</v>
      </c>
      <c r="J357" s="4">
        <v>82</v>
      </c>
      <c r="K357" s="4">
        <v>176</v>
      </c>
      <c r="L357" s="3">
        <v>46.9</v>
      </c>
      <c r="M357" s="4">
        <v>25</v>
      </c>
      <c r="N357" s="4">
        <v>82</v>
      </c>
      <c r="O357" s="3">
        <v>32.1</v>
      </c>
      <c r="P357" s="3">
        <v>25</v>
      </c>
      <c r="Q357" s="3">
        <v>33</v>
      </c>
      <c r="R357" s="3">
        <v>77.400000000000006</v>
      </c>
      <c r="S357" s="4">
        <v>21</v>
      </c>
      <c r="T357" s="4">
        <v>90</v>
      </c>
      <c r="U357" s="4">
        <v>111</v>
      </c>
      <c r="V357" s="4">
        <v>70</v>
      </c>
      <c r="W357" s="4">
        <v>25</v>
      </c>
      <c r="X357" s="4">
        <v>8</v>
      </c>
      <c r="Y357" s="4">
        <v>12</v>
      </c>
      <c r="Z357" s="4">
        <v>45</v>
      </c>
      <c r="AA357" s="3">
        <v>488</v>
      </c>
      <c r="AB357" s="3">
        <v>1</v>
      </c>
      <c r="AC357" s="3">
        <v>0</v>
      </c>
      <c r="AD357" s="2">
        <v>-0.3</v>
      </c>
      <c r="AE357" s="2">
        <v>111.7</v>
      </c>
      <c r="AF357" s="2">
        <v>114.6</v>
      </c>
      <c r="AG357" s="2">
        <v>-2.9</v>
      </c>
      <c r="AH357" s="2">
        <v>15.9</v>
      </c>
      <c r="AI357" s="2">
        <v>2.92</v>
      </c>
      <c r="AJ357" s="2">
        <v>24.7</v>
      </c>
      <c r="AK357" s="2">
        <v>3.2</v>
      </c>
      <c r="AL357" s="2">
        <v>14</v>
      </c>
      <c r="AM357" s="2">
        <v>8.8000000000000007</v>
      </c>
      <c r="AN357" s="2">
        <v>8.5</v>
      </c>
      <c r="AO357" s="2">
        <v>54.2</v>
      </c>
      <c r="AP357" s="2">
        <v>56.7</v>
      </c>
      <c r="AQ357" s="2">
        <v>15.1</v>
      </c>
      <c r="AR357" s="2">
        <v>99.41</v>
      </c>
      <c r="AS357" s="2">
        <v>8.8000000000000007</v>
      </c>
      <c r="AT357" s="2">
        <v>1259</v>
      </c>
      <c r="AU357" s="53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6"/>
    </row>
    <row r="358" spans="1:69" ht="13.2">
      <c r="A358" s="1" t="s">
        <v>740</v>
      </c>
      <c r="B358" s="1" t="s">
        <v>741</v>
      </c>
      <c r="C358" s="24" t="str">
        <f>VLOOKUP(B358,Equipe!$A$1:$B$31,2,FALSE)</f>
        <v>San Antonio Spurs</v>
      </c>
      <c r="D358" s="2">
        <v>22</v>
      </c>
      <c r="E358" s="2">
        <v>58</v>
      </c>
      <c r="F358" s="2">
        <v>23</v>
      </c>
      <c r="G358" s="2">
        <v>35</v>
      </c>
      <c r="H358" s="2">
        <v>11.8</v>
      </c>
      <c r="I358" s="3">
        <v>215</v>
      </c>
      <c r="J358" s="4">
        <v>81</v>
      </c>
      <c r="K358" s="4">
        <v>186</v>
      </c>
      <c r="L358" s="3">
        <v>43.5</v>
      </c>
      <c r="M358" s="4">
        <v>17</v>
      </c>
      <c r="N358" s="4">
        <v>58</v>
      </c>
      <c r="O358" s="3">
        <v>29.3</v>
      </c>
      <c r="P358" s="3">
        <v>41</v>
      </c>
      <c r="Q358" s="3">
        <v>64</v>
      </c>
      <c r="R358" s="3">
        <v>62.3</v>
      </c>
      <c r="S358" s="4">
        <v>17</v>
      </c>
      <c r="T358" s="4">
        <v>46</v>
      </c>
      <c r="U358" s="4">
        <v>64</v>
      </c>
      <c r="V358" s="4">
        <v>116</v>
      </c>
      <c r="W358" s="4">
        <v>52</v>
      </c>
      <c r="X358" s="4">
        <v>35</v>
      </c>
      <c r="Y358" s="4">
        <v>6</v>
      </c>
      <c r="Z358" s="4">
        <v>46</v>
      </c>
      <c r="AA358" s="3">
        <v>534</v>
      </c>
      <c r="AB358" s="3">
        <v>0</v>
      </c>
      <c r="AC358" s="3">
        <v>0</v>
      </c>
      <c r="AD358" s="2">
        <v>-0.2</v>
      </c>
      <c r="AE358" s="2">
        <v>110.2</v>
      </c>
      <c r="AF358" s="2">
        <v>109.7</v>
      </c>
      <c r="AG358" s="2">
        <v>0.5</v>
      </c>
      <c r="AH358" s="2">
        <v>22.5</v>
      </c>
      <c r="AI358" s="2">
        <v>2.11</v>
      </c>
      <c r="AJ358" s="2">
        <v>29.8</v>
      </c>
      <c r="AK358" s="2">
        <v>2.5</v>
      </c>
      <c r="AL358" s="2">
        <v>6.2</v>
      </c>
      <c r="AM358" s="2">
        <v>4.4000000000000004</v>
      </c>
      <c r="AN358" s="2">
        <v>14.1</v>
      </c>
      <c r="AO358" s="2">
        <v>48.1</v>
      </c>
      <c r="AP358" s="2">
        <v>51</v>
      </c>
      <c r="AQ358" s="2">
        <v>16.5</v>
      </c>
      <c r="AR358" s="2">
        <v>101.92</v>
      </c>
      <c r="AS358" s="2">
        <v>6.6</v>
      </c>
      <c r="AT358" s="2">
        <v>1443</v>
      </c>
      <c r="AU358" s="53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6"/>
    </row>
    <row r="359" spans="1:69" ht="13.2">
      <c r="A359" s="1" t="s">
        <v>742</v>
      </c>
      <c r="B359" s="1" t="s">
        <v>743</v>
      </c>
      <c r="C359" s="24" t="str">
        <f>VLOOKUP(B359,Equipe!$A$1:$B$31,2,FALSE)</f>
        <v>Memphis Grizzlies</v>
      </c>
      <c r="D359" s="2">
        <v>20</v>
      </c>
      <c r="E359" s="2">
        <v>29</v>
      </c>
      <c r="F359" s="2">
        <v>19</v>
      </c>
      <c r="G359" s="2">
        <v>10</v>
      </c>
      <c r="H359" s="2">
        <v>15.8</v>
      </c>
      <c r="I359" s="3">
        <v>209</v>
      </c>
      <c r="J359" s="4">
        <v>75</v>
      </c>
      <c r="K359" s="4">
        <v>200</v>
      </c>
      <c r="L359" s="3">
        <v>37.200000000000003</v>
      </c>
      <c r="M359" s="4">
        <v>32</v>
      </c>
      <c r="N359" s="4">
        <v>96</v>
      </c>
      <c r="O359" s="3">
        <v>33.700000000000003</v>
      </c>
      <c r="P359" s="3">
        <v>29</v>
      </c>
      <c r="Q359" s="3">
        <v>41</v>
      </c>
      <c r="R359" s="3">
        <v>72.5</v>
      </c>
      <c r="S359" s="4">
        <v>26</v>
      </c>
      <c r="T359" s="4">
        <v>64</v>
      </c>
      <c r="U359" s="4">
        <v>93</v>
      </c>
      <c r="V359" s="4">
        <v>29</v>
      </c>
      <c r="W359" s="4">
        <v>32</v>
      </c>
      <c r="X359" s="4">
        <v>12</v>
      </c>
      <c r="Y359" s="4">
        <v>6</v>
      </c>
      <c r="Z359" s="4">
        <v>29</v>
      </c>
      <c r="AA359" s="3">
        <v>383</v>
      </c>
      <c r="AB359" s="3">
        <v>0</v>
      </c>
      <c r="AC359" s="3">
        <v>0</v>
      </c>
      <c r="AD359" s="2">
        <v>-2.2999999999999998</v>
      </c>
      <c r="AE359" s="2">
        <v>112.7</v>
      </c>
      <c r="AF359" s="2">
        <v>118.6</v>
      </c>
      <c r="AG359" s="2">
        <v>-5.9</v>
      </c>
      <c r="AH359" s="2">
        <v>8.5</v>
      </c>
      <c r="AI359" s="2">
        <v>0.94</v>
      </c>
      <c r="AJ359" s="2">
        <v>10.5</v>
      </c>
      <c r="AK359" s="2">
        <v>5.5</v>
      </c>
      <c r="AL359" s="2">
        <v>13</v>
      </c>
      <c r="AM359" s="2">
        <v>9.3000000000000007</v>
      </c>
      <c r="AN359" s="2">
        <v>11.2</v>
      </c>
      <c r="AO359" s="2">
        <v>45.2</v>
      </c>
      <c r="AP359" s="2">
        <v>48.2</v>
      </c>
      <c r="AQ359" s="2">
        <v>21.9</v>
      </c>
      <c r="AR359" s="2">
        <v>102.73</v>
      </c>
      <c r="AS359" s="2">
        <v>6.4</v>
      </c>
      <c r="AT359" s="2">
        <v>977</v>
      </c>
      <c r="AU359" s="53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6"/>
    </row>
    <row r="360" spans="1:69" ht="13.2">
      <c r="A360" s="1" t="s">
        <v>744</v>
      </c>
      <c r="B360" s="1" t="s">
        <v>745</v>
      </c>
      <c r="C360" s="24" t="str">
        <f>VLOOKUP(B360,Equipe!$A$1:$B$31,2,FALSE)</f>
        <v>Denver Nuggets</v>
      </c>
      <c r="D360" s="2">
        <v>36</v>
      </c>
      <c r="E360" s="2">
        <v>56</v>
      </c>
      <c r="F360" s="2">
        <v>37</v>
      </c>
      <c r="G360" s="2">
        <v>19</v>
      </c>
      <c r="H360" s="2">
        <v>12.3</v>
      </c>
      <c r="I360" s="3">
        <v>207</v>
      </c>
      <c r="J360" s="4">
        <v>90</v>
      </c>
      <c r="K360" s="4">
        <v>140</v>
      </c>
      <c r="L360" s="3">
        <v>65</v>
      </c>
      <c r="M360" s="3">
        <v>0</v>
      </c>
      <c r="N360" s="3">
        <v>0</v>
      </c>
      <c r="O360" s="3">
        <v>0</v>
      </c>
      <c r="P360" s="3">
        <v>28</v>
      </c>
      <c r="Q360" s="3">
        <v>62</v>
      </c>
      <c r="R360" s="3">
        <v>42.2</v>
      </c>
      <c r="S360" s="4">
        <v>84</v>
      </c>
      <c r="T360" s="4">
        <v>202</v>
      </c>
      <c r="U360" s="4">
        <v>286</v>
      </c>
      <c r="V360" s="4">
        <v>50</v>
      </c>
      <c r="W360" s="4">
        <v>39</v>
      </c>
      <c r="X360" s="4">
        <v>17</v>
      </c>
      <c r="Y360" s="4">
        <v>28</v>
      </c>
      <c r="Z360" s="4">
        <v>73</v>
      </c>
      <c r="AA360" s="3">
        <v>717</v>
      </c>
      <c r="AB360" s="3">
        <v>3</v>
      </c>
      <c r="AC360" s="3">
        <v>0</v>
      </c>
      <c r="AD360" s="2">
        <v>-0.8</v>
      </c>
      <c r="AE360" s="2">
        <v>108.8</v>
      </c>
      <c r="AF360" s="2">
        <v>112.1</v>
      </c>
      <c r="AG360" s="2">
        <v>-3.3</v>
      </c>
      <c r="AH360" s="2">
        <v>10.5</v>
      </c>
      <c r="AI360" s="2">
        <v>1.33</v>
      </c>
      <c r="AJ360" s="2">
        <v>20.2</v>
      </c>
      <c r="AK360" s="2">
        <v>11.9</v>
      </c>
      <c r="AL360" s="2">
        <v>26.2</v>
      </c>
      <c r="AM360" s="2">
        <v>19.399999999999999</v>
      </c>
      <c r="AN360" s="2">
        <v>15.3</v>
      </c>
      <c r="AO360" s="2">
        <v>65</v>
      </c>
      <c r="AP360" s="2">
        <v>62.1</v>
      </c>
      <c r="AQ360" s="2">
        <v>12.6</v>
      </c>
      <c r="AR360" s="2">
        <v>100.07</v>
      </c>
      <c r="AS360" s="2">
        <v>11.5</v>
      </c>
      <c r="AT360" s="2">
        <v>1440</v>
      </c>
      <c r="AU360" s="53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6"/>
    </row>
    <row r="361" spans="1:69" ht="13.2">
      <c r="A361" s="1" t="s">
        <v>746</v>
      </c>
      <c r="B361" s="1" t="s">
        <v>747</v>
      </c>
      <c r="C361" s="24" t="str">
        <f>VLOOKUP(B361,Equipe!$A$1:$B$31,2,FALSE)</f>
        <v>New Orleans Pelicans</v>
      </c>
      <c r="D361" s="2">
        <v>26</v>
      </c>
      <c r="E361" s="2">
        <v>20</v>
      </c>
      <c r="F361" s="2">
        <v>5</v>
      </c>
      <c r="G361" s="2">
        <v>15</v>
      </c>
      <c r="H361" s="2">
        <v>32.4</v>
      </c>
      <c r="I361" s="3">
        <v>206</v>
      </c>
      <c r="J361" s="4">
        <v>76</v>
      </c>
      <c r="K361" s="4">
        <v>172</v>
      </c>
      <c r="L361" s="3">
        <v>43.6</v>
      </c>
      <c r="M361" s="4">
        <v>22</v>
      </c>
      <c r="N361" s="4">
        <v>72</v>
      </c>
      <c r="O361" s="3">
        <v>30.6</v>
      </c>
      <c r="P361" s="3">
        <v>34</v>
      </c>
      <c r="Q361" s="3">
        <v>40</v>
      </c>
      <c r="R361" s="3">
        <v>82.5</v>
      </c>
      <c r="S361" s="4">
        <v>22</v>
      </c>
      <c r="T361" s="4">
        <v>56</v>
      </c>
      <c r="U361" s="4">
        <v>78</v>
      </c>
      <c r="V361" s="4">
        <v>66</v>
      </c>
      <c r="W361" s="4">
        <v>36</v>
      </c>
      <c r="X361" s="4">
        <v>38</v>
      </c>
      <c r="Y361" s="4">
        <v>10</v>
      </c>
      <c r="Z361" s="4">
        <v>66</v>
      </c>
      <c r="AA361" s="3">
        <v>500</v>
      </c>
      <c r="AB361" s="3">
        <v>0</v>
      </c>
      <c r="AC361" s="3">
        <v>0</v>
      </c>
      <c r="AD361" s="2">
        <v>-1</v>
      </c>
      <c r="AE361" s="2">
        <v>111.8</v>
      </c>
      <c r="AF361" s="2">
        <v>112.5</v>
      </c>
      <c r="AG361" s="2">
        <v>-0.7</v>
      </c>
      <c r="AH361" s="2">
        <v>13.4</v>
      </c>
      <c r="AI361" s="2">
        <v>1.86</v>
      </c>
      <c r="AJ361" s="2">
        <v>22.3</v>
      </c>
      <c r="AK361" s="2">
        <v>3.3</v>
      </c>
      <c r="AL361" s="2">
        <v>8.5</v>
      </c>
      <c r="AM361" s="2">
        <v>5.9</v>
      </c>
      <c r="AN361" s="2">
        <v>12</v>
      </c>
      <c r="AO361" s="2">
        <v>50</v>
      </c>
      <c r="AP361" s="2">
        <v>54.1</v>
      </c>
      <c r="AQ361" s="2">
        <v>14.6</v>
      </c>
      <c r="AR361" s="2">
        <v>100.76</v>
      </c>
      <c r="AS361" s="2">
        <v>6.2</v>
      </c>
      <c r="AT361" s="2">
        <v>1356</v>
      </c>
      <c r="AU361" s="53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6"/>
    </row>
    <row r="362" spans="1:69" ht="13.2">
      <c r="A362" s="8" t="s">
        <v>748</v>
      </c>
      <c r="B362" s="1" t="s">
        <v>749</v>
      </c>
      <c r="C362" s="24" t="str">
        <f>VLOOKUP(B362,Equipe!$A$1:$B$31,2,FALSE)</f>
        <v>Atlanta Hawks</v>
      </c>
      <c r="D362" s="2">
        <v>32</v>
      </c>
      <c r="E362" s="2">
        <v>24</v>
      </c>
      <c r="F362" s="2">
        <v>10</v>
      </c>
      <c r="G362" s="2">
        <v>14</v>
      </c>
      <c r="H362" s="2">
        <v>19.3</v>
      </c>
      <c r="I362" s="3">
        <v>204</v>
      </c>
      <c r="J362" s="4">
        <v>79</v>
      </c>
      <c r="K362" s="4">
        <v>156</v>
      </c>
      <c r="L362" s="3">
        <v>51.6</v>
      </c>
      <c r="M362" s="4">
        <v>34</v>
      </c>
      <c r="N362" s="4">
        <v>77</v>
      </c>
      <c r="O362" s="3">
        <v>44.7</v>
      </c>
      <c r="P362" s="3">
        <v>10</v>
      </c>
      <c r="Q362" s="3">
        <v>12</v>
      </c>
      <c r="R362" s="3">
        <v>69.2</v>
      </c>
      <c r="S362" s="4">
        <v>24</v>
      </c>
      <c r="T362" s="4">
        <v>79</v>
      </c>
      <c r="U362" s="4">
        <v>103</v>
      </c>
      <c r="V362" s="4">
        <v>38</v>
      </c>
      <c r="W362" s="4">
        <v>17</v>
      </c>
      <c r="X362" s="4">
        <v>19</v>
      </c>
      <c r="Y362" s="4">
        <v>12</v>
      </c>
      <c r="Z362" s="4">
        <v>36</v>
      </c>
      <c r="AA362" s="3">
        <v>466</v>
      </c>
      <c r="AB362" s="3">
        <v>3</v>
      </c>
      <c r="AC362" s="3">
        <v>0</v>
      </c>
      <c r="AD362" s="2">
        <v>-4</v>
      </c>
      <c r="AE362" s="2">
        <v>107.5</v>
      </c>
      <c r="AF362" s="2">
        <v>116.5</v>
      </c>
      <c r="AG362" s="2">
        <v>-9</v>
      </c>
      <c r="AH362" s="2">
        <v>12.5</v>
      </c>
      <c r="AI362" s="2">
        <v>2.38</v>
      </c>
      <c r="AJ362" s="2">
        <v>17.7</v>
      </c>
      <c r="AK362" s="2">
        <v>4.5999999999999996</v>
      </c>
      <c r="AL362" s="2">
        <v>17.399999999999999</v>
      </c>
      <c r="AM362" s="2">
        <v>10.8</v>
      </c>
      <c r="AN362" s="2">
        <v>7.4</v>
      </c>
      <c r="AO362" s="2">
        <v>62.6</v>
      </c>
      <c r="AP362" s="2">
        <v>63.2</v>
      </c>
      <c r="AQ362" s="2">
        <v>15.5</v>
      </c>
      <c r="AR362" s="2">
        <v>104.76</v>
      </c>
      <c r="AS362" s="2">
        <v>10.6</v>
      </c>
      <c r="AT362" s="2">
        <v>1009</v>
      </c>
      <c r="AU362" s="53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6"/>
    </row>
    <row r="363" spans="1:69" ht="13.2">
      <c r="A363" s="1" t="s">
        <v>750</v>
      </c>
      <c r="B363" s="1" t="s">
        <v>751</v>
      </c>
      <c r="C363" s="24" t="str">
        <f>VLOOKUP(B363,Equipe!$A$1:$B$31,2,FALSE)</f>
        <v>Dallas Mavericks</v>
      </c>
      <c r="D363" s="2">
        <v>22</v>
      </c>
      <c r="E363" s="2">
        <v>52</v>
      </c>
      <c r="F363" s="2">
        <v>27</v>
      </c>
      <c r="G363" s="2">
        <v>25</v>
      </c>
      <c r="H363" s="2">
        <v>11.2</v>
      </c>
      <c r="I363" s="3">
        <v>203</v>
      </c>
      <c r="J363" s="4">
        <v>68</v>
      </c>
      <c r="K363" s="4">
        <v>172</v>
      </c>
      <c r="L363" s="3">
        <v>40.200000000000003</v>
      </c>
      <c r="M363" s="4">
        <v>10</v>
      </c>
      <c r="N363" s="4">
        <v>52</v>
      </c>
      <c r="O363" s="3">
        <v>23.5</v>
      </c>
      <c r="P363" s="3">
        <v>47</v>
      </c>
      <c r="Q363" s="3">
        <v>78</v>
      </c>
      <c r="R363" s="3">
        <v>64.5</v>
      </c>
      <c r="S363" s="4">
        <v>42</v>
      </c>
      <c r="T363" s="4">
        <v>83</v>
      </c>
      <c r="U363" s="4">
        <v>125</v>
      </c>
      <c r="V363" s="4">
        <v>42</v>
      </c>
      <c r="W363" s="4">
        <v>16</v>
      </c>
      <c r="X363" s="4">
        <v>26</v>
      </c>
      <c r="Y363" s="4">
        <v>5</v>
      </c>
      <c r="Z363" s="4">
        <v>26</v>
      </c>
      <c r="AA363" s="3">
        <v>494</v>
      </c>
      <c r="AB363" s="3">
        <v>0</v>
      </c>
      <c r="AC363" s="3">
        <v>0</v>
      </c>
      <c r="AD363" s="2">
        <v>-2</v>
      </c>
      <c r="AE363" s="2">
        <v>101.8</v>
      </c>
      <c r="AF363" s="2">
        <v>109.5</v>
      </c>
      <c r="AG363" s="2">
        <v>-7.7</v>
      </c>
      <c r="AH363" s="2">
        <v>10.1</v>
      </c>
      <c r="AI363" s="2">
        <v>2.86</v>
      </c>
      <c r="AJ363" s="2">
        <v>15.2</v>
      </c>
      <c r="AK363" s="2">
        <v>7.1</v>
      </c>
      <c r="AL363" s="2">
        <v>13.7</v>
      </c>
      <c r="AM363" s="2">
        <v>10.3</v>
      </c>
      <c r="AN363" s="2">
        <v>5.3</v>
      </c>
      <c r="AO363" s="2">
        <v>43.7</v>
      </c>
      <c r="AP363" s="2">
        <v>48.4</v>
      </c>
      <c r="AQ363" s="2">
        <v>15.8</v>
      </c>
      <c r="AR363" s="2">
        <v>103.43</v>
      </c>
      <c r="AS363" s="2">
        <v>8.1999999999999993</v>
      </c>
      <c r="AT363" s="2">
        <v>1255</v>
      </c>
      <c r="AU363" s="53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6"/>
    </row>
    <row r="364" spans="1:69" ht="13.2">
      <c r="A364" s="1" t="s">
        <v>752</v>
      </c>
      <c r="B364" s="1" t="s">
        <v>753</v>
      </c>
      <c r="C364" s="24" t="str">
        <f>VLOOKUP(B364,Equipe!$A$1:$B$31,2,FALSE)</f>
        <v>Houston Rockets</v>
      </c>
      <c r="D364" s="2">
        <v>29</v>
      </c>
      <c r="E364" s="2">
        <v>42</v>
      </c>
      <c r="F364" s="2">
        <v>26</v>
      </c>
      <c r="G364" s="2">
        <v>16</v>
      </c>
      <c r="H364" s="2">
        <v>11.9</v>
      </c>
      <c r="I364" s="3">
        <v>202</v>
      </c>
      <c r="J364" s="4">
        <v>80</v>
      </c>
      <c r="K364" s="4">
        <v>151</v>
      </c>
      <c r="L364" s="3">
        <v>53.3</v>
      </c>
      <c r="M364" s="4">
        <v>13</v>
      </c>
      <c r="N364" s="4">
        <v>25</v>
      </c>
      <c r="O364" s="3">
        <v>42.3</v>
      </c>
      <c r="P364" s="3">
        <v>25</v>
      </c>
      <c r="Q364" s="3">
        <v>42</v>
      </c>
      <c r="R364" s="3">
        <v>67.5</v>
      </c>
      <c r="S364" s="4">
        <v>55</v>
      </c>
      <c r="T364" s="4">
        <v>80</v>
      </c>
      <c r="U364" s="4">
        <v>139</v>
      </c>
      <c r="V364" s="4">
        <v>38</v>
      </c>
      <c r="W364" s="4">
        <v>21</v>
      </c>
      <c r="X364" s="4">
        <v>13</v>
      </c>
      <c r="Y364" s="4">
        <v>8</v>
      </c>
      <c r="Z364" s="4">
        <v>50</v>
      </c>
      <c r="AA364" s="3">
        <v>466</v>
      </c>
      <c r="AB364" s="3">
        <v>1</v>
      </c>
      <c r="AC364" s="3">
        <v>0</v>
      </c>
      <c r="AD364" s="2">
        <v>-0.6</v>
      </c>
      <c r="AE364" s="2">
        <v>110.5</v>
      </c>
      <c r="AF364" s="2">
        <v>112.6</v>
      </c>
      <c r="AG364" s="2">
        <v>-2.1</v>
      </c>
      <c r="AH364" s="2">
        <v>10.199999999999999</v>
      </c>
      <c r="AI364" s="2">
        <v>1.76</v>
      </c>
      <c r="AJ364" s="2">
        <v>16.3</v>
      </c>
      <c r="AK364" s="2">
        <v>9.9</v>
      </c>
      <c r="AL364" s="2">
        <v>15.1</v>
      </c>
      <c r="AM364" s="2">
        <v>12.5</v>
      </c>
      <c r="AN364" s="2">
        <v>9.3000000000000007</v>
      </c>
      <c r="AO364" s="2">
        <v>56.9</v>
      </c>
      <c r="AP364" s="2">
        <v>59</v>
      </c>
      <c r="AQ364" s="2">
        <v>14.8</v>
      </c>
      <c r="AR364" s="2">
        <v>103.58</v>
      </c>
      <c r="AS364" s="2">
        <v>9.6999999999999993</v>
      </c>
      <c r="AT364" s="2">
        <v>1078</v>
      </c>
      <c r="AU364" s="53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6"/>
    </row>
    <row r="365" spans="1:69" ht="13.2">
      <c r="A365" s="1" t="s">
        <v>754</v>
      </c>
      <c r="B365" s="1" t="s">
        <v>755</v>
      </c>
      <c r="C365" s="24" t="str">
        <f>VLOOKUP(B365,Equipe!$A$1:$B$31,2,FALSE)</f>
        <v>Denver Nuggets</v>
      </c>
      <c r="D365" s="2">
        <v>25</v>
      </c>
      <c r="E365" s="2">
        <v>49</v>
      </c>
      <c r="F365" s="2">
        <v>31</v>
      </c>
      <c r="G365" s="2">
        <v>18</v>
      </c>
      <c r="H365" s="2">
        <v>13.6</v>
      </c>
      <c r="I365" s="3">
        <v>201</v>
      </c>
      <c r="J365" s="4">
        <v>78</v>
      </c>
      <c r="K365" s="4">
        <v>181</v>
      </c>
      <c r="L365" s="3">
        <v>42.8</v>
      </c>
      <c r="M365" s="4">
        <v>39</v>
      </c>
      <c r="N365" s="4">
        <v>103</v>
      </c>
      <c r="O365" s="3">
        <v>39.6</v>
      </c>
      <c r="P365" s="3">
        <v>5</v>
      </c>
      <c r="Q365" s="3">
        <v>10</v>
      </c>
      <c r="R365" s="3">
        <v>75</v>
      </c>
      <c r="S365" s="4">
        <v>15</v>
      </c>
      <c r="T365" s="4">
        <v>54</v>
      </c>
      <c r="U365" s="4">
        <v>69</v>
      </c>
      <c r="V365" s="4">
        <v>108</v>
      </c>
      <c r="W365" s="4">
        <v>25</v>
      </c>
      <c r="X365" s="4">
        <v>20</v>
      </c>
      <c r="Y365" s="4">
        <v>5</v>
      </c>
      <c r="Z365" s="4">
        <v>39</v>
      </c>
      <c r="AA365" s="3">
        <v>495</v>
      </c>
      <c r="AB365" s="3">
        <v>1</v>
      </c>
      <c r="AC365" s="3">
        <v>1</v>
      </c>
      <c r="AD365" s="2">
        <v>1.1000000000000001</v>
      </c>
      <c r="AE365" s="2">
        <v>112.6</v>
      </c>
      <c r="AF365" s="2">
        <v>109.7</v>
      </c>
      <c r="AG365" s="2">
        <v>2.9</v>
      </c>
      <c r="AH365" s="2">
        <v>21.1</v>
      </c>
      <c r="AI365" s="2">
        <v>4.46</v>
      </c>
      <c r="AJ365" s="2">
        <v>34.1</v>
      </c>
      <c r="AK365" s="2">
        <v>2.2000000000000002</v>
      </c>
      <c r="AL365" s="2">
        <v>7.8</v>
      </c>
      <c r="AM365" s="2">
        <v>5.0999999999999996</v>
      </c>
      <c r="AN365" s="2">
        <v>7.6</v>
      </c>
      <c r="AO365" s="2">
        <v>53.9</v>
      </c>
      <c r="AP365" s="2">
        <v>54.5</v>
      </c>
      <c r="AQ365" s="2">
        <v>13</v>
      </c>
      <c r="AR365" s="2">
        <v>99.25</v>
      </c>
      <c r="AS365" s="2">
        <v>7.8</v>
      </c>
      <c r="AT365" s="2">
        <v>1383</v>
      </c>
      <c r="AU365" s="53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6"/>
    </row>
    <row r="366" spans="1:69" ht="13.2">
      <c r="A366" s="1" t="s">
        <v>756</v>
      </c>
      <c r="B366" s="1" t="s">
        <v>757</v>
      </c>
      <c r="C366" s="24" t="str">
        <f>VLOOKUP(B366,Equipe!$A$1:$B$31,2,FALSE)</f>
        <v>Dallas Mavericks</v>
      </c>
      <c r="D366" s="2">
        <v>24</v>
      </c>
      <c r="E366" s="2">
        <v>40</v>
      </c>
      <c r="F366" s="2">
        <v>20</v>
      </c>
      <c r="G366" s="2">
        <v>20</v>
      </c>
      <c r="H366" s="2">
        <v>11.7</v>
      </c>
      <c r="I366" s="3">
        <v>200</v>
      </c>
      <c r="J366" s="4">
        <v>88</v>
      </c>
      <c r="K366" s="4">
        <v>108</v>
      </c>
      <c r="L366" s="3">
        <v>79.8</v>
      </c>
      <c r="M366" s="3">
        <v>0</v>
      </c>
      <c r="N366" s="4">
        <v>4</v>
      </c>
      <c r="O366" s="3">
        <v>20</v>
      </c>
      <c r="P366" s="3">
        <v>24</v>
      </c>
      <c r="Q366" s="3">
        <v>32</v>
      </c>
      <c r="R366" s="3">
        <v>71.900000000000006</v>
      </c>
      <c r="S366" s="4">
        <v>40</v>
      </c>
      <c r="T366" s="4">
        <v>84</v>
      </c>
      <c r="U366" s="4">
        <v>124</v>
      </c>
      <c r="V366" s="4">
        <v>24</v>
      </c>
      <c r="W366" s="4">
        <v>20</v>
      </c>
      <c r="X366" s="4">
        <v>16</v>
      </c>
      <c r="Y366" s="4">
        <v>24</v>
      </c>
      <c r="Z366" s="4">
        <v>52</v>
      </c>
      <c r="AA366" s="3">
        <v>480</v>
      </c>
      <c r="AB366" s="3">
        <v>1</v>
      </c>
      <c r="AC366" s="3">
        <v>0</v>
      </c>
      <c r="AD366" s="2">
        <v>-0.5</v>
      </c>
      <c r="AE366" s="2">
        <v>107</v>
      </c>
      <c r="AF366" s="2">
        <v>109.2</v>
      </c>
      <c r="AG366" s="2">
        <v>-2.2999999999999998</v>
      </c>
      <c r="AH366" s="2">
        <v>8</v>
      </c>
      <c r="AI366" s="2">
        <v>1.39</v>
      </c>
      <c r="AJ366" s="2">
        <v>15.2</v>
      </c>
      <c r="AK366" s="2">
        <v>8.9</v>
      </c>
      <c r="AL366" s="2">
        <v>17.3</v>
      </c>
      <c r="AM366" s="2">
        <v>13.3</v>
      </c>
      <c r="AN366" s="2">
        <v>11</v>
      </c>
      <c r="AO366" s="2">
        <v>80.3</v>
      </c>
      <c r="AP366" s="2">
        <v>80.400000000000006</v>
      </c>
      <c r="AQ366" s="2">
        <v>12.8</v>
      </c>
      <c r="AR366" s="2">
        <v>99.77</v>
      </c>
      <c r="AS366" s="2">
        <v>13.1</v>
      </c>
      <c r="AT366" s="2">
        <v>974</v>
      </c>
      <c r="AU366" s="53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6"/>
    </row>
    <row r="367" spans="1:69" ht="13.2">
      <c r="A367" s="1" t="s">
        <v>758</v>
      </c>
      <c r="B367" s="1" t="s">
        <v>759</v>
      </c>
      <c r="C367" s="24" t="str">
        <f>VLOOKUP(B367,Equipe!$A$1:$B$31,2,FALSE)</f>
        <v>Atlanta Hawks</v>
      </c>
      <c r="D367" s="2">
        <v>22</v>
      </c>
      <c r="E367" s="2">
        <v>33</v>
      </c>
      <c r="F367" s="2">
        <v>15</v>
      </c>
      <c r="G367" s="2">
        <v>18</v>
      </c>
      <c r="H367" s="2">
        <v>16.100000000000001</v>
      </c>
      <c r="I367" s="3">
        <v>198</v>
      </c>
      <c r="J367" s="4">
        <v>73</v>
      </c>
      <c r="K367" s="4">
        <v>172</v>
      </c>
      <c r="L367" s="3">
        <v>42.1</v>
      </c>
      <c r="M367" s="4">
        <v>20</v>
      </c>
      <c r="N367" s="4">
        <v>83</v>
      </c>
      <c r="O367" s="3">
        <v>25.9</v>
      </c>
      <c r="P367" s="3">
        <v>33</v>
      </c>
      <c r="Q367" s="3">
        <v>43</v>
      </c>
      <c r="R367" s="3">
        <v>76.2</v>
      </c>
      <c r="S367" s="4">
        <v>43</v>
      </c>
      <c r="T367" s="4">
        <v>96</v>
      </c>
      <c r="U367" s="4">
        <v>139</v>
      </c>
      <c r="V367" s="4">
        <v>26</v>
      </c>
      <c r="W367" s="4">
        <v>17</v>
      </c>
      <c r="X367" s="4">
        <v>26</v>
      </c>
      <c r="Y367" s="4">
        <v>33</v>
      </c>
      <c r="Z367" s="4">
        <v>56</v>
      </c>
      <c r="AA367" s="3">
        <v>571</v>
      </c>
      <c r="AB367" s="3">
        <v>2</v>
      </c>
      <c r="AC367" s="3">
        <v>0</v>
      </c>
      <c r="AD367" s="2">
        <v>2.6</v>
      </c>
      <c r="AE367" s="2">
        <v>113.4</v>
      </c>
      <c r="AF367" s="2">
        <v>104.7</v>
      </c>
      <c r="AG367" s="2">
        <v>8.8000000000000007</v>
      </c>
      <c r="AH367" s="2">
        <v>6.4</v>
      </c>
      <c r="AI367" s="2">
        <v>1.8</v>
      </c>
      <c r="AJ367" s="2">
        <v>11.7</v>
      </c>
      <c r="AK367" s="2">
        <v>7.8</v>
      </c>
      <c r="AL367" s="2">
        <v>17.899999999999999</v>
      </c>
      <c r="AM367" s="2">
        <v>12.7</v>
      </c>
      <c r="AN367" s="2">
        <v>6.5</v>
      </c>
      <c r="AO367" s="2">
        <v>48.2</v>
      </c>
      <c r="AP367" s="2">
        <v>52</v>
      </c>
      <c r="AQ367" s="2">
        <v>15.5</v>
      </c>
      <c r="AR367" s="2">
        <v>103.84</v>
      </c>
      <c r="AS367" s="2">
        <v>8.5</v>
      </c>
      <c r="AT367" s="2">
        <v>1146</v>
      </c>
      <c r="AU367" s="53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6"/>
    </row>
    <row r="368" spans="1:69" ht="13.2">
      <c r="A368" s="1" t="s">
        <v>760</v>
      </c>
      <c r="B368" s="1" t="s">
        <v>761</v>
      </c>
      <c r="C368" s="24" t="str">
        <f>VLOOKUP(B368,Equipe!$A$1:$B$31,2,FALSE)</f>
        <v>New Orleans Pelicans</v>
      </c>
      <c r="D368" s="2">
        <v>26</v>
      </c>
      <c r="E368" s="2">
        <v>37</v>
      </c>
      <c r="F368" s="2">
        <v>6</v>
      </c>
      <c r="G368" s="2">
        <v>31</v>
      </c>
      <c r="H368" s="2">
        <v>13.6</v>
      </c>
      <c r="I368" s="3">
        <v>196</v>
      </c>
      <c r="J368" s="4">
        <v>67</v>
      </c>
      <c r="K368" s="4">
        <v>159</v>
      </c>
      <c r="L368" s="3">
        <v>43</v>
      </c>
      <c r="M368" s="4">
        <v>26</v>
      </c>
      <c r="N368" s="4">
        <v>81</v>
      </c>
      <c r="O368" s="3">
        <v>32.5</v>
      </c>
      <c r="P368" s="3">
        <v>33</v>
      </c>
      <c r="Q368" s="3">
        <v>52</v>
      </c>
      <c r="R368" s="3">
        <v>68</v>
      </c>
      <c r="S368" s="4">
        <v>26</v>
      </c>
      <c r="T368" s="4">
        <v>59</v>
      </c>
      <c r="U368" s="4">
        <v>85</v>
      </c>
      <c r="V368" s="4">
        <v>22</v>
      </c>
      <c r="W368" s="4">
        <v>22</v>
      </c>
      <c r="X368" s="4">
        <v>22</v>
      </c>
      <c r="Y368" s="4">
        <v>7</v>
      </c>
      <c r="Z368" s="4">
        <v>44</v>
      </c>
      <c r="AA368" s="3">
        <v>403</v>
      </c>
      <c r="AB368" s="3">
        <v>0</v>
      </c>
      <c r="AC368" s="3">
        <v>0</v>
      </c>
      <c r="AD368" s="2">
        <v>-3.6</v>
      </c>
      <c r="AE368" s="2">
        <v>106.4</v>
      </c>
      <c r="AF368" s="2">
        <v>119.3</v>
      </c>
      <c r="AG368" s="2">
        <v>-12.9</v>
      </c>
      <c r="AH368" s="2">
        <v>6.5</v>
      </c>
      <c r="AI368" s="2">
        <v>1</v>
      </c>
      <c r="AJ368" s="2">
        <v>9.8000000000000007</v>
      </c>
      <c r="AK368" s="2">
        <v>5</v>
      </c>
      <c r="AL368" s="2">
        <v>11.7</v>
      </c>
      <c r="AM368" s="2">
        <v>8.1999999999999993</v>
      </c>
      <c r="AN368" s="2">
        <v>9.8000000000000007</v>
      </c>
      <c r="AO368" s="2">
        <v>51.3</v>
      </c>
      <c r="AP368" s="2">
        <v>54.4</v>
      </c>
      <c r="AQ368" s="2">
        <v>16.7</v>
      </c>
      <c r="AR368" s="2">
        <v>100.49</v>
      </c>
      <c r="AS368" s="2">
        <v>6.7</v>
      </c>
      <c r="AT368" s="2">
        <v>1052</v>
      </c>
      <c r="AU368" s="53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6"/>
    </row>
    <row r="369" spans="1:69" ht="13.2">
      <c r="A369" s="1" t="s">
        <v>762</v>
      </c>
      <c r="B369" s="1" t="s">
        <v>763</v>
      </c>
      <c r="C369" s="24" t="str">
        <f>VLOOKUP(B369,Equipe!$A$1:$B$31,2,FALSE)</f>
        <v>Phoenix Suns</v>
      </c>
      <c r="D369" s="2">
        <v>25</v>
      </c>
      <c r="E369" s="2">
        <v>33</v>
      </c>
      <c r="F369" s="2">
        <v>12</v>
      </c>
      <c r="G369" s="2">
        <v>21</v>
      </c>
      <c r="H369" s="2">
        <v>14</v>
      </c>
      <c r="I369" s="3">
        <v>195</v>
      </c>
      <c r="J369" s="4">
        <v>69</v>
      </c>
      <c r="K369" s="4">
        <v>158</v>
      </c>
      <c r="L369" s="3">
        <v>43</v>
      </c>
      <c r="M369" s="4">
        <v>40</v>
      </c>
      <c r="N369" s="4">
        <v>89</v>
      </c>
      <c r="O369" s="3">
        <v>43.3</v>
      </c>
      <c r="P369" s="3">
        <v>20</v>
      </c>
      <c r="Q369" s="3">
        <v>23</v>
      </c>
      <c r="R369" s="3">
        <v>86.4</v>
      </c>
      <c r="S369" s="4">
        <v>23</v>
      </c>
      <c r="T369" s="4">
        <v>56</v>
      </c>
      <c r="U369" s="4">
        <v>79</v>
      </c>
      <c r="V369" s="4">
        <v>79</v>
      </c>
      <c r="W369" s="4">
        <v>17</v>
      </c>
      <c r="X369" s="4">
        <v>20</v>
      </c>
      <c r="Y369" s="4">
        <v>7</v>
      </c>
      <c r="Z369" s="4">
        <v>30</v>
      </c>
      <c r="AA369" s="3">
        <v>465</v>
      </c>
      <c r="AB369" s="3">
        <v>1</v>
      </c>
      <c r="AC369" s="3">
        <v>0</v>
      </c>
      <c r="AD369" s="2">
        <v>-0.9</v>
      </c>
      <c r="AE369" s="2">
        <v>115.6</v>
      </c>
      <c r="AF369" s="2">
        <v>118.4</v>
      </c>
      <c r="AG369" s="2">
        <v>-2.8</v>
      </c>
      <c r="AH369" s="2">
        <v>23.5</v>
      </c>
      <c r="AI369" s="2">
        <v>4.59</v>
      </c>
      <c r="AJ369" s="2">
        <v>29.7</v>
      </c>
      <c r="AK369" s="2">
        <v>4.8</v>
      </c>
      <c r="AL369" s="2">
        <v>12.4</v>
      </c>
      <c r="AM369" s="2">
        <v>8.6</v>
      </c>
      <c r="AN369" s="2">
        <v>6.5</v>
      </c>
      <c r="AO369" s="2">
        <v>55.4</v>
      </c>
      <c r="AP369" s="2">
        <v>57.8</v>
      </c>
      <c r="AQ369" s="2">
        <v>17</v>
      </c>
      <c r="AR369" s="2">
        <v>98.66</v>
      </c>
      <c r="AS369" s="2">
        <v>10.5</v>
      </c>
      <c r="AT369" s="2">
        <v>947</v>
      </c>
      <c r="AU369" s="53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6"/>
    </row>
    <row r="370" spans="1:69" ht="13.2">
      <c r="A370" s="1" t="s">
        <v>764</v>
      </c>
      <c r="B370" s="1" t="s">
        <v>765</v>
      </c>
      <c r="C370" s="24" t="str">
        <f>VLOOKUP(B370,Equipe!$A$1:$B$31,2,FALSE)</f>
        <v>Portland Trail Blazers</v>
      </c>
      <c r="D370" s="2">
        <v>28</v>
      </c>
      <c r="E370" s="2">
        <v>46</v>
      </c>
      <c r="F370" s="2">
        <v>19</v>
      </c>
      <c r="G370" s="2">
        <v>27</v>
      </c>
      <c r="H370" s="2">
        <v>10.199999999999999</v>
      </c>
      <c r="I370" s="3">
        <v>193</v>
      </c>
      <c r="J370" s="4">
        <v>69</v>
      </c>
      <c r="K370" s="4">
        <v>166</v>
      </c>
      <c r="L370" s="3">
        <v>42.2</v>
      </c>
      <c r="M370" s="4">
        <v>32</v>
      </c>
      <c r="N370" s="4">
        <v>106</v>
      </c>
      <c r="O370" s="3">
        <v>32.1</v>
      </c>
      <c r="P370" s="3">
        <v>18</v>
      </c>
      <c r="Q370" s="3">
        <v>23</v>
      </c>
      <c r="R370" s="3">
        <v>90.9</v>
      </c>
      <c r="S370" s="4">
        <v>46</v>
      </c>
      <c r="T370" s="4">
        <v>46</v>
      </c>
      <c r="U370" s="4">
        <v>92</v>
      </c>
      <c r="V370" s="4">
        <v>28</v>
      </c>
      <c r="W370" s="4">
        <v>14</v>
      </c>
      <c r="X370" s="4">
        <v>14</v>
      </c>
      <c r="Y370" s="4">
        <v>14</v>
      </c>
      <c r="Z370" s="4">
        <v>41</v>
      </c>
      <c r="AA370" s="3">
        <v>405</v>
      </c>
      <c r="AB370" s="3">
        <v>0</v>
      </c>
      <c r="AC370" s="3">
        <v>0</v>
      </c>
      <c r="AD370" s="2">
        <v>-1.2</v>
      </c>
      <c r="AE370" s="2">
        <v>108</v>
      </c>
      <c r="AF370" s="2">
        <v>114.5</v>
      </c>
      <c r="AG370" s="2">
        <v>-6.5</v>
      </c>
      <c r="AH370" s="2">
        <v>8.3000000000000007</v>
      </c>
      <c r="AI370" s="2">
        <v>1.63</v>
      </c>
      <c r="AJ370" s="2">
        <v>11.9</v>
      </c>
      <c r="AK370" s="2">
        <v>8.1999999999999993</v>
      </c>
      <c r="AL370" s="2">
        <v>11.1</v>
      </c>
      <c r="AM370" s="2">
        <v>9.5</v>
      </c>
      <c r="AN370" s="2">
        <v>7.3</v>
      </c>
      <c r="AO370" s="2">
        <v>52.4</v>
      </c>
      <c r="AP370" s="2">
        <v>55.2</v>
      </c>
      <c r="AQ370" s="2">
        <v>16.2</v>
      </c>
      <c r="AR370" s="2">
        <v>102.71</v>
      </c>
      <c r="AS370" s="2">
        <v>7.7</v>
      </c>
      <c r="AT370" s="2">
        <v>1009</v>
      </c>
      <c r="AU370" s="53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6"/>
    </row>
    <row r="371" spans="1:69" ht="13.2">
      <c r="A371" s="8" t="s">
        <v>766</v>
      </c>
      <c r="B371" s="1" t="s">
        <v>767</v>
      </c>
      <c r="C371" s="24" t="str">
        <f>VLOOKUP(B371,Equipe!$A$1:$B$31,2,FALSE)</f>
        <v>Cleveland Cavaliers</v>
      </c>
      <c r="D371" s="2">
        <v>25</v>
      </c>
      <c r="E371" s="2">
        <v>51</v>
      </c>
      <c r="F371" s="2">
        <v>40</v>
      </c>
      <c r="G371" s="2">
        <v>11</v>
      </c>
      <c r="H371" s="2">
        <v>10.1</v>
      </c>
      <c r="I371" s="3">
        <v>189</v>
      </c>
      <c r="J371" s="4">
        <v>71</v>
      </c>
      <c r="K371" s="4">
        <v>138</v>
      </c>
      <c r="L371" s="3">
        <v>51.4</v>
      </c>
      <c r="M371" s="4">
        <v>20</v>
      </c>
      <c r="N371" s="4">
        <v>46</v>
      </c>
      <c r="O371" s="3">
        <v>43.8</v>
      </c>
      <c r="P371" s="3">
        <v>26</v>
      </c>
      <c r="Q371" s="3">
        <v>31</v>
      </c>
      <c r="R371" s="3">
        <v>71.900000000000006</v>
      </c>
      <c r="S371" s="4">
        <v>20</v>
      </c>
      <c r="T371" s="4">
        <v>46</v>
      </c>
      <c r="U371" s="4">
        <v>66</v>
      </c>
      <c r="V371" s="4">
        <v>71</v>
      </c>
      <c r="W371" s="4">
        <v>36</v>
      </c>
      <c r="X371" s="4">
        <v>15</v>
      </c>
      <c r="Y371" s="4">
        <v>15</v>
      </c>
      <c r="Z371" s="4">
        <v>26</v>
      </c>
      <c r="AA371" s="3">
        <v>434</v>
      </c>
      <c r="AB371" s="3">
        <v>0</v>
      </c>
      <c r="AC371" s="3">
        <v>0</v>
      </c>
      <c r="AD371" s="2">
        <v>-0.9</v>
      </c>
      <c r="AE371" s="2">
        <v>108.3</v>
      </c>
      <c r="AF371" s="2">
        <v>113.5</v>
      </c>
      <c r="AG371" s="2">
        <v>-5.2</v>
      </c>
      <c r="AH371" s="2">
        <v>19.100000000000001</v>
      </c>
      <c r="AI371" s="2">
        <v>1.87</v>
      </c>
      <c r="AJ371" s="2">
        <v>27</v>
      </c>
      <c r="AK371" s="2">
        <v>3.7</v>
      </c>
      <c r="AL371" s="2">
        <v>8.5</v>
      </c>
      <c r="AM371" s="2">
        <v>6.3</v>
      </c>
      <c r="AN371" s="2">
        <v>14.4</v>
      </c>
      <c r="AO371" s="2">
        <v>58.9</v>
      </c>
      <c r="AP371" s="2">
        <v>61</v>
      </c>
      <c r="AQ371" s="2">
        <v>15.5</v>
      </c>
      <c r="AR371" s="2">
        <v>100.91</v>
      </c>
      <c r="AS371" s="2">
        <v>9.1</v>
      </c>
      <c r="AT371" s="2">
        <v>1084</v>
      </c>
      <c r="AU371" s="53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6"/>
    </row>
    <row r="372" spans="1:69" ht="13.2">
      <c r="A372" s="1" t="s">
        <v>768</v>
      </c>
      <c r="B372" s="1" t="s">
        <v>769</v>
      </c>
      <c r="C372" s="24" t="str">
        <f>VLOOKUP(B372,Equipe!$A$1:$B$31,2,FALSE)</f>
        <v>Houston Rockets</v>
      </c>
      <c r="D372" s="2">
        <v>29</v>
      </c>
      <c r="E372" s="2">
        <v>52</v>
      </c>
      <c r="F372" s="2">
        <v>38</v>
      </c>
      <c r="G372" s="2">
        <v>14</v>
      </c>
      <c r="H372" s="2">
        <v>11.3</v>
      </c>
      <c r="I372" s="3">
        <v>187</v>
      </c>
      <c r="J372" s="4">
        <v>68</v>
      </c>
      <c r="K372" s="4">
        <v>146</v>
      </c>
      <c r="L372" s="3">
        <v>47.3</v>
      </c>
      <c r="M372" s="4">
        <v>16</v>
      </c>
      <c r="N372" s="4">
        <v>47</v>
      </c>
      <c r="O372" s="3">
        <v>34.799999999999997</v>
      </c>
      <c r="P372" s="3">
        <v>31</v>
      </c>
      <c r="Q372" s="3">
        <v>47</v>
      </c>
      <c r="R372" s="3">
        <v>68.099999999999994</v>
      </c>
      <c r="S372" s="4">
        <v>52</v>
      </c>
      <c r="T372" s="4">
        <v>68</v>
      </c>
      <c r="U372" s="4">
        <v>120</v>
      </c>
      <c r="V372" s="4">
        <v>47</v>
      </c>
      <c r="W372" s="4">
        <v>21</v>
      </c>
      <c r="X372" s="4">
        <v>26</v>
      </c>
      <c r="Y372" s="4">
        <v>5</v>
      </c>
      <c r="Z372" s="4">
        <v>83</v>
      </c>
      <c r="AA372" s="3">
        <v>478</v>
      </c>
      <c r="AB372" s="3">
        <v>0</v>
      </c>
      <c r="AC372" s="3">
        <v>0</v>
      </c>
      <c r="AD372" s="2">
        <v>1</v>
      </c>
      <c r="AE372" s="2">
        <v>111</v>
      </c>
      <c r="AF372" s="2">
        <v>104.7</v>
      </c>
      <c r="AG372" s="2">
        <v>6.3</v>
      </c>
      <c r="AH372" s="2">
        <v>10.7</v>
      </c>
      <c r="AI372" s="2">
        <v>2.14</v>
      </c>
      <c r="AJ372" s="2">
        <v>19.7</v>
      </c>
      <c r="AK372" s="2">
        <v>7.2</v>
      </c>
      <c r="AL372" s="2">
        <v>10.8</v>
      </c>
      <c r="AM372" s="2">
        <v>8.9</v>
      </c>
      <c r="AN372" s="2">
        <v>9.1999999999999993</v>
      </c>
      <c r="AO372" s="2">
        <v>52.7</v>
      </c>
      <c r="AP372" s="2">
        <v>55.7</v>
      </c>
      <c r="AQ372" s="2">
        <v>12.6</v>
      </c>
      <c r="AR372" s="2">
        <v>103.16</v>
      </c>
      <c r="AS372" s="2">
        <v>7.1</v>
      </c>
      <c r="AT372" s="2">
        <v>1251</v>
      </c>
      <c r="AU372" s="53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6"/>
    </row>
    <row r="373" spans="1:69" ht="13.2">
      <c r="A373" s="1" t="s">
        <v>770</v>
      </c>
      <c r="B373" s="1" t="s">
        <v>771</v>
      </c>
      <c r="C373" s="24" t="str">
        <f>VLOOKUP(B373,Equipe!$A$1:$B$31,2,FALSE)</f>
        <v>Detroit Pistons</v>
      </c>
      <c r="D373" s="2">
        <v>25</v>
      </c>
      <c r="E373" s="2">
        <v>45</v>
      </c>
      <c r="F373" s="2">
        <v>22</v>
      </c>
      <c r="G373" s="2">
        <v>23</v>
      </c>
      <c r="H373" s="2">
        <v>9.6999999999999993</v>
      </c>
      <c r="I373" s="3">
        <v>185</v>
      </c>
      <c r="J373" s="4">
        <v>72</v>
      </c>
      <c r="K373" s="4">
        <v>144</v>
      </c>
      <c r="L373" s="3">
        <v>50.7</v>
      </c>
      <c r="M373" s="4">
        <v>9</v>
      </c>
      <c r="N373" s="4">
        <v>27</v>
      </c>
      <c r="O373" s="3">
        <v>28.6</v>
      </c>
      <c r="P373" s="3">
        <v>32</v>
      </c>
      <c r="Q373" s="3">
        <v>41</v>
      </c>
      <c r="R373" s="3">
        <v>76.2</v>
      </c>
      <c r="S373" s="4">
        <v>41</v>
      </c>
      <c r="T373" s="4">
        <v>81</v>
      </c>
      <c r="U373" s="4">
        <v>122</v>
      </c>
      <c r="V373" s="4">
        <v>45</v>
      </c>
      <c r="W373" s="4">
        <v>27</v>
      </c>
      <c r="X373" s="4">
        <v>41</v>
      </c>
      <c r="Y373" s="4">
        <v>27</v>
      </c>
      <c r="Z373" s="4">
        <v>77</v>
      </c>
      <c r="AA373" s="3">
        <v>563</v>
      </c>
      <c r="AB373" s="3">
        <v>0</v>
      </c>
      <c r="AC373" s="3">
        <v>0</v>
      </c>
      <c r="AD373" s="2">
        <v>1</v>
      </c>
      <c r="AE373" s="2">
        <v>111.3</v>
      </c>
      <c r="AF373" s="2">
        <v>105.7</v>
      </c>
      <c r="AG373" s="2">
        <v>5.6</v>
      </c>
      <c r="AH373" s="2">
        <v>14.1</v>
      </c>
      <c r="AI373" s="2">
        <v>1.69</v>
      </c>
      <c r="AJ373" s="2">
        <v>19</v>
      </c>
      <c r="AK373" s="2">
        <v>9</v>
      </c>
      <c r="AL373" s="2">
        <v>19.7</v>
      </c>
      <c r="AM373" s="2">
        <v>14.2</v>
      </c>
      <c r="AN373" s="2">
        <v>11.3</v>
      </c>
      <c r="AO373" s="2">
        <v>53.5</v>
      </c>
      <c r="AP373" s="2">
        <v>57.3</v>
      </c>
      <c r="AQ373" s="2">
        <v>17.899999999999999</v>
      </c>
      <c r="AR373" s="2">
        <v>101.81</v>
      </c>
      <c r="AS373" s="2">
        <v>11.5</v>
      </c>
      <c r="AT373" s="2">
        <v>924</v>
      </c>
      <c r="AU373" s="53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6"/>
    </row>
    <row r="374" spans="1:69" ht="13.2">
      <c r="A374" s="1" t="s">
        <v>772</v>
      </c>
      <c r="B374" s="1" t="s">
        <v>773</v>
      </c>
      <c r="C374" s="24" t="str">
        <f>VLOOKUP(B374,Equipe!$A$1:$B$31,2,FALSE)</f>
        <v>Charlotte Hornets</v>
      </c>
      <c r="D374" s="2">
        <v>24</v>
      </c>
      <c r="E374" s="2">
        <v>13</v>
      </c>
      <c r="F374" s="2">
        <v>6</v>
      </c>
      <c r="G374" s="2">
        <v>7</v>
      </c>
      <c r="H374" s="2">
        <v>24.5</v>
      </c>
      <c r="I374" s="3">
        <v>183</v>
      </c>
      <c r="J374" s="4">
        <v>70</v>
      </c>
      <c r="K374" s="4">
        <v>161</v>
      </c>
      <c r="L374" s="3">
        <v>43.5</v>
      </c>
      <c r="M374" s="4">
        <v>23</v>
      </c>
      <c r="N374" s="4">
        <v>60</v>
      </c>
      <c r="O374" s="3">
        <v>40</v>
      </c>
      <c r="P374" s="3">
        <v>20</v>
      </c>
      <c r="Q374" s="3">
        <v>21</v>
      </c>
      <c r="R374" s="3">
        <v>90.5</v>
      </c>
      <c r="S374" s="4">
        <v>12</v>
      </c>
      <c r="T374" s="4">
        <v>26</v>
      </c>
      <c r="U374" s="4">
        <v>38</v>
      </c>
      <c r="V374" s="4">
        <v>39</v>
      </c>
      <c r="W374" s="4">
        <v>25</v>
      </c>
      <c r="X374" s="4">
        <v>7</v>
      </c>
      <c r="Y374" s="4">
        <v>4</v>
      </c>
      <c r="Z374" s="4">
        <v>23</v>
      </c>
      <c r="AA374" s="3">
        <v>295</v>
      </c>
      <c r="AB374" s="3">
        <v>0</v>
      </c>
      <c r="AC374" s="3">
        <v>0</v>
      </c>
      <c r="AD374" s="2">
        <v>-4.2</v>
      </c>
      <c r="AE374" s="2">
        <v>107</v>
      </c>
      <c r="AF374" s="2">
        <v>114.4</v>
      </c>
      <c r="AG374" s="2">
        <v>-7.3</v>
      </c>
      <c r="AH374" s="2">
        <v>21.9</v>
      </c>
      <c r="AI374" s="2">
        <v>1.56</v>
      </c>
      <c r="AJ374" s="2">
        <v>16.7</v>
      </c>
      <c r="AK374" s="2">
        <v>3.4</v>
      </c>
      <c r="AL374" s="2">
        <v>7.9</v>
      </c>
      <c r="AM374" s="2">
        <v>5.6</v>
      </c>
      <c r="AN374" s="2">
        <v>10.7</v>
      </c>
      <c r="AO374" s="2">
        <v>50.9</v>
      </c>
      <c r="AP374" s="2">
        <v>53.7</v>
      </c>
      <c r="AQ374" s="2">
        <v>25</v>
      </c>
      <c r="AR374" s="2">
        <v>99</v>
      </c>
      <c r="AS374" s="2">
        <v>9.8000000000000007</v>
      </c>
      <c r="AT374" s="2">
        <v>655</v>
      </c>
      <c r="AU374" s="53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6"/>
    </row>
    <row r="375" spans="1:69" ht="13.2">
      <c r="A375" s="1" t="s">
        <v>774</v>
      </c>
      <c r="B375" s="1" t="s">
        <v>775</v>
      </c>
      <c r="C375" s="24" t="str">
        <f>VLOOKUP(B375,Equipe!$A$1:$B$31,2,FALSE)</f>
        <v>Denver Nuggets</v>
      </c>
      <c r="D375" s="2">
        <v>24</v>
      </c>
      <c r="E375" s="2">
        <v>57</v>
      </c>
      <c r="F375" s="2">
        <v>36</v>
      </c>
      <c r="G375" s="2">
        <v>21</v>
      </c>
      <c r="H375" s="2">
        <v>10.7</v>
      </c>
      <c r="I375" s="3">
        <v>182</v>
      </c>
      <c r="J375" s="4">
        <v>68</v>
      </c>
      <c r="K375" s="4">
        <v>143</v>
      </c>
      <c r="L375" s="3">
        <v>49.6</v>
      </c>
      <c r="M375" s="4">
        <v>17</v>
      </c>
      <c r="N375" s="4">
        <v>51</v>
      </c>
      <c r="O375" s="3">
        <v>32.700000000000003</v>
      </c>
      <c r="P375" s="3">
        <v>29</v>
      </c>
      <c r="Q375" s="3">
        <v>46</v>
      </c>
      <c r="R375" s="3">
        <v>61.4</v>
      </c>
      <c r="S375" s="4">
        <v>34</v>
      </c>
      <c r="T375" s="4">
        <v>57</v>
      </c>
      <c r="U375" s="4">
        <v>91</v>
      </c>
      <c r="V375" s="4">
        <v>23</v>
      </c>
      <c r="W375" s="4">
        <v>11</v>
      </c>
      <c r="X375" s="4">
        <v>23</v>
      </c>
      <c r="Y375" s="4">
        <v>40</v>
      </c>
      <c r="Z375" s="4">
        <v>63</v>
      </c>
      <c r="AA375" s="3">
        <v>502</v>
      </c>
      <c r="AB375" s="3">
        <v>0</v>
      </c>
      <c r="AC375" s="3">
        <v>0</v>
      </c>
      <c r="AD375" s="2">
        <v>-0.4</v>
      </c>
      <c r="AE375" s="2">
        <v>107.3</v>
      </c>
      <c r="AF375" s="2">
        <v>108.9</v>
      </c>
      <c r="AG375" s="2">
        <v>-1.6</v>
      </c>
      <c r="AH375" s="2">
        <v>5.0999999999999996</v>
      </c>
      <c r="AI375" s="2">
        <v>1.64</v>
      </c>
      <c r="AJ375" s="2">
        <v>11.6</v>
      </c>
      <c r="AK375" s="2">
        <v>5.2</v>
      </c>
      <c r="AL375" s="2">
        <v>8.1</v>
      </c>
      <c r="AM375" s="2">
        <v>6.7</v>
      </c>
      <c r="AN375" s="2">
        <v>7</v>
      </c>
      <c r="AO375" s="2">
        <v>55.7</v>
      </c>
      <c r="AP375" s="2">
        <v>57.4</v>
      </c>
      <c r="AQ375" s="2">
        <v>11.9</v>
      </c>
      <c r="AR375" s="2">
        <v>102.16</v>
      </c>
      <c r="AS375" s="2">
        <v>6.3</v>
      </c>
      <c r="AT375" s="2">
        <v>1293</v>
      </c>
      <c r="AU375" s="53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6"/>
    </row>
    <row r="376" spans="1:69" ht="13.2">
      <c r="A376" s="8" t="s">
        <v>776</v>
      </c>
      <c r="B376" s="1" t="s">
        <v>777</v>
      </c>
      <c r="C376" s="24" t="str">
        <f>VLOOKUP(B376,Equipe!$A$1:$B$31,2,FALSE)</f>
        <v>Memphis Grizzlies</v>
      </c>
      <c r="D376" s="2">
        <v>24</v>
      </c>
      <c r="E376" s="2">
        <v>27</v>
      </c>
      <c r="F376" s="2">
        <v>10</v>
      </c>
      <c r="G376" s="2">
        <v>17</v>
      </c>
      <c r="H376" s="2">
        <v>18.5</v>
      </c>
      <c r="I376" s="3">
        <v>178</v>
      </c>
      <c r="J376" s="4">
        <v>68</v>
      </c>
      <c r="K376" s="4">
        <v>167</v>
      </c>
      <c r="L376" s="3">
        <v>40.1</v>
      </c>
      <c r="M376" s="4">
        <v>27</v>
      </c>
      <c r="N376" s="4">
        <v>95</v>
      </c>
      <c r="O376" s="3">
        <v>27.4</v>
      </c>
      <c r="P376" s="3">
        <v>19</v>
      </c>
      <c r="Q376" s="3">
        <v>24</v>
      </c>
      <c r="R376" s="3">
        <v>79.2</v>
      </c>
      <c r="S376" s="4">
        <v>22</v>
      </c>
      <c r="T376" s="4">
        <v>76</v>
      </c>
      <c r="U376" s="4">
        <v>97</v>
      </c>
      <c r="V376" s="4">
        <v>54</v>
      </c>
      <c r="W376" s="4">
        <v>32</v>
      </c>
      <c r="X376" s="4">
        <v>11</v>
      </c>
      <c r="Y376" s="4">
        <v>8</v>
      </c>
      <c r="Z376" s="4">
        <v>46</v>
      </c>
      <c r="AA376" s="3">
        <v>402</v>
      </c>
      <c r="AB376" s="3">
        <v>1</v>
      </c>
      <c r="AC376" s="3">
        <v>0</v>
      </c>
      <c r="AD376" s="2">
        <v>0.2</v>
      </c>
      <c r="AE376" s="2">
        <v>117.4</v>
      </c>
      <c r="AF376" s="2">
        <v>116.2</v>
      </c>
      <c r="AG376" s="2">
        <v>1.2</v>
      </c>
      <c r="AH376" s="2">
        <v>14</v>
      </c>
      <c r="AI376" s="2">
        <v>1.67</v>
      </c>
      <c r="AJ376" s="2">
        <v>20.8</v>
      </c>
      <c r="AK376" s="2">
        <v>4.2</v>
      </c>
      <c r="AL376" s="2">
        <v>15</v>
      </c>
      <c r="AM376" s="2">
        <v>9.6</v>
      </c>
      <c r="AN376" s="2">
        <v>12.5</v>
      </c>
      <c r="AO376" s="2">
        <v>47.9</v>
      </c>
      <c r="AP376" s="2">
        <v>50.4</v>
      </c>
      <c r="AQ376" s="2">
        <v>16.600000000000001</v>
      </c>
      <c r="AR376" s="2">
        <v>105.23</v>
      </c>
      <c r="AS376" s="2">
        <v>6.5</v>
      </c>
      <c r="AT376" s="2">
        <v>1090</v>
      </c>
      <c r="AU376" s="53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6"/>
    </row>
    <row r="377" spans="1:69" ht="13.2">
      <c r="A377" s="1" t="s">
        <v>778</v>
      </c>
      <c r="B377" s="1" t="s">
        <v>779</v>
      </c>
      <c r="C377" s="24" t="str">
        <f>VLOOKUP(B377,Equipe!$A$1:$B$31,2,FALSE)</f>
        <v>Orlando Magic</v>
      </c>
      <c r="D377" s="2">
        <v>33</v>
      </c>
      <c r="E377" s="2">
        <v>50</v>
      </c>
      <c r="F377" s="2">
        <v>26</v>
      </c>
      <c r="G377" s="2">
        <v>24</v>
      </c>
      <c r="H377" s="2">
        <v>12.2</v>
      </c>
      <c r="I377" s="3">
        <v>175</v>
      </c>
      <c r="J377" s="4">
        <v>60</v>
      </c>
      <c r="K377" s="4">
        <v>155</v>
      </c>
      <c r="L377" s="3">
        <v>40.299999999999997</v>
      </c>
      <c r="M377" s="4">
        <v>40</v>
      </c>
      <c r="N377" s="4">
        <v>105</v>
      </c>
      <c r="O377" s="3">
        <v>36.4</v>
      </c>
      <c r="P377" s="3">
        <v>15</v>
      </c>
      <c r="Q377" s="3">
        <v>20</v>
      </c>
      <c r="R377" s="3">
        <v>77.8</v>
      </c>
      <c r="S377" s="4">
        <v>15</v>
      </c>
      <c r="T377" s="4">
        <v>55</v>
      </c>
      <c r="U377" s="4">
        <v>75</v>
      </c>
      <c r="V377" s="4">
        <v>70</v>
      </c>
      <c r="W377" s="4">
        <v>20</v>
      </c>
      <c r="X377" s="4">
        <v>25</v>
      </c>
      <c r="Y377" s="4">
        <v>5</v>
      </c>
      <c r="Z377" s="4">
        <v>50</v>
      </c>
      <c r="AA377" s="3">
        <v>445</v>
      </c>
      <c r="AB377" s="3">
        <v>0</v>
      </c>
      <c r="AC377" s="3">
        <v>0</v>
      </c>
      <c r="AD377" s="2">
        <v>0.7</v>
      </c>
      <c r="AE377" s="2">
        <v>110.5</v>
      </c>
      <c r="AF377" s="2">
        <v>106.9</v>
      </c>
      <c r="AG377" s="2">
        <v>3.6</v>
      </c>
      <c r="AH377" s="2">
        <v>16.600000000000001</v>
      </c>
      <c r="AI377" s="2">
        <v>4</v>
      </c>
      <c r="AJ377" s="2">
        <v>28.7</v>
      </c>
      <c r="AK377" s="2">
        <v>2.7</v>
      </c>
      <c r="AL377" s="2">
        <v>9.5</v>
      </c>
      <c r="AM377" s="2">
        <v>6</v>
      </c>
      <c r="AN377" s="2">
        <v>7.2</v>
      </c>
      <c r="AO377" s="2">
        <v>52.9</v>
      </c>
      <c r="AP377" s="2">
        <v>54.7</v>
      </c>
      <c r="AQ377" s="2">
        <v>12.6</v>
      </c>
      <c r="AR377" s="2">
        <v>98.59</v>
      </c>
      <c r="AS377" s="2">
        <v>7.5</v>
      </c>
      <c r="AT377" s="2">
        <v>1252</v>
      </c>
      <c r="AU377" s="53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6"/>
    </row>
    <row r="378" spans="1:69" ht="13.2">
      <c r="A378" s="1" t="s">
        <v>780</v>
      </c>
      <c r="B378" s="1" t="s">
        <v>781</v>
      </c>
      <c r="C378" s="24" t="str">
        <f>VLOOKUP(B378,Equipe!$A$1:$B$31,2,FALSE)</f>
        <v>Dallas Mavericks</v>
      </c>
      <c r="D378" s="2">
        <v>29</v>
      </c>
      <c r="E378" s="2">
        <v>20</v>
      </c>
      <c r="F378" s="2">
        <v>7</v>
      </c>
      <c r="G378" s="2">
        <v>13</v>
      </c>
      <c r="H378" s="2">
        <v>18.600000000000001</v>
      </c>
      <c r="I378" s="3">
        <v>174</v>
      </c>
      <c r="J378" s="4">
        <v>64</v>
      </c>
      <c r="K378" s="4">
        <v>134</v>
      </c>
      <c r="L378" s="3">
        <v>47.8</v>
      </c>
      <c r="M378" s="4">
        <v>24</v>
      </c>
      <c r="N378" s="4">
        <v>54</v>
      </c>
      <c r="O378" s="3">
        <v>43.4</v>
      </c>
      <c r="P378" s="3">
        <v>24</v>
      </c>
      <c r="Q378" s="3">
        <v>32</v>
      </c>
      <c r="R378" s="3">
        <v>74.2</v>
      </c>
      <c r="S378" s="4">
        <v>4</v>
      </c>
      <c r="T378" s="4">
        <v>30</v>
      </c>
      <c r="U378" s="4">
        <v>34</v>
      </c>
      <c r="V378" s="4">
        <v>56</v>
      </c>
      <c r="W378" s="4">
        <v>22</v>
      </c>
      <c r="X378" s="4">
        <v>12</v>
      </c>
      <c r="Y378" s="4">
        <v>4</v>
      </c>
      <c r="Z378" s="4">
        <v>34</v>
      </c>
      <c r="AA378" s="3">
        <v>320</v>
      </c>
      <c r="AB378" s="3">
        <v>0</v>
      </c>
      <c r="AC378" s="3">
        <v>0</v>
      </c>
      <c r="AD378" s="2">
        <v>-2.4</v>
      </c>
      <c r="AE378" s="2">
        <v>109.3</v>
      </c>
      <c r="AF378" s="2">
        <v>115.2</v>
      </c>
      <c r="AG378" s="2">
        <v>-6</v>
      </c>
      <c r="AH378" s="2">
        <v>22</v>
      </c>
      <c r="AI378" s="2">
        <v>2.5499999999999998</v>
      </c>
      <c r="AJ378" s="2">
        <v>24.8</v>
      </c>
      <c r="AK378" s="2">
        <v>1</v>
      </c>
      <c r="AL378" s="2">
        <v>7.4</v>
      </c>
      <c r="AM378" s="2">
        <v>4.2</v>
      </c>
      <c r="AN378" s="2">
        <v>9.6999999999999993</v>
      </c>
      <c r="AO378" s="2">
        <v>56.3</v>
      </c>
      <c r="AP378" s="2">
        <v>58.9</v>
      </c>
      <c r="AQ378" s="2">
        <v>19.3</v>
      </c>
      <c r="AR378" s="2">
        <v>101.4</v>
      </c>
      <c r="AS378" s="2">
        <v>8.3000000000000007</v>
      </c>
      <c r="AT378" s="2">
        <v>786</v>
      </c>
      <c r="AU378" s="53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6"/>
    </row>
    <row r="379" spans="1:69" ht="13.2">
      <c r="A379" s="1" t="s">
        <v>782</v>
      </c>
      <c r="B379" s="1" t="s">
        <v>783</v>
      </c>
      <c r="C379" s="24" t="str">
        <f>VLOOKUP(B379,Equipe!$A$1:$B$31,2,FALSE)</f>
        <v>Houston Rockets</v>
      </c>
      <c r="D379" s="2">
        <v>38</v>
      </c>
      <c r="E379" s="2">
        <v>32</v>
      </c>
      <c r="F379" s="2">
        <v>20</v>
      </c>
      <c r="G379" s="2">
        <v>12</v>
      </c>
      <c r="H379" s="2">
        <v>12.4</v>
      </c>
      <c r="I379" s="3">
        <v>173</v>
      </c>
      <c r="J379" s="4">
        <v>61</v>
      </c>
      <c r="K379" s="4">
        <v>122</v>
      </c>
      <c r="L379" s="3">
        <v>50.4</v>
      </c>
      <c r="M379" s="4">
        <v>29</v>
      </c>
      <c r="N379" s="4">
        <v>80</v>
      </c>
      <c r="O379" s="3">
        <v>36.700000000000003</v>
      </c>
      <c r="P379" s="3">
        <v>22</v>
      </c>
      <c r="Q379" s="3">
        <v>26</v>
      </c>
      <c r="R379" s="3">
        <v>80.8</v>
      </c>
      <c r="S379" s="4">
        <v>10</v>
      </c>
      <c r="T379" s="4">
        <v>48</v>
      </c>
      <c r="U379" s="4">
        <v>58</v>
      </c>
      <c r="V379" s="4">
        <v>19</v>
      </c>
      <c r="W379" s="4">
        <v>10</v>
      </c>
      <c r="X379" s="4">
        <v>6</v>
      </c>
      <c r="Y379" s="4">
        <v>3</v>
      </c>
      <c r="Z379" s="4">
        <v>32</v>
      </c>
      <c r="AA379" s="3">
        <v>291</v>
      </c>
      <c r="AB379" s="3">
        <v>0</v>
      </c>
      <c r="AC379" s="3">
        <v>0</v>
      </c>
      <c r="AD379" s="2">
        <v>-1.2</v>
      </c>
      <c r="AE379" s="2">
        <v>112.2</v>
      </c>
      <c r="AF379" s="2">
        <v>116.1</v>
      </c>
      <c r="AG379" s="2">
        <v>-3.9</v>
      </c>
      <c r="AH379" s="2">
        <v>6.8</v>
      </c>
      <c r="AI379" s="2">
        <v>2.2200000000000002</v>
      </c>
      <c r="AJ379" s="2">
        <v>12.4</v>
      </c>
      <c r="AK379" s="2">
        <v>2.4</v>
      </c>
      <c r="AL379" s="2">
        <v>10.8</v>
      </c>
      <c r="AM379" s="2">
        <v>6.5</v>
      </c>
      <c r="AN379" s="2">
        <v>5.6</v>
      </c>
      <c r="AO379" s="2">
        <v>62.4</v>
      </c>
      <c r="AP379" s="2">
        <v>64.900000000000006</v>
      </c>
      <c r="AQ379" s="2">
        <v>14.4</v>
      </c>
      <c r="AR379" s="2">
        <v>100.43</v>
      </c>
      <c r="AS379" s="2">
        <v>8.5</v>
      </c>
      <c r="AT379" s="2">
        <v>827</v>
      </c>
      <c r="AU379" s="53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6"/>
    </row>
    <row r="380" spans="1:69" ht="13.2">
      <c r="A380" s="1" t="s">
        <v>784</v>
      </c>
      <c r="B380" s="1" t="s">
        <v>785</v>
      </c>
      <c r="C380" s="24" t="str">
        <f>VLOOKUP(B380,Equipe!$A$1:$B$31,2,FALSE)</f>
        <v>Cleveland Cavaliers</v>
      </c>
      <c r="D380" s="2">
        <v>22</v>
      </c>
      <c r="E380" s="2">
        <v>47</v>
      </c>
      <c r="F380" s="2">
        <v>37</v>
      </c>
      <c r="G380" s="2">
        <v>10</v>
      </c>
      <c r="H380" s="2">
        <v>9.6</v>
      </c>
      <c r="I380" s="3">
        <v>169</v>
      </c>
      <c r="J380" s="4">
        <v>66</v>
      </c>
      <c r="K380" s="4">
        <v>150</v>
      </c>
      <c r="L380" s="3">
        <v>43</v>
      </c>
      <c r="M380" s="4">
        <v>19</v>
      </c>
      <c r="N380" s="4">
        <v>56</v>
      </c>
      <c r="O380" s="3">
        <v>34.5</v>
      </c>
      <c r="P380" s="3">
        <v>19</v>
      </c>
      <c r="Q380" s="3">
        <v>24</v>
      </c>
      <c r="R380" s="3">
        <v>79.2</v>
      </c>
      <c r="S380" s="4">
        <v>38</v>
      </c>
      <c r="T380" s="4">
        <v>61</v>
      </c>
      <c r="U380" s="4">
        <v>94</v>
      </c>
      <c r="V380" s="4">
        <v>42</v>
      </c>
      <c r="W380" s="4">
        <v>28</v>
      </c>
      <c r="X380" s="4">
        <v>14</v>
      </c>
      <c r="Y380" s="4">
        <v>5</v>
      </c>
      <c r="Z380" s="4">
        <v>52</v>
      </c>
      <c r="AA380" s="3">
        <v>371</v>
      </c>
      <c r="AB380" s="3">
        <v>1</v>
      </c>
      <c r="AC380" s="3">
        <v>0</v>
      </c>
      <c r="AD380" s="2">
        <v>0</v>
      </c>
      <c r="AE380" s="2">
        <v>108.4</v>
      </c>
      <c r="AF380" s="2">
        <v>108.8</v>
      </c>
      <c r="AG380" s="2">
        <v>-0.4</v>
      </c>
      <c r="AH380" s="2">
        <v>13.5</v>
      </c>
      <c r="AI380" s="2">
        <v>1.69</v>
      </c>
      <c r="AJ380" s="2">
        <v>19.100000000000001</v>
      </c>
      <c r="AK380" s="2">
        <v>7.6</v>
      </c>
      <c r="AL380" s="2">
        <v>11.7</v>
      </c>
      <c r="AM380" s="2">
        <v>9.6999999999999993</v>
      </c>
      <c r="AN380" s="2">
        <v>11.3</v>
      </c>
      <c r="AO380" s="2">
        <v>49.7</v>
      </c>
      <c r="AP380" s="2">
        <v>52.3</v>
      </c>
      <c r="AQ380" s="2">
        <v>16.399999999999999</v>
      </c>
      <c r="AR380" s="2">
        <v>101.31</v>
      </c>
      <c r="AS380" s="2">
        <v>7.5</v>
      </c>
      <c r="AT380" s="2">
        <v>957</v>
      </c>
      <c r="AU380" s="53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6"/>
    </row>
    <row r="381" spans="1:69" ht="13.2">
      <c r="A381" s="1" t="s">
        <v>786</v>
      </c>
      <c r="B381" s="1" t="s">
        <v>787</v>
      </c>
      <c r="C381" s="24" t="str">
        <f>VLOOKUP(B381,Equipe!$A$1:$B$31,2,FALSE)</f>
        <v>Dallas Mavericks</v>
      </c>
      <c r="D381" s="2">
        <v>24</v>
      </c>
      <c r="E381" s="2">
        <v>40</v>
      </c>
      <c r="F381" s="2">
        <v>17</v>
      </c>
      <c r="G381" s="2">
        <v>23</v>
      </c>
      <c r="H381" s="2">
        <v>15.2</v>
      </c>
      <c r="I381" s="3">
        <v>168</v>
      </c>
      <c r="J381" s="4">
        <v>68</v>
      </c>
      <c r="K381" s="4">
        <v>136</v>
      </c>
      <c r="L381" s="3">
        <v>49.6</v>
      </c>
      <c r="M381" s="4">
        <v>24</v>
      </c>
      <c r="N381" s="4">
        <v>56</v>
      </c>
      <c r="O381" s="3">
        <v>40.700000000000003</v>
      </c>
      <c r="P381" s="3">
        <v>12</v>
      </c>
      <c r="Q381" s="3">
        <v>12</v>
      </c>
      <c r="R381" s="3">
        <v>92.3</v>
      </c>
      <c r="S381" s="4">
        <v>24</v>
      </c>
      <c r="T381" s="4">
        <v>92</v>
      </c>
      <c r="U381" s="4">
        <v>116</v>
      </c>
      <c r="V381" s="4">
        <v>44</v>
      </c>
      <c r="W381" s="4">
        <v>16</v>
      </c>
      <c r="X381" s="4">
        <v>20</v>
      </c>
      <c r="Y381" s="4">
        <v>20</v>
      </c>
      <c r="Z381" s="4">
        <v>64</v>
      </c>
      <c r="AA381" s="3">
        <v>472</v>
      </c>
      <c r="AB381" s="3">
        <v>1</v>
      </c>
      <c r="AC381" s="3">
        <v>0</v>
      </c>
      <c r="AD381" s="2">
        <v>-4</v>
      </c>
      <c r="AE381" s="2">
        <v>110</v>
      </c>
      <c r="AF381" s="2">
        <v>122.3</v>
      </c>
      <c r="AG381" s="2">
        <v>-12.3</v>
      </c>
      <c r="AH381" s="2">
        <v>9</v>
      </c>
      <c r="AI381" s="2">
        <v>2.63</v>
      </c>
      <c r="AJ381" s="2">
        <v>21.1</v>
      </c>
      <c r="AK381" s="2">
        <v>3.7</v>
      </c>
      <c r="AL381" s="2">
        <v>15.4</v>
      </c>
      <c r="AM381" s="2">
        <v>9.6</v>
      </c>
      <c r="AN381" s="2">
        <v>8</v>
      </c>
      <c r="AO381" s="2">
        <v>57.8</v>
      </c>
      <c r="AP381" s="2">
        <v>59.7</v>
      </c>
      <c r="AQ381" s="2">
        <v>11</v>
      </c>
      <c r="AR381" s="2">
        <v>102.71</v>
      </c>
      <c r="AS381" s="2">
        <v>6.7</v>
      </c>
      <c r="AT381" s="2">
        <v>1303</v>
      </c>
      <c r="AU381" s="53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6"/>
    </row>
    <row r="382" spans="1:69" ht="13.2">
      <c r="A382" s="1" t="s">
        <v>788</v>
      </c>
      <c r="B382" s="1" t="s">
        <v>789</v>
      </c>
      <c r="C382" s="24" t="str">
        <f>VLOOKUP(B382,Equipe!$A$1:$B$31,2,FALSE)</f>
        <v>Atlanta Hawks</v>
      </c>
      <c r="D382" s="2">
        <v>26</v>
      </c>
      <c r="E382" s="2">
        <v>31</v>
      </c>
      <c r="F382" s="2">
        <v>15</v>
      </c>
      <c r="G382" s="2">
        <v>16</v>
      </c>
      <c r="H382" s="2">
        <v>16.2</v>
      </c>
      <c r="I382" s="3">
        <v>167</v>
      </c>
      <c r="J382" s="4">
        <v>65</v>
      </c>
      <c r="K382" s="4">
        <v>161</v>
      </c>
      <c r="L382" s="3">
        <v>40.1</v>
      </c>
      <c r="M382" s="4">
        <v>28</v>
      </c>
      <c r="N382" s="4">
        <v>81</v>
      </c>
      <c r="O382" s="3">
        <v>32.9</v>
      </c>
      <c r="P382" s="3">
        <v>12</v>
      </c>
      <c r="Q382" s="3">
        <v>12</v>
      </c>
      <c r="R382" s="3">
        <v>100</v>
      </c>
      <c r="S382" s="4">
        <v>6</v>
      </c>
      <c r="T382" s="4">
        <v>43</v>
      </c>
      <c r="U382" s="4">
        <v>50</v>
      </c>
      <c r="V382" s="4">
        <v>81</v>
      </c>
      <c r="W382" s="4">
        <v>34</v>
      </c>
      <c r="X382" s="4">
        <v>28</v>
      </c>
      <c r="Y382" s="4">
        <v>9</v>
      </c>
      <c r="Z382" s="4">
        <v>40</v>
      </c>
      <c r="AA382" s="3">
        <v>428</v>
      </c>
      <c r="AB382" s="3">
        <v>1</v>
      </c>
      <c r="AC382" s="3">
        <v>1</v>
      </c>
      <c r="AD382" s="2">
        <v>-0.6</v>
      </c>
      <c r="AE382" s="2">
        <v>106.2</v>
      </c>
      <c r="AF382" s="2">
        <v>108.4</v>
      </c>
      <c r="AG382" s="2">
        <v>-2.2000000000000002</v>
      </c>
      <c r="AH382" s="2">
        <v>22.4</v>
      </c>
      <c r="AI382" s="2">
        <v>2.4500000000000002</v>
      </c>
      <c r="AJ382" s="2">
        <v>28.8</v>
      </c>
      <c r="AK382" s="2">
        <v>1.3</v>
      </c>
      <c r="AL382" s="2">
        <v>8</v>
      </c>
      <c r="AM382" s="2">
        <v>4.7</v>
      </c>
      <c r="AN382" s="2">
        <v>11.7</v>
      </c>
      <c r="AO382" s="2">
        <v>48.5</v>
      </c>
      <c r="AP382" s="2">
        <v>50.3</v>
      </c>
      <c r="AQ382" s="2">
        <v>16.399999999999999</v>
      </c>
      <c r="AR382" s="2">
        <v>102.77</v>
      </c>
      <c r="AS382" s="2">
        <v>7.4</v>
      </c>
      <c r="AT382" s="2">
        <v>1075</v>
      </c>
      <c r="AU382" s="53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6"/>
    </row>
    <row r="383" spans="1:69" ht="13.2">
      <c r="A383" s="1" t="s">
        <v>790</v>
      </c>
      <c r="B383" s="1" t="s">
        <v>791</v>
      </c>
      <c r="C383" s="24" t="str">
        <f>VLOOKUP(B383,Equipe!$A$1:$B$31,2,FALSE)</f>
        <v>Charlotte Hornets</v>
      </c>
      <c r="D383" s="2">
        <v>26</v>
      </c>
      <c r="E383" s="2">
        <v>16</v>
      </c>
      <c r="F383" s="2">
        <v>6</v>
      </c>
      <c r="G383" s="2">
        <v>10</v>
      </c>
      <c r="H383" s="2">
        <v>29.9</v>
      </c>
      <c r="I383" s="3">
        <v>166</v>
      </c>
      <c r="J383" s="4">
        <v>54</v>
      </c>
      <c r="K383" s="4">
        <v>123</v>
      </c>
      <c r="L383" s="3">
        <v>43.9</v>
      </c>
      <c r="M383" s="4">
        <v>27</v>
      </c>
      <c r="N383" s="4">
        <v>74</v>
      </c>
      <c r="O383" s="3">
        <v>36.5</v>
      </c>
      <c r="P383" s="3">
        <v>30</v>
      </c>
      <c r="Q383" s="3">
        <v>37</v>
      </c>
      <c r="R383" s="3">
        <v>83.8</v>
      </c>
      <c r="S383" s="4">
        <v>18</v>
      </c>
      <c r="T383" s="4">
        <v>64</v>
      </c>
      <c r="U383" s="4">
        <v>82</v>
      </c>
      <c r="V383" s="4">
        <v>37</v>
      </c>
      <c r="W383" s="4">
        <v>29</v>
      </c>
      <c r="X383" s="4">
        <v>18</v>
      </c>
      <c r="Y383" s="4">
        <v>13</v>
      </c>
      <c r="Z383" s="4">
        <v>46</v>
      </c>
      <c r="AA383" s="3">
        <v>386</v>
      </c>
      <c r="AB383" s="3">
        <v>0</v>
      </c>
      <c r="AC383" s="3">
        <v>0</v>
      </c>
      <c r="AD383" s="2">
        <v>0.6</v>
      </c>
      <c r="AE383" s="2">
        <v>114.9</v>
      </c>
      <c r="AF383" s="2">
        <v>113.3</v>
      </c>
      <c r="AG383" s="2">
        <v>1.6</v>
      </c>
      <c r="AH383" s="2">
        <v>10.7</v>
      </c>
      <c r="AI383" s="2">
        <v>1.32</v>
      </c>
      <c r="AJ383" s="2">
        <v>18</v>
      </c>
      <c r="AK383" s="2">
        <v>3.5</v>
      </c>
      <c r="AL383" s="2">
        <v>13.4</v>
      </c>
      <c r="AM383" s="2">
        <v>8.3000000000000007</v>
      </c>
      <c r="AN383" s="2">
        <v>13.6</v>
      </c>
      <c r="AO383" s="2">
        <v>54.9</v>
      </c>
      <c r="AP383" s="2">
        <v>59.6</v>
      </c>
      <c r="AQ383" s="2">
        <v>14.6</v>
      </c>
      <c r="AR383" s="2">
        <v>99.95</v>
      </c>
      <c r="AS383" s="2">
        <v>7.6</v>
      </c>
      <c r="AT383" s="2">
        <v>995</v>
      </c>
      <c r="AU383" s="53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6"/>
    </row>
    <row r="384" spans="1:69" ht="13.2">
      <c r="A384" s="1" t="s">
        <v>792</v>
      </c>
      <c r="B384" s="1" t="s">
        <v>793</v>
      </c>
      <c r="C384" s="24" t="str">
        <f>VLOOKUP(B384,Equipe!$A$1:$B$31,2,FALSE)</f>
        <v>Minnesota Timberwolves</v>
      </c>
      <c r="D384" s="2">
        <v>23</v>
      </c>
      <c r="E384" s="2">
        <v>40</v>
      </c>
      <c r="F384" s="2">
        <v>28</v>
      </c>
      <c r="G384" s="2">
        <v>12</v>
      </c>
      <c r="H384" s="2">
        <v>13</v>
      </c>
      <c r="I384" s="3">
        <v>164</v>
      </c>
      <c r="J384" s="4">
        <v>56</v>
      </c>
      <c r="K384" s="4">
        <v>120</v>
      </c>
      <c r="L384" s="3">
        <v>46.7</v>
      </c>
      <c r="M384" s="4">
        <v>24</v>
      </c>
      <c r="N384" s="4">
        <v>52</v>
      </c>
      <c r="O384" s="3">
        <v>43.1</v>
      </c>
      <c r="P384" s="3">
        <v>28</v>
      </c>
      <c r="Q384" s="3">
        <v>36</v>
      </c>
      <c r="R384" s="3">
        <v>78.400000000000006</v>
      </c>
      <c r="S384" s="4">
        <v>28</v>
      </c>
      <c r="T384" s="4">
        <v>28</v>
      </c>
      <c r="U384" s="4">
        <v>52</v>
      </c>
      <c r="V384" s="4">
        <v>28</v>
      </c>
      <c r="W384" s="4">
        <v>8</v>
      </c>
      <c r="X384" s="4">
        <v>36</v>
      </c>
      <c r="Y384" s="4">
        <v>4</v>
      </c>
      <c r="Z384" s="4">
        <v>60</v>
      </c>
      <c r="AA384" s="3">
        <v>372</v>
      </c>
      <c r="AB384" s="3">
        <v>0</v>
      </c>
      <c r="AC384" s="3">
        <v>0</v>
      </c>
      <c r="AD384" s="2">
        <v>1.1000000000000001</v>
      </c>
      <c r="AE384" s="2">
        <v>115.2</v>
      </c>
      <c r="AF384" s="2">
        <v>109.6</v>
      </c>
      <c r="AG384" s="2">
        <v>5.6</v>
      </c>
      <c r="AH384" s="2">
        <v>6.7</v>
      </c>
      <c r="AI384" s="2">
        <v>3.25</v>
      </c>
      <c r="AJ384" s="2">
        <v>15.1</v>
      </c>
      <c r="AK384" s="2">
        <v>4.7</v>
      </c>
      <c r="AL384" s="2">
        <v>5.3</v>
      </c>
      <c r="AM384" s="2">
        <v>5</v>
      </c>
      <c r="AN384" s="2">
        <v>4.7</v>
      </c>
      <c r="AO384" s="2">
        <v>55.8</v>
      </c>
      <c r="AP384" s="2">
        <v>59.8</v>
      </c>
      <c r="AQ384" s="2">
        <v>11.5</v>
      </c>
      <c r="AR384" s="2">
        <v>101.98</v>
      </c>
      <c r="AS384" s="2">
        <v>5.7</v>
      </c>
      <c r="AT384" s="2">
        <v>1101</v>
      </c>
      <c r="AU384" s="53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6"/>
    </row>
    <row r="385" spans="1:69" ht="13.2">
      <c r="A385" s="1" t="s">
        <v>794</v>
      </c>
      <c r="B385" s="1" t="s">
        <v>795</v>
      </c>
      <c r="C385" s="24" t="str">
        <f>VLOOKUP(B385,Equipe!$A$1:$B$31,2,FALSE)</f>
        <v>New Orleans Pelicans</v>
      </c>
      <c r="D385" s="2">
        <v>33</v>
      </c>
      <c r="E385" s="2">
        <v>38</v>
      </c>
      <c r="F385" s="2">
        <v>10</v>
      </c>
      <c r="G385" s="2">
        <v>28</v>
      </c>
      <c r="H385" s="2">
        <v>16.3</v>
      </c>
      <c r="I385" s="3">
        <v>163</v>
      </c>
      <c r="J385" s="4">
        <v>61</v>
      </c>
      <c r="K385" s="4">
        <v>129</v>
      </c>
      <c r="L385" s="3">
        <v>47.3</v>
      </c>
      <c r="M385" s="4">
        <v>8</v>
      </c>
      <c r="N385" s="4">
        <v>38</v>
      </c>
      <c r="O385" s="3">
        <v>24.3</v>
      </c>
      <c r="P385" s="3">
        <v>30</v>
      </c>
      <c r="Q385" s="3">
        <v>38</v>
      </c>
      <c r="R385" s="3">
        <v>83.8</v>
      </c>
      <c r="S385" s="4">
        <v>46</v>
      </c>
      <c r="T385" s="4">
        <v>122</v>
      </c>
      <c r="U385" s="4">
        <v>163</v>
      </c>
      <c r="V385" s="4">
        <v>61</v>
      </c>
      <c r="W385" s="4">
        <v>27</v>
      </c>
      <c r="X385" s="4">
        <v>19</v>
      </c>
      <c r="Y385" s="4">
        <v>19</v>
      </c>
      <c r="Z385" s="4">
        <v>68</v>
      </c>
      <c r="AA385" s="3">
        <v>540</v>
      </c>
      <c r="AB385" s="3">
        <v>1</v>
      </c>
      <c r="AC385" s="3">
        <v>0</v>
      </c>
      <c r="AD385" s="2">
        <v>-1.6</v>
      </c>
      <c r="AE385" s="2">
        <v>109.3</v>
      </c>
      <c r="AF385" s="2">
        <v>115.2</v>
      </c>
      <c r="AG385" s="2">
        <v>-5.9</v>
      </c>
      <c r="AH385" s="2">
        <v>13.1</v>
      </c>
      <c r="AI385" s="2">
        <v>2.4</v>
      </c>
      <c r="AJ385" s="2">
        <v>26</v>
      </c>
      <c r="AK385" s="2">
        <v>6.2</v>
      </c>
      <c r="AL385" s="2">
        <v>19.2</v>
      </c>
      <c r="AM385" s="2">
        <v>12.2</v>
      </c>
      <c r="AN385" s="2">
        <v>10.8</v>
      </c>
      <c r="AO385" s="2">
        <v>50.8</v>
      </c>
      <c r="AP385" s="2">
        <v>55.8</v>
      </c>
      <c r="AQ385" s="2">
        <v>11.1</v>
      </c>
      <c r="AR385" s="2">
        <v>102.26</v>
      </c>
      <c r="AS385" s="2">
        <v>8.1</v>
      </c>
      <c r="AT385" s="2">
        <v>1331</v>
      </c>
      <c r="AU385" s="53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6"/>
    </row>
    <row r="386" spans="1:69" ht="13.2">
      <c r="A386" s="1" t="s">
        <v>796</v>
      </c>
      <c r="B386" s="1" t="s">
        <v>797</v>
      </c>
      <c r="C386" s="24" t="str">
        <f>VLOOKUP(B386,Equipe!$A$1:$B$31,2,FALSE)</f>
        <v>Utah Jazz</v>
      </c>
      <c r="D386" s="2">
        <v>27</v>
      </c>
      <c r="E386" s="2">
        <v>38</v>
      </c>
      <c r="F386" s="2">
        <v>10</v>
      </c>
      <c r="G386" s="2">
        <v>28</v>
      </c>
      <c r="H386" s="2">
        <v>18.600000000000001</v>
      </c>
      <c r="I386" s="3">
        <v>163</v>
      </c>
      <c r="J386" s="4">
        <v>57</v>
      </c>
      <c r="K386" s="4">
        <v>137</v>
      </c>
      <c r="L386" s="3">
        <v>42.2</v>
      </c>
      <c r="M386" s="4">
        <v>30</v>
      </c>
      <c r="N386" s="4">
        <v>99</v>
      </c>
      <c r="O386" s="3">
        <v>31.6</v>
      </c>
      <c r="P386" s="3">
        <v>15</v>
      </c>
      <c r="Q386" s="3">
        <v>19</v>
      </c>
      <c r="R386" s="3">
        <v>85</v>
      </c>
      <c r="S386" s="4">
        <v>42</v>
      </c>
      <c r="T386" s="4">
        <v>122</v>
      </c>
      <c r="U386" s="4">
        <v>163</v>
      </c>
      <c r="V386" s="4">
        <v>30</v>
      </c>
      <c r="W386" s="4">
        <v>30</v>
      </c>
      <c r="X386" s="4">
        <v>15</v>
      </c>
      <c r="Y386" s="4">
        <v>15</v>
      </c>
      <c r="Z386" s="4">
        <v>49</v>
      </c>
      <c r="AA386" s="3">
        <v>460</v>
      </c>
      <c r="AB386" s="3">
        <v>0</v>
      </c>
      <c r="AC386" s="3">
        <v>0</v>
      </c>
      <c r="AD386" s="2">
        <v>-2.7</v>
      </c>
      <c r="AE386" s="2">
        <v>108.6</v>
      </c>
      <c r="AF386" s="2">
        <v>116.2</v>
      </c>
      <c r="AG386" s="2">
        <v>-7.6</v>
      </c>
      <c r="AH386" s="2">
        <v>5.8</v>
      </c>
      <c r="AI386" s="2">
        <v>1</v>
      </c>
      <c r="AJ386" s="2">
        <v>15</v>
      </c>
      <c r="AK386" s="2">
        <v>5.8</v>
      </c>
      <c r="AL386" s="2">
        <v>15.3</v>
      </c>
      <c r="AM386" s="2">
        <v>10.7</v>
      </c>
      <c r="AN386" s="2">
        <v>15</v>
      </c>
      <c r="AO386" s="2">
        <v>53.7</v>
      </c>
      <c r="AP386" s="2">
        <v>56.3</v>
      </c>
      <c r="AQ386" s="2">
        <v>10.199999999999999</v>
      </c>
      <c r="AR386" s="2">
        <v>101.29</v>
      </c>
      <c r="AS386" s="2">
        <v>6.3</v>
      </c>
      <c r="AT386" s="2">
        <v>1492</v>
      </c>
      <c r="AU386" s="53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6"/>
    </row>
    <row r="387" spans="1:69" ht="13.2">
      <c r="A387" s="1" t="s">
        <v>798</v>
      </c>
      <c r="B387" s="1" t="s">
        <v>799</v>
      </c>
      <c r="C387" s="24" t="str">
        <f>VLOOKUP(B387,Equipe!$A$1:$B$31,2,FALSE)</f>
        <v>Indiana Pacers</v>
      </c>
      <c r="D387" s="2">
        <v>26</v>
      </c>
      <c r="E387" s="2">
        <v>28</v>
      </c>
      <c r="F387" s="2">
        <v>14</v>
      </c>
      <c r="G387" s="2">
        <v>14</v>
      </c>
      <c r="H387" s="2">
        <v>13.6</v>
      </c>
      <c r="I387" s="3">
        <v>162</v>
      </c>
      <c r="J387" s="4">
        <v>59</v>
      </c>
      <c r="K387" s="4">
        <v>123</v>
      </c>
      <c r="L387" s="3">
        <v>47.5</v>
      </c>
      <c r="M387" s="4">
        <v>14</v>
      </c>
      <c r="N387" s="4">
        <v>39</v>
      </c>
      <c r="O387" s="3">
        <v>37.5</v>
      </c>
      <c r="P387" s="3">
        <v>31</v>
      </c>
      <c r="Q387" s="3">
        <v>39</v>
      </c>
      <c r="R387" s="3">
        <v>77.5</v>
      </c>
      <c r="S387" s="4">
        <v>14</v>
      </c>
      <c r="T387" s="4">
        <v>31</v>
      </c>
      <c r="U387" s="4">
        <v>45</v>
      </c>
      <c r="V387" s="4">
        <v>53</v>
      </c>
      <c r="W387" s="4">
        <v>17</v>
      </c>
      <c r="X387" s="4">
        <v>22</v>
      </c>
      <c r="Y387" s="4">
        <v>6</v>
      </c>
      <c r="Z387" s="4">
        <v>42</v>
      </c>
      <c r="AA387" s="3">
        <v>356</v>
      </c>
      <c r="AB387" s="3">
        <v>0</v>
      </c>
      <c r="AC387" s="3">
        <v>0</v>
      </c>
      <c r="AD387" s="2">
        <v>0</v>
      </c>
      <c r="AE387" s="2">
        <v>110.9</v>
      </c>
      <c r="AF387" s="2">
        <v>110.1</v>
      </c>
      <c r="AG387" s="2">
        <v>0.8</v>
      </c>
      <c r="AH387" s="2">
        <v>19.3</v>
      </c>
      <c r="AI387" s="2">
        <v>3.31</v>
      </c>
      <c r="AJ387" s="2">
        <v>25.4</v>
      </c>
      <c r="AK387" s="2">
        <v>3.5</v>
      </c>
      <c r="AL387" s="2">
        <v>7.9</v>
      </c>
      <c r="AM387" s="2">
        <v>5.7</v>
      </c>
      <c r="AN387" s="2">
        <v>7.7</v>
      </c>
      <c r="AO387" s="2">
        <v>53.7</v>
      </c>
      <c r="AP387" s="2">
        <v>58</v>
      </c>
      <c r="AQ387" s="2">
        <v>16.7</v>
      </c>
      <c r="AR387" s="2">
        <v>104.12</v>
      </c>
      <c r="AS387" s="2">
        <v>8.9</v>
      </c>
      <c r="AT387" s="2">
        <v>823</v>
      </c>
      <c r="AU387" s="53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6"/>
    </row>
    <row r="388" spans="1:69" ht="13.2">
      <c r="A388" s="1" t="s">
        <v>800</v>
      </c>
      <c r="B388" s="1" t="s">
        <v>801</v>
      </c>
      <c r="C388" s="24" t="str">
        <f>VLOOKUP(B388,Equipe!$A$1:$B$31,2,FALSE)</f>
        <v>Los Angeles Lakers</v>
      </c>
      <c r="D388" s="2">
        <v>26</v>
      </c>
      <c r="E388" s="2">
        <v>29</v>
      </c>
      <c r="F388" s="2">
        <v>17</v>
      </c>
      <c r="G388" s="2">
        <v>12</v>
      </c>
      <c r="H388" s="2">
        <v>18.7</v>
      </c>
      <c r="I388" s="3">
        <v>162</v>
      </c>
      <c r="J388" s="4">
        <v>64</v>
      </c>
      <c r="K388" s="4">
        <v>145</v>
      </c>
      <c r="L388" s="3">
        <v>43.8</v>
      </c>
      <c r="M388" s="4">
        <v>26</v>
      </c>
      <c r="N388" s="4">
        <v>67</v>
      </c>
      <c r="O388" s="3">
        <v>38.200000000000003</v>
      </c>
      <c r="P388" s="3">
        <v>9</v>
      </c>
      <c r="Q388" s="3">
        <v>12</v>
      </c>
      <c r="R388" s="3">
        <v>81.8</v>
      </c>
      <c r="S388" s="4">
        <v>38</v>
      </c>
      <c r="T388" s="4">
        <v>75</v>
      </c>
      <c r="U388" s="4">
        <v>113</v>
      </c>
      <c r="V388" s="4">
        <v>41</v>
      </c>
      <c r="W388" s="4">
        <v>26</v>
      </c>
      <c r="X388" s="4">
        <v>29</v>
      </c>
      <c r="Y388" s="4">
        <v>12</v>
      </c>
      <c r="Z388" s="4">
        <v>44</v>
      </c>
      <c r="AA388" s="3">
        <v>455</v>
      </c>
      <c r="AB388" s="3">
        <v>0</v>
      </c>
      <c r="AC388" s="3">
        <v>0</v>
      </c>
      <c r="AD388" s="2">
        <v>-0.4</v>
      </c>
      <c r="AE388" s="2">
        <v>111.2</v>
      </c>
      <c r="AF388" s="2">
        <v>112.4</v>
      </c>
      <c r="AG388" s="2">
        <v>-1.2</v>
      </c>
      <c r="AH388" s="2">
        <v>10.8</v>
      </c>
      <c r="AI388" s="2">
        <v>1.62</v>
      </c>
      <c r="AJ388" s="2">
        <v>19.399999999999999</v>
      </c>
      <c r="AK388" s="2">
        <v>6.8</v>
      </c>
      <c r="AL388" s="2">
        <v>13.5</v>
      </c>
      <c r="AM388" s="2">
        <v>10.1</v>
      </c>
      <c r="AN388" s="2">
        <v>12</v>
      </c>
      <c r="AO388" s="2">
        <v>52.8</v>
      </c>
      <c r="AP388" s="2">
        <v>54.1</v>
      </c>
      <c r="AQ388" s="2">
        <v>13.4</v>
      </c>
      <c r="AR388" s="2">
        <v>99.53</v>
      </c>
      <c r="AS388" s="2">
        <v>8</v>
      </c>
      <c r="AT388" s="2">
        <v>1126</v>
      </c>
      <c r="AU388" s="53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6"/>
    </row>
    <row r="389" spans="1:69" ht="13.2">
      <c r="A389" s="1" t="s">
        <v>802</v>
      </c>
      <c r="B389" s="1" t="s">
        <v>803</v>
      </c>
      <c r="C389" s="24" t="str">
        <f>VLOOKUP(B389,Equipe!$A$1:$B$31,2,FALSE)</f>
        <v>San Antonio Spurs</v>
      </c>
      <c r="D389" s="2">
        <v>24</v>
      </c>
      <c r="E389" s="2">
        <v>36</v>
      </c>
      <c r="F389" s="2">
        <v>14</v>
      </c>
      <c r="G389" s="2">
        <v>22</v>
      </c>
      <c r="H389" s="2">
        <v>10.4</v>
      </c>
      <c r="I389" s="3">
        <v>158</v>
      </c>
      <c r="J389" s="4">
        <v>68</v>
      </c>
      <c r="K389" s="4">
        <v>119</v>
      </c>
      <c r="L389" s="3">
        <v>58.1</v>
      </c>
      <c r="M389" s="3">
        <v>0</v>
      </c>
      <c r="N389" s="3">
        <v>0</v>
      </c>
      <c r="O389" s="3">
        <v>0</v>
      </c>
      <c r="P389" s="3">
        <v>22</v>
      </c>
      <c r="Q389" s="3">
        <v>32</v>
      </c>
      <c r="R389" s="3">
        <v>63.6</v>
      </c>
      <c r="S389" s="4">
        <v>58</v>
      </c>
      <c r="T389" s="4">
        <v>97</v>
      </c>
      <c r="U389" s="4">
        <v>151</v>
      </c>
      <c r="V389" s="4">
        <v>18</v>
      </c>
      <c r="W389" s="4">
        <v>22</v>
      </c>
      <c r="X389" s="4">
        <v>14</v>
      </c>
      <c r="Y389" s="4">
        <v>29</v>
      </c>
      <c r="Z389" s="4">
        <v>50</v>
      </c>
      <c r="AA389" s="3">
        <v>475</v>
      </c>
      <c r="AB389" s="3">
        <v>2</v>
      </c>
      <c r="AC389" s="3">
        <v>0</v>
      </c>
      <c r="AD389" s="2">
        <v>-3.6</v>
      </c>
      <c r="AE389" s="2">
        <v>101.6</v>
      </c>
      <c r="AF389" s="2">
        <v>117.5</v>
      </c>
      <c r="AG389" s="2">
        <v>-15.9</v>
      </c>
      <c r="AH389" s="2">
        <v>7.2</v>
      </c>
      <c r="AI389" s="2">
        <v>0.74</v>
      </c>
      <c r="AJ389" s="2">
        <v>9.9</v>
      </c>
      <c r="AK389" s="2">
        <v>13.3</v>
      </c>
      <c r="AL389" s="2">
        <v>24</v>
      </c>
      <c r="AM389" s="2">
        <v>18.5</v>
      </c>
      <c r="AN389" s="2">
        <v>13.5</v>
      </c>
      <c r="AO389" s="2">
        <v>58.1</v>
      </c>
      <c r="AP389" s="2">
        <v>59.7</v>
      </c>
      <c r="AQ389" s="2">
        <v>16.399999999999999</v>
      </c>
      <c r="AR389" s="2">
        <v>105.46</v>
      </c>
      <c r="AS389" s="2">
        <v>11.3</v>
      </c>
      <c r="AT389" s="2">
        <v>826</v>
      </c>
      <c r="AU389" s="53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6"/>
    </row>
    <row r="390" spans="1:69" ht="13.2">
      <c r="A390" s="1" t="s">
        <v>806</v>
      </c>
      <c r="B390" s="1" t="s">
        <v>807</v>
      </c>
      <c r="C390" s="24" t="str">
        <f>VLOOKUP(B390,Equipe!$A$1:$B$31,2,FALSE)</f>
        <v>Washington Wizards</v>
      </c>
      <c r="D390" s="2">
        <v>23</v>
      </c>
      <c r="E390" s="2">
        <v>39</v>
      </c>
      <c r="F390" s="2">
        <v>12</v>
      </c>
      <c r="G390" s="2">
        <v>27</v>
      </c>
      <c r="H390" s="2">
        <v>13.2</v>
      </c>
      <c r="I390" s="3">
        <v>156</v>
      </c>
      <c r="J390" s="4">
        <v>59</v>
      </c>
      <c r="K390" s="4">
        <v>129</v>
      </c>
      <c r="L390" s="3">
        <v>45.7</v>
      </c>
      <c r="M390" s="4">
        <v>16</v>
      </c>
      <c r="N390" s="4">
        <v>51</v>
      </c>
      <c r="O390" s="3">
        <v>32.700000000000003</v>
      </c>
      <c r="P390" s="3">
        <v>23</v>
      </c>
      <c r="Q390" s="3">
        <v>35</v>
      </c>
      <c r="R390" s="3">
        <v>65.7</v>
      </c>
      <c r="S390" s="4">
        <v>20</v>
      </c>
      <c r="T390" s="4">
        <v>66</v>
      </c>
      <c r="U390" s="4">
        <v>86</v>
      </c>
      <c r="V390" s="4">
        <v>43</v>
      </c>
      <c r="W390" s="4">
        <v>23</v>
      </c>
      <c r="X390" s="4">
        <v>27</v>
      </c>
      <c r="Y390" s="4">
        <v>12</v>
      </c>
      <c r="Z390" s="4">
        <v>35</v>
      </c>
      <c r="AA390" s="3">
        <v>421</v>
      </c>
      <c r="AB390" s="3">
        <v>1</v>
      </c>
      <c r="AC390" s="3">
        <v>0</v>
      </c>
      <c r="AD390" s="2">
        <v>-2.9</v>
      </c>
      <c r="AE390" s="2">
        <v>104.4</v>
      </c>
      <c r="AF390" s="2">
        <v>114.8</v>
      </c>
      <c r="AG390" s="2">
        <v>-10.4</v>
      </c>
      <c r="AH390" s="2">
        <v>12.3</v>
      </c>
      <c r="AI390" s="2">
        <v>1.91</v>
      </c>
      <c r="AJ390" s="2">
        <v>20.8</v>
      </c>
      <c r="AK390" s="2">
        <v>3.8</v>
      </c>
      <c r="AL390" s="2">
        <v>12.3</v>
      </c>
      <c r="AM390" s="2">
        <v>8</v>
      </c>
      <c r="AN390" s="2">
        <v>10.8</v>
      </c>
      <c r="AO390" s="2">
        <v>51.9</v>
      </c>
      <c r="AP390" s="2">
        <v>54.4</v>
      </c>
      <c r="AQ390" s="2">
        <v>13.8</v>
      </c>
      <c r="AR390" s="2">
        <v>99.47</v>
      </c>
      <c r="AS390" s="2">
        <v>7.8</v>
      </c>
      <c r="AT390" s="2">
        <v>1066</v>
      </c>
      <c r="AU390" s="53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6"/>
    </row>
    <row r="391" spans="1:69" ht="13.2">
      <c r="A391" s="1" t="s">
        <v>804</v>
      </c>
      <c r="B391" s="1" t="s">
        <v>805</v>
      </c>
      <c r="C391" s="24" t="str">
        <f>VLOOKUP(B391,Equipe!$A$1:$B$31,2,FALSE)</f>
        <v>Portland Trail Blazers</v>
      </c>
      <c r="D391" s="2">
        <v>21</v>
      </c>
      <c r="E391" s="2">
        <v>52</v>
      </c>
      <c r="F391" s="2">
        <v>23</v>
      </c>
      <c r="G391" s="2">
        <v>29</v>
      </c>
      <c r="H391" s="2">
        <v>8.8000000000000007</v>
      </c>
      <c r="I391" s="3">
        <v>156</v>
      </c>
      <c r="J391" s="4">
        <v>57</v>
      </c>
      <c r="K391" s="4">
        <v>140</v>
      </c>
      <c r="L391" s="3">
        <v>40.799999999999997</v>
      </c>
      <c r="M391" s="4">
        <v>16</v>
      </c>
      <c r="N391" s="4">
        <v>57</v>
      </c>
      <c r="O391" s="3">
        <v>27.1</v>
      </c>
      <c r="P391" s="3">
        <v>21</v>
      </c>
      <c r="Q391" s="3">
        <v>31</v>
      </c>
      <c r="R391" s="3">
        <v>76.7</v>
      </c>
      <c r="S391" s="4">
        <v>26</v>
      </c>
      <c r="T391" s="4">
        <v>42</v>
      </c>
      <c r="U391" s="4">
        <v>68</v>
      </c>
      <c r="V391" s="4">
        <v>26</v>
      </c>
      <c r="W391" s="4">
        <v>31</v>
      </c>
      <c r="X391" s="4">
        <v>16</v>
      </c>
      <c r="Y391" s="4">
        <v>5</v>
      </c>
      <c r="Z391" s="4">
        <v>36</v>
      </c>
      <c r="AA391" s="3">
        <v>307</v>
      </c>
      <c r="AB391" s="3">
        <v>1</v>
      </c>
      <c r="AC391" s="3">
        <v>0</v>
      </c>
      <c r="AD391" s="2">
        <v>-1.7</v>
      </c>
      <c r="AE391" s="2">
        <v>100.6</v>
      </c>
      <c r="AF391" s="2">
        <v>109.8</v>
      </c>
      <c r="AG391" s="2">
        <v>-9.1999999999999993</v>
      </c>
      <c r="AH391" s="2">
        <v>8.3000000000000007</v>
      </c>
      <c r="AI391" s="2">
        <v>0.83</v>
      </c>
      <c r="AJ391" s="2">
        <v>11.9</v>
      </c>
      <c r="AK391" s="2">
        <v>4.9000000000000004</v>
      </c>
      <c r="AL391" s="2">
        <v>9.6999999999999993</v>
      </c>
      <c r="AM391" s="2">
        <v>7.1</v>
      </c>
      <c r="AN391" s="2">
        <v>14.3</v>
      </c>
      <c r="AO391" s="2">
        <v>46.5</v>
      </c>
      <c r="AP391" s="2">
        <v>49.9</v>
      </c>
      <c r="AQ391" s="2">
        <v>15.6</v>
      </c>
      <c r="AR391" s="2">
        <v>104.66</v>
      </c>
      <c r="AS391" s="2">
        <v>5.5</v>
      </c>
      <c r="AT391" s="2">
        <v>1005</v>
      </c>
      <c r="AU391" s="53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6"/>
    </row>
    <row r="392" spans="1:69" ht="13.2">
      <c r="A392" s="1" t="s">
        <v>808</v>
      </c>
      <c r="B392" s="1" t="s">
        <v>809</v>
      </c>
      <c r="C392" s="24" t="str">
        <f>VLOOKUP(B392,Equipe!$A$1:$B$31,2,FALSE)</f>
        <v>Chicago Bulls</v>
      </c>
      <c r="D392" s="2">
        <v>29</v>
      </c>
      <c r="E392" s="2">
        <v>36</v>
      </c>
      <c r="F392" s="2">
        <v>13</v>
      </c>
      <c r="G392" s="2">
        <v>23</v>
      </c>
      <c r="H392" s="2">
        <v>8.9</v>
      </c>
      <c r="I392" s="3">
        <v>155</v>
      </c>
      <c r="J392" s="4">
        <v>54</v>
      </c>
      <c r="K392" s="4">
        <v>148</v>
      </c>
      <c r="L392" s="3">
        <v>37.700000000000003</v>
      </c>
      <c r="M392" s="4">
        <v>36</v>
      </c>
      <c r="N392" s="4">
        <v>104</v>
      </c>
      <c r="O392" s="3">
        <v>33.299999999999997</v>
      </c>
      <c r="P392" s="3">
        <v>7</v>
      </c>
      <c r="Q392" s="3">
        <v>11</v>
      </c>
      <c r="R392" s="3">
        <v>80</v>
      </c>
      <c r="S392" s="4">
        <v>4</v>
      </c>
      <c r="T392" s="4">
        <v>36</v>
      </c>
      <c r="U392" s="4">
        <v>40</v>
      </c>
      <c r="V392" s="4">
        <v>40</v>
      </c>
      <c r="W392" s="4">
        <v>11</v>
      </c>
      <c r="X392" s="4">
        <v>14</v>
      </c>
      <c r="Y392" s="4">
        <v>4</v>
      </c>
      <c r="Z392" s="4">
        <v>14</v>
      </c>
      <c r="AA392" s="3">
        <v>295</v>
      </c>
      <c r="AB392" s="3">
        <v>0</v>
      </c>
      <c r="AC392" s="3">
        <v>0</v>
      </c>
      <c r="AD392" s="2">
        <v>1</v>
      </c>
      <c r="AE392" s="2">
        <v>114.8</v>
      </c>
      <c r="AF392" s="2">
        <v>111.5</v>
      </c>
      <c r="AG392" s="2">
        <v>3.3</v>
      </c>
      <c r="AH392" s="2">
        <v>16.600000000000001</v>
      </c>
      <c r="AI392" s="2">
        <v>3.64</v>
      </c>
      <c r="AJ392" s="2">
        <v>19.899999999999999</v>
      </c>
      <c r="AK392" s="2">
        <v>1.2</v>
      </c>
      <c r="AL392" s="2">
        <v>9.4</v>
      </c>
      <c r="AM392" s="2">
        <v>5.4</v>
      </c>
      <c r="AN392" s="2">
        <v>5.5</v>
      </c>
      <c r="AO392" s="2">
        <v>49.7</v>
      </c>
      <c r="AP392" s="2">
        <v>50.9</v>
      </c>
      <c r="AQ392" s="2">
        <v>20</v>
      </c>
      <c r="AR392" s="2">
        <v>106.46</v>
      </c>
      <c r="AS392" s="2">
        <v>8.1999999999999993</v>
      </c>
      <c r="AT392" s="2">
        <v>717</v>
      </c>
      <c r="AU392" s="53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6"/>
    </row>
    <row r="393" spans="1:69" ht="13.2">
      <c r="A393" s="1" t="s">
        <v>814</v>
      </c>
      <c r="B393" s="1" t="s">
        <v>815</v>
      </c>
      <c r="C393" s="24" t="str">
        <f>VLOOKUP(B393,Equipe!$A$1:$B$31,2,FALSE)</f>
        <v>Orlando Magic</v>
      </c>
      <c r="D393" s="2">
        <v>28</v>
      </c>
      <c r="E393" s="2">
        <v>31</v>
      </c>
      <c r="F393" s="2">
        <v>15</v>
      </c>
      <c r="G393" s="2">
        <v>16</v>
      </c>
      <c r="H393" s="2">
        <v>13.9</v>
      </c>
      <c r="I393" s="3">
        <v>152</v>
      </c>
      <c r="J393" s="4">
        <v>56</v>
      </c>
      <c r="K393" s="4">
        <v>146</v>
      </c>
      <c r="L393" s="3">
        <v>38.1</v>
      </c>
      <c r="M393" s="4">
        <v>22</v>
      </c>
      <c r="N393" s="4">
        <v>78</v>
      </c>
      <c r="O393" s="3">
        <v>28.6</v>
      </c>
      <c r="P393" s="3">
        <v>19</v>
      </c>
      <c r="Q393" s="3">
        <v>22</v>
      </c>
      <c r="R393" s="3">
        <v>85.7</v>
      </c>
      <c r="S393" s="4">
        <v>25</v>
      </c>
      <c r="T393" s="4">
        <v>28</v>
      </c>
      <c r="U393" s="4">
        <v>53</v>
      </c>
      <c r="V393" s="4">
        <v>37</v>
      </c>
      <c r="W393" s="4">
        <v>22</v>
      </c>
      <c r="X393" s="4">
        <v>31</v>
      </c>
      <c r="Y393" s="4">
        <v>9</v>
      </c>
      <c r="Z393" s="4">
        <v>37</v>
      </c>
      <c r="AA393" s="3">
        <v>375</v>
      </c>
      <c r="AB393" s="3">
        <v>0</v>
      </c>
      <c r="AC393" s="3">
        <v>0</v>
      </c>
      <c r="AD393" s="2">
        <v>-2.8</v>
      </c>
      <c r="AE393" s="2">
        <v>101.9</v>
      </c>
      <c r="AF393" s="2">
        <v>111.1</v>
      </c>
      <c r="AG393" s="2">
        <v>-9.1999999999999993</v>
      </c>
      <c r="AH393" s="2">
        <v>14.1</v>
      </c>
      <c r="AI393" s="2">
        <v>1.73</v>
      </c>
      <c r="AJ393" s="2">
        <v>17.5</v>
      </c>
      <c r="AK393" s="2">
        <v>5.6</v>
      </c>
      <c r="AL393" s="2">
        <v>7.1</v>
      </c>
      <c r="AM393" s="2">
        <v>6.3</v>
      </c>
      <c r="AN393" s="2">
        <v>10.1</v>
      </c>
      <c r="AO393" s="2">
        <v>45.6</v>
      </c>
      <c r="AP393" s="2">
        <v>48.6</v>
      </c>
      <c r="AQ393" s="2">
        <v>17.600000000000001</v>
      </c>
      <c r="AR393" s="2">
        <v>98.95</v>
      </c>
      <c r="AS393" s="2">
        <v>7.1</v>
      </c>
      <c r="AT393" s="2">
        <v>885</v>
      </c>
      <c r="AU393" s="53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6"/>
    </row>
    <row r="394" spans="1:69" ht="13.2">
      <c r="A394" s="1" t="s">
        <v>810</v>
      </c>
      <c r="B394" s="1" t="s">
        <v>811</v>
      </c>
      <c r="C394" s="24" t="str">
        <f>VLOOKUP(B394,Equipe!$A$1:$B$31,2,FALSE)</f>
        <v>Houston Rockets</v>
      </c>
      <c r="D394" s="2">
        <v>24</v>
      </c>
      <c r="E394" s="2">
        <v>33</v>
      </c>
      <c r="F394" s="2">
        <v>9</v>
      </c>
      <c r="G394" s="2">
        <v>24</v>
      </c>
      <c r="H394" s="2">
        <v>12.4</v>
      </c>
      <c r="I394" s="3">
        <v>152</v>
      </c>
      <c r="J394" s="4">
        <v>56</v>
      </c>
      <c r="K394" s="4">
        <v>125</v>
      </c>
      <c r="L394" s="3">
        <v>45.6</v>
      </c>
      <c r="M394" s="4">
        <v>20</v>
      </c>
      <c r="N394" s="4">
        <v>59</v>
      </c>
      <c r="O394" s="3">
        <v>31.1</v>
      </c>
      <c r="P394" s="3">
        <v>20</v>
      </c>
      <c r="Q394" s="3">
        <v>26</v>
      </c>
      <c r="R394" s="3">
        <v>76.900000000000006</v>
      </c>
      <c r="S394" s="4">
        <v>13</v>
      </c>
      <c r="T394" s="4">
        <v>73</v>
      </c>
      <c r="U394" s="4">
        <v>83</v>
      </c>
      <c r="V394" s="4">
        <v>36</v>
      </c>
      <c r="W394" s="4">
        <v>23</v>
      </c>
      <c r="X394" s="4">
        <v>13</v>
      </c>
      <c r="Y394" s="4">
        <v>10</v>
      </c>
      <c r="Z394" s="4">
        <v>20</v>
      </c>
      <c r="AA394" s="3">
        <v>353</v>
      </c>
      <c r="AB394" s="3">
        <v>0</v>
      </c>
      <c r="AC394" s="3">
        <v>0</v>
      </c>
      <c r="AD394" s="2">
        <v>-2.2999999999999998</v>
      </c>
      <c r="AE394" s="2">
        <v>106.4</v>
      </c>
      <c r="AF394" s="2">
        <v>114.6</v>
      </c>
      <c r="AG394" s="2">
        <v>-8.1999999999999993</v>
      </c>
      <c r="AH394" s="2">
        <v>12.1</v>
      </c>
      <c r="AI394" s="2">
        <v>1.59</v>
      </c>
      <c r="AJ394" s="2">
        <v>18</v>
      </c>
      <c r="AK394" s="2">
        <v>3</v>
      </c>
      <c r="AL394" s="2">
        <v>17.7</v>
      </c>
      <c r="AM394" s="2">
        <v>10.1</v>
      </c>
      <c r="AN394" s="2">
        <v>11.3</v>
      </c>
      <c r="AO394" s="2">
        <v>53.2</v>
      </c>
      <c r="AP394" s="2">
        <v>56.1</v>
      </c>
      <c r="AQ394" s="2">
        <v>15.9</v>
      </c>
      <c r="AR394" s="2">
        <v>104.43</v>
      </c>
      <c r="AS394" s="2">
        <v>8.9</v>
      </c>
      <c r="AT394" s="2">
        <v>890</v>
      </c>
      <c r="AU394" s="53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6"/>
    </row>
    <row r="395" spans="1:69" ht="13.2">
      <c r="A395" s="1" t="s">
        <v>812</v>
      </c>
      <c r="B395" s="1" t="s">
        <v>813</v>
      </c>
      <c r="C395" s="24" t="str">
        <f>VLOOKUP(B395,Equipe!$A$1:$B$31,2,FALSE)</f>
        <v>Los Angeles Clippers</v>
      </c>
      <c r="D395" s="2">
        <v>25</v>
      </c>
      <c r="E395" s="2">
        <v>37</v>
      </c>
      <c r="F395" s="2">
        <v>21</v>
      </c>
      <c r="G395" s="2">
        <v>16</v>
      </c>
      <c r="H395" s="2">
        <v>11.4</v>
      </c>
      <c r="I395" s="3">
        <v>152</v>
      </c>
      <c r="J395" s="4">
        <v>59</v>
      </c>
      <c r="K395" s="4">
        <v>133</v>
      </c>
      <c r="L395" s="3">
        <v>43.3</v>
      </c>
      <c r="M395" s="4">
        <v>7</v>
      </c>
      <c r="N395" s="4">
        <v>37</v>
      </c>
      <c r="O395" s="3">
        <v>21.1</v>
      </c>
      <c r="P395" s="3">
        <v>30</v>
      </c>
      <c r="Q395" s="3">
        <v>33</v>
      </c>
      <c r="R395" s="3">
        <v>80</v>
      </c>
      <c r="S395" s="4">
        <v>22</v>
      </c>
      <c r="T395" s="4">
        <v>33</v>
      </c>
      <c r="U395" s="4">
        <v>59</v>
      </c>
      <c r="V395" s="4">
        <v>33</v>
      </c>
      <c r="W395" s="4">
        <v>26</v>
      </c>
      <c r="X395" s="4">
        <v>19</v>
      </c>
      <c r="Y395" s="4">
        <v>4</v>
      </c>
      <c r="Z395" s="4">
        <v>26</v>
      </c>
      <c r="AA395" s="3">
        <v>311</v>
      </c>
      <c r="AB395" s="3">
        <v>0</v>
      </c>
      <c r="AC395" s="3">
        <v>0</v>
      </c>
      <c r="AD395" s="2">
        <v>-1.7</v>
      </c>
      <c r="AE395" s="2">
        <v>103.8</v>
      </c>
      <c r="AF395" s="2">
        <v>109.8</v>
      </c>
      <c r="AG395" s="2">
        <v>-6</v>
      </c>
      <c r="AH395" s="2">
        <v>12.4</v>
      </c>
      <c r="AI395" s="2">
        <v>1.31</v>
      </c>
      <c r="AJ395" s="2">
        <v>16.2</v>
      </c>
      <c r="AK395" s="2">
        <v>5.3</v>
      </c>
      <c r="AL395" s="2">
        <v>8.4</v>
      </c>
      <c r="AM395" s="2">
        <v>6.8</v>
      </c>
      <c r="AN395" s="2">
        <v>12.4</v>
      </c>
      <c r="AO395" s="2">
        <v>46.3</v>
      </c>
      <c r="AP395" s="2">
        <v>50.9</v>
      </c>
      <c r="AQ395" s="2">
        <v>17.5</v>
      </c>
      <c r="AR395" s="2">
        <v>100.15</v>
      </c>
      <c r="AS395" s="2">
        <v>7</v>
      </c>
      <c r="AT395" s="2">
        <v>872</v>
      </c>
      <c r="AU395" s="53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6"/>
    </row>
    <row r="396" spans="1:69" ht="13.2">
      <c r="A396" s="8" t="s">
        <v>816</v>
      </c>
      <c r="B396" s="1" t="s">
        <v>817</v>
      </c>
      <c r="C396" s="24" t="str">
        <f>VLOOKUP(B396,Equipe!$A$1:$B$31,2,FALSE)</f>
        <v>Charlotte Hornets</v>
      </c>
      <c r="D396" s="2">
        <v>23</v>
      </c>
      <c r="E396" s="2">
        <v>36</v>
      </c>
      <c r="F396" s="2">
        <v>11</v>
      </c>
      <c r="G396" s="2">
        <v>25</v>
      </c>
      <c r="H396" s="2">
        <v>13.9</v>
      </c>
      <c r="I396" s="3">
        <v>151</v>
      </c>
      <c r="J396" s="4">
        <v>58</v>
      </c>
      <c r="K396" s="4">
        <v>126</v>
      </c>
      <c r="L396" s="3">
        <v>46.8</v>
      </c>
      <c r="M396" s="4">
        <v>14</v>
      </c>
      <c r="N396" s="4">
        <v>40</v>
      </c>
      <c r="O396" s="3">
        <v>34.1</v>
      </c>
      <c r="P396" s="3">
        <v>18</v>
      </c>
      <c r="Q396" s="3">
        <v>22</v>
      </c>
      <c r="R396" s="3">
        <v>81.8</v>
      </c>
      <c r="S396" s="4">
        <v>29</v>
      </c>
      <c r="T396" s="4">
        <v>65</v>
      </c>
      <c r="U396" s="4">
        <v>94</v>
      </c>
      <c r="V396" s="4">
        <v>43</v>
      </c>
      <c r="W396" s="4">
        <v>29</v>
      </c>
      <c r="X396" s="4">
        <v>22</v>
      </c>
      <c r="Y396" s="4">
        <v>4</v>
      </c>
      <c r="Z396" s="4">
        <v>32</v>
      </c>
      <c r="AA396" s="3">
        <v>374</v>
      </c>
      <c r="AB396" s="3">
        <v>1</v>
      </c>
      <c r="AC396" s="3">
        <v>0</v>
      </c>
      <c r="AD396" s="2">
        <v>-3.7</v>
      </c>
      <c r="AE396" s="2">
        <v>99.6</v>
      </c>
      <c r="AF396" s="2">
        <v>112</v>
      </c>
      <c r="AG396" s="2">
        <v>-12.4</v>
      </c>
      <c r="AH396" s="2">
        <v>13</v>
      </c>
      <c r="AI396" s="2">
        <v>1.56</v>
      </c>
      <c r="AJ396" s="2">
        <v>20.6</v>
      </c>
      <c r="AK396" s="2">
        <v>5.3</v>
      </c>
      <c r="AL396" s="2">
        <v>13.2</v>
      </c>
      <c r="AM396" s="2">
        <v>9</v>
      </c>
      <c r="AN396" s="2">
        <v>13.2</v>
      </c>
      <c r="AO396" s="2">
        <v>52.4</v>
      </c>
      <c r="AP396" s="2">
        <v>55.3</v>
      </c>
      <c r="AQ396" s="2">
        <v>13.3</v>
      </c>
      <c r="AR396" s="2">
        <v>100.73</v>
      </c>
      <c r="AS396" s="2">
        <v>8.3000000000000007</v>
      </c>
      <c r="AT396" s="2">
        <v>1045</v>
      </c>
      <c r="AU396" s="53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6"/>
    </row>
    <row r="397" spans="1:69" ht="13.2">
      <c r="A397" s="1" t="s">
        <v>818</v>
      </c>
      <c r="B397" s="1" t="s">
        <v>819</v>
      </c>
      <c r="C397" s="24" t="str">
        <f>VLOOKUP(B397,Equipe!$A$1:$B$31,2,FALSE)</f>
        <v>Minnesota Timberwolves</v>
      </c>
      <c r="D397" s="2">
        <v>24</v>
      </c>
      <c r="E397" s="2">
        <v>24</v>
      </c>
      <c r="F397" s="2">
        <v>11</v>
      </c>
      <c r="G397" s="2">
        <v>13</v>
      </c>
      <c r="H397" s="2">
        <v>9.9</v>
      </c>
      <c r="I397" s="3">
        <v>149</v>
      </c>
      <c r="J397" s="4">
        <v>48</v>
      </c>
      <c r="K397" s="4">
        <v>118</v>
      </c>
      <c r="L397" s="3">
        <v>39.799999999999997</v>
      </c>
      <c r="M397" s="4">
        <v>31</v>
      </c>
      <c r="N397" s="4">
        <v>82</v>
      </c>
      <c r="O397" s="3">
        <v>39</v>
      </c>
      <c r="P397" s="3">
        <v>24</v>
      </c>
      <c r="Q397" s="3">
        <v>26</v>
      </c>
      <c r="R397" s="3">
        <v>88.5</v>
      </c>
      <c r="S397" s="4">
        <v>5</v>
      </c>
      <c r="T397" s="4">
        <v>19</v>
      </c>
      <c r="U397" s="4">
        <v>24</v>
      </c>
      <c r="V397" s="4">
        <v>31</v>
      </c>
      <c r="W397" s="4">
        <v>24</v>
      </c>
      <c r="X397" s="4">
        <v>19</v>
      </c>
      <c r="Y397" s="4">
        <v>5</v>
      </c>
      <c r="Z397" s="4">
        <v>29</v>
      </c>
      <c r="AA397" s="3">
        <v>269</v>
      </c>
      <c r="AB397" s="3">
        <v>0</v>
      </c>
      <c r="AC397" s="3">
        <v>0</v>
      </c>
      <c r="AD397" s="2">
        <v>-1.3</v>
      </c>
      <c r="AE397" s="2">
        <v>102</v>
      </c>
      <c r="AF397" s="2">
        <v>108.1</v>
      </c>
      <c r="AG397" s="2">
        <v>-6.1</v>
      </c>
      <c r="AH397" s="2">
        <v>24.6</v>
      </c>
      <c r="AI397" s="2">
        <v>1.28</v>
      </c>
      <c r="AJ397" s="2">
        <v>17.3</v>
      </c>
      <c r="AK397" s="2">
        <v>2</v>
      </c>
      <c r="AL397" s="2">
        <v>8.3000000000000007</v>
      </c>
      <c r="AM397" s="2">
        <v>5.0999999999999996</v>
      </c>
      <c r="AN397" s="2">
        <v>13.5</v>
      </c>
      <c r="AO397" s="2">
        <v>53.4</v>
      </c>
      <c r="AP397" s="2">
        <v>57.6</v>
      </c>
      <c r="AQ397" s="2">
        <v>27.4</v>
      </c>
      <c r="AR397" s="2">
        <v>98.61</v>
      </c>
      <c r="AS397" s="2">
        <v>10.8</v>
      </c>
      <c r="AT397" s="2">
        <v>490</v>
      </c>
      <c r="AU397" s="53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6"/>
    </row>
    <row r="398" spans="1:69" ht="13.2">
      <c r="A398" s="1" t="s">
        <v>820</v>
      </c>
      <c r="B398" s="1" t="s">
        <v>821</v>
      </c>
      <c r="C398" s="24" t="str">
        <f>VLOOKUP(B398,Equipe!$A$1:$B$31,2,FALSE)</f>
        <v>Los Angeles Lakers</v>
      </c>
      <c r="D398" s="2">
        <v>26</v>
      </c>
      <c r="E398" s="2">
        <v>36</v>
      </c>
      <c r="F398" s="2">
        <v>25</v>
      </c>
      <c r="G398" s="2">
        <v>11</v>
      </c>
      <c r="H398" s="2">
        <v>16.100000000000001</v>
      </c>
      <c r="I398" s="3">
        <v>148</v>
      </c>
      <c r="J398" s="4">
        <v>58</v>
      </c>
      <c r="K398" s="4">
        <v>122</v>
      </c>
      <c r="L398" s="3">
        <v>48.8</v>
      </c>
      <c r="M398" s="4">
        <v>11</v>
      </c>
      <c r="N398" s="4">
        <v>32</v>
      </c>
      <c r="O398" s="3">
        <v>28.1</v>
      </c>
      <c r="P398" s="3">
        <v>22</v>
      </c>
      <c r="Q398" s="3">
        <v>36</v>
      </c>
      <c r="R398" s="3">
        <v>55.6</v>
      </c>
      <c r="S398" s="4">
        <v>68</v>
      </c>
      <c r="T398" s="4">
        <v>115</v>
      </c>
      <c r="U398" s="4">
        <v>184</v>
      </c>
      <c r="V398" s="4">
        <v>40</v>
      </c>
      <c r="W398" s="4">
        <v>29</v>
      </c>
      <c r="X398" s="4">
        <v>36</v>
      </c>
      <c r="Y398" s="4">
        <v>11</v>
      </c>
      <c r="Z398" s="4">
        <v>68</v>
      </c>
      <c r="AA398" s="3">
        <v>533</v>
      </c>
      <c r="AB398" s="3">
        <v>0</v>
      </c>
      <c r="AC398" s="3">
        <v>0</v>
      </c>
      <c r="AD398" s="2">
        <v>1</v>
      </c>
      <c r="AE398" s="2">
        <v>115.6</v>
      </c>
      <c r="AF398" s="2">
        <v>112.2</v>
      </c>
      <c r="AG398" s="2">
        <v>3.3</v>
      </c>
      <c r="AH398" s="2">
        <v>9.4</v>
      </c>
      <c r="AI398" s="2">
        <v>1.41</v>
      </c>
      <c r="AJ398" s="2">
        <v>19.899999999999999</v>
      </c>
      <c r="AK398" s="2">
        <v>11.4</v>
      </c>
      <c r="AL398" s="2">
        <v>19.399999999999999</v>
      </c>
      <c r="AM398" s="2">
        <v>15.4</v>
      </c>
      <c r="AN398" s="2">
        <v>14.1</v>
      </c>
      <c r="AO398" s="2">
        <v>52.5</v>
      </c>
      <c r="AP398" s="2">
        <v>53.7</v>
      </c>
      <c r="AQ398" s="2">
        <v>11.6</v>
      </c>
      <c r="AR398" s="2">
        <v>100.61</v>
      </c>
      <c r="AS398" s="2">
        <v>8.1999999999999993</v>
      </c>
      <c r="AT398" s="2">
        <v>1215</v>
      </c>
      <c r="AU398" s="53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6"/>
    </row>
    <row r="399" spans="1:69" ht="13.2">
      <c r="A399" s="1" t="s">
        <v>822</v>
      </c>
      <c r="B399" s="1" t="s">
        <v>823</v>
      </c>
      <c r="C399" s="24" t="str">
        <f>VLOOKUP(B399,Equipe!$A$1:$B$31,2,FALSE)</f>
        <v>Atlanta Hawks</v>
      </c>
      <c r="D399" s="2">
        <v>22</v>
      </c>
      <c r="E399" s="2">
        <v>35</v>
      </c>
      <c r="F399" s="2">
        <v>13</v>
      </c>
      <c r="G399" s="2">
        <v>22</v>
      </c>
      <c r="H399" s="2">
        <v>10.7</v>
      </c>
      <c r="I399" s="3">
        <v>147</v>
      </c>
      <c r="J399" s="4">
        <v>60</v>
      </c>
      <c r="K399" s="4">
        <v>112</v>
      </c>
      <c r="L399" s="3">
        <v>53.1</v>
      </c>
      <c r="M399" s="4">
        <v>7</v>
      </c>
      <c r="N399" s="4">
        <v>28</v>
      </c>
      <c r="O399" s="3">
        <v>25.9</v>
      </c>
      <c r="P399" s="3">
        <v>21</v>
      </c>
      <c r="Q399" s="3">
        <v>32</v>
      </c>
      <c r="R399" s="3">
        <v>63.6</v>
      </c>
      <c r="S399" s="4">
        <v>35</v>
      </c>
      <c r="T399" s="4">
        <v>49</v>
      </c>
      <c r="U399" s="4">
        <v>84</v>
      </c>
      <c r="V399" s="4">
        <v>18</v>
      </c>
      <c r="W399" s="4">
        <v>4</v>
      </c>
      <c r="X399" s="4">
        <v>11</v>
      </c>
      <c r="Y399" s="4">
        <v>18</v>
      </c>
      <c r="Z399" s="4">
        <v>46</v>
      </c>
      <c r="AA399" s="3">
        <v>350</v>
      </c>
      <c r="AB399" s="3">
        <v>1</v>
      </c>
      <c r="AC399" s="3">
        <v>0</v>
      </c>
      <c r="AD399" s="2">
        <v>-0.1</v>
      </c>
      <c r="AE399" s="2">
        <v>110.2</v>
      </c>
      <c r="AF399" s="2">
        <v>111.8</v>
      </c>
      <c r="AG399" s="2">
        <v>-1.6</v>
      </c>
      <c r="AH399" s="2">
        <v>7</v>
      </c>
      <c r="AI399" s="2">
        <v>3.8</v>
      </c>
      <c r="AJ399" s="2">
        <v>12.7</v>
      </c>
      <c r="AK399" s="2">
        <v>9.1</v>
      </c>
      <c r="AL399" s="2">
        <v>13.9</v>
      </c>
      <c r="AM399" s="2">
        <v>11.4</v>
      </c>
      <c r="AN399" s="2">
        <v>3.3</v>
      </c>
      <c r="AO399" s="2">
        <v>56.2</v>
      </c>
      <c r="AP399" s="2">
        <v>58</v>
      </c>
      <c r="AQ399" s="2">
        <v>14.1</v>
      </c>
      <c r="AR399" s="2">
        <v>104.7</v>
      </c>
      <c r="AS399" s="2">
        <v>8.1999999999999993</v>
      </c>
      <c r="AT399" s="2">
        <v>823</v>
      </c>
      <c r="AU399" s="53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6"/>
    </row>
    <row r="400" spans="1:69" ht="13.2">
      <c r="A400" s="1" t="s">
        <v>824</v>
      </c>
      <c r="B400" s="1" t="s">
        <v>825</v>
      </c>
      <c r="C400" s="24" t="str">
        <f>VLOOKUP(B400,Equipe!$A$1:$B$31,2,FALSE)</f>
        <v>Sacramento Kings</v>
      </c>
      <c r="D400" s="2">
        <v>33</v>
      </c>
      <c r="E400" s="2">
        <v>42</v>
      </c>
      <c r="F400" s="2">
        <v>21</v>
      </c>
      <c r="G400" s="2">
        <v>21</v>
      </c>
      <c r="H400" s="2">
        <v>8.1</v>
      </c>
      <c r="I400" s="3">
        <v>147</v>
      </c>
      <c r="J400" s="4">
        <v>50</v>
      </c>
      <c r="K400" s="4">
        <v>118</v>
      </c>
      <c r="L400" s="3">
        <v>42.7</v>
      </c>
      <c r="M400" s="4">
        <v>42</v>
      </c>
      <c r="N400" s="4">
        <v>101</v>
      </c>
      <c r="O400" s="3">
        <v>43.6</v>
      </c>
      <c r="P400" s="3">
        <v>4</v>
      </c>
      <c r="Q400" s="3">
        <v>4</v>
      </c>
      <c r="R400" s="3">
        <v>60</v>
      </c>
      <c r="S400" s="4">
        <v>4</v>
      </c>
      <c r="T400" s="4">
        <v>21</v>
      </c>
      <c r="U400" s="4">
        <v>21</v>
      </c>
      <c r="V400" s="4">
        <v>8</v>
      </c>
      <c r="W400" s="4">
        <v>4</v>
      </c>
      <c r="X400" s="4">
        <v>4</v>
      </c>
      <c r="Y400" s="3">
        <v>0</v>
      </c>
      <c r="Z400" s="4">
        <v>29</v>
      </c>
      <c r="AA400" s="3">
        <v>197</v>
      </c>
      <c r="AB400" s="3">
        <v>0</v>
      </c>
      <c r="AC400" s="3">
        <v>0</v>
      </c>
      <c r="AD400" s="2">
        <v>0.6</v>
      </c>
      <c r="AE400" s="2">
        <v>111.5</v>
      </c>
      <c r="AF400" s="2">
        <v>109.9</v>
      </c>
      <c r="AG400" s="2">
        <v>1.6</v>
      </c>
      <c r="AH400" s="2">
        <v>2.8</v>
      </c>
      <c r="AI400" s="2">
        <v>1.17</v>
      </c>
      <c r="AJ400" s="2">
        <v>5.3</v>
      </c>
      <c r="AK400" s="2">
        <v>0.9</v>
      </c>
      <c r="AL400" s="2">
        <v>5.4</v>
      </c>
      <c r="AM400" s="2">
        <v>3.1</v>
      </c>
      <c r="AN400" s="2">
        <v>4.5</v>
      </c>
      <c r="AO400" s="2">
        <v>61.5</v>
      </c>
      <c r="AP400" s="2">
        <v>61.7</v>
      </c>
      <c r="AQ400" s="2">
        <v>15</v>
      </c>
      <c r="AR400" s="2">
        <v>101.3</v>
      </c>
      <c r="AS400" s="2">
        <v>5.0999999999999996</v>
      </c>
      <c r="AT400" s="2">
        <v>728</v>
      </c>
      <c r="AU400" s="53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6"/>
    </row>
    <row r="401" spans="1:69" ht="13.2">
      <c r="A401" s="1" t="s">
        <v>826</v>
      </c>
      <c r="B401" s="1" t="s">
        <v>827</v>
      </c>
      <c r="C401" s="24" t="str">
        <f>VLOOKUP(B401,Equipe!$A$1:$B$31,2,FALSE)</f>
        <v>Orlando Magic</v>
      </c>
      <c r="D401" s="2">
        <v>30</v>
      </c>
      <c r="E401" s="2">
        <v>48</v>
      </c>
      <c r="F401" s="2">
        <v>28</v>
      </c>
      <c r="G401" s="2">
        <v>20</v>
      </c>
      <c r="H401" s="2">
        <v>14.8</v>
      </c>
      <c r="I401" s="3">
        <v>144</v>
      </c>
      <c r="J401" s="4">
        <v>53</v>
      </c>
      <c r="K401" s="4">
        <v>134</v>
      </c>
      <c r="L401" s="3">
        <v>38.299999999999997</v>
      </c>
      <c r="M401" s="4">
        <v>38</v>
      </c>
      <c r="N401" s="4">
        <v>101</v>
      </c>
      <c r="O401" s="3">
        <v>35.6</v>
      </c>
      <c r="P401" s="3">
        <v>5</v>
      </c>
      <c r="Q401" s="3">
        <v>14</v>
      </c>
      <c r="R401" s="3">
        <v>58.3</v>
      </c>
      <c r="S401" s="4">
        <v>19</v>
      </c>
      <c r="T401" s="4">
        <v>43</v>
      </c>
      <c r="U401" s="4">
        <v>62</v>
      </c>
      <c r="V401" s="4">
        <v>29</v>
      </c>
      <c r="W401" s="4">
        <v>19</v>
      </c>
      <c r="X401" s="4">
        <v>24</v>
      </c>
      <c r="Y401" s="4">
        <v>14</v>
      </c>
      <c r="Z401" s="4">
        <v>43</v>
      </c>
      <c r="AA401" s="3">
        <v>365</v>
      </c>
      <c r="AB401" s="3">
        <v>0</v>
      </c>
      <c r="AC401" s="3">
        <v>0</v>
      </c>
      <c r="AD401" s="2">
        <v>1.8</v>
      </c>
      <c r="AE401" s="2">
        <v>110.4</v>
      </c>
      <c r="AF401" s="2">
        <v>103.2</v>
      </c>
      <c r="AG401" s="2">
        <v>7.2</v>
      </c>
      <c r="AH401" s="2">
        <v>5.8</v>
      </c>
      <c r="AI401" s="2">
        <v>1.76</v>
      </c>
      <c r="AJ401" s="2">
        <v>16.3</v>
      </c>
      <c r="AK401" s="2">
        <v>2.6</v>
      </c>
      <c r="AL401" s="2">
        <v>6.3</v>
      </c>
      <c r="AM401" s="2">
        <v>4.4000000000000004</v>
      </c>
      <c r="AN401" s="2">
        <v>9.1999999999999993</v>
      </c>
      <c r="AO401" s="2">
        <v>51.9</v>
      </c>
      <c r="AP401" s="2">
        <v>52.4</v>
      </c>
      <c r="AQ401" s="2">
        <v>9</v>
      </c>
      <c r="AR401" s="2">
        <v>99.58</v>
      </c>
      <c r="AS401" s="2">
        <v>4.3</v>
      </c>
      <c r="AT401" s="2">
        <v>1465</v>
      </c>
      <c r="AU401" s="53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6"/>
    </row>
    <row r="402" spans="1:69" ht="13.2">
      <c r="A402" s="1" t="s">
        <v>828</v>
      </c>
      <c r="B402" s="1" t="s">
        <v>829</v>
      </c>
      <c r="C402" s="24" t="str">
        <f>VLOOKUP(B402,Equipe!$A$1:$B$31,2,FALSE)</f>
        <v>San Antonio Spurs</v>
      </c>
      <c r="D402" s="2">
        <v>32</v>
      </c>
      <c r="E402" s="2">
        <v>28</v>
      </c>
      <c r="F402" s="2">
        <v>10</v>
      </c>
      <c r="G402" s="2">
        <v>18</v>
      </c>
      <c r="H402" s="2">
        <v>18.8</v>
      </c>
      <c r="I402" s="3">
        <v>143</v>
      </c>
      <c r="J402" s="4">
        <v>67</v>
      </c>
      <c r="K402" s="4">
        <v>115</v>
      </c>
      <c r="L402" s="3">
        <v>58.8</v>
      </c>
      <c r="M402" s="3">
        <v>0</v>
      </c>
      <c r="N402" s="3">
        <v>0</v>
      </c>
      <c r="O402" s="3">
        <v>0</v>
      </c>
      <c r="P402" s="3">
        <v>11</v>
      </c>
      <c r="Q402" s="3">
        <v>25</v>
      </c>
      <c r="R402" s="3">
        <v>40</v>
      </c>
      <c r="S402" s="4">
        <v>42</v>
      </c>
      <c r="T402" s="4">
        <v>115</v>
      </c>
      <c r="U402" s="4">
        <v>157</v>
      </c>
      <c r="V402" s="4">
        <v>31</v>
      </c>
      <c r="W402" s="4">
        <v>28</v>
      </c>
      <c r="X402" s="4">
        <v>17</v>
      </c>
      <c r="Y402" s="4">
        <v>22</v>
      </c>
      <c r="Z402" s="4">
        <v>53</v>
      </c>
      <c r="AA402" s="3">
        <v>470</v>
      </c>
      <c r="AB402" s="3">
        <v>3</v>
      </c>
      <c r="AC402" s="3">
        <v>0</v>
      </c>
      <c r="AD402" s="2">
        <v>-3.6</v>
      </c>
      <c r="AE402" s="2">
        <v>108.7</v>
      </c>
      <c r="AF402" s="2">
        <v>117.9</v>
      </c>
      <c r="AG402" s="2">
        <v>-9.1999999999999993</v>
      </c>
      <c r="AH402" s="2">
        <v>7.9</v>
      </c>
      <c r="AI402" s="2">
        <v>1.1499999999999999</v>
      </c>
      <c r="AJ402" s="2">
        <v>16.899999999999999</v>
      </c>
      <c r="AK402" s="2">
        <v>8</v>
      </c>
      <c r="AL402" s="2">
        <v>20.7</v>
      </c>
      <c r="AM402" s="2">
        <v>14.4</v>
      </c>
      <c r="AN402" s="2">
        <v>14.8</v>
      </c>
      <c r="AO402" s="2">
        <v>58.8</v>
      </c>
      <c r="AP402" s="2">
        <v>57.6</v>
      </c>
      <c r="AQ402" s="2">
        <v>12.4</v>
      </c>
      <c r="AR402" s="2">
        <v>100.23</v>
      </c>
      <c r="AS402" s="2">
        <v>8</v>
      </c>
      <c r="AT402" s="2">
        <v>1102</v>
      </c>
      <c r="AU402" s="53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6"/>
    </row>
    <row r="403" spans="1:69" ht="13.2">
      <c r="A403" s="1" t="s">
        <v>832</v>
      </c>
      <c r="B403" s="1" t="s">
        <v>833</v>
      </c>
      <c r="C403" s="24" t="str">
        <f>VLOOKUP(B403,Equipe!$A$1:$B$31,2,FALSE)</f>
        <v>Oklahoma City Thunder</v>
      </c>
      <c r="D403" s="2">
        <v>22</v>
      </c>
      <c r="E403" s="2">
        <v>37</v>
      </c>
      <c r="F403" s="2">
        <v>30</v>
      </c>
      <c r="G403" s="2">
        <v>7</v>
      </c>
      <c r="H403" s="2">
        <v>10.9</v>
      </c>
      <c r="I403" s="3">
        <v>141</v>
      </c>
      <c r="J403" s="4">
        <v>56</v>
      </c>
      <c r="K403" s="4">
        <v>126</v>
      </c>
      <c r="L403" s="3">
        <v>43.2</v>
      </c>
      <c r="M403" s="4">
        <v>22</v>
      </c>
      <c r="N403" s="4">
        <v>70</v>
      </c>
      <c r="O403" s="3">
        <v>32.4</v>
      </c>
      <c r="P403" s="3">
        <v>11</v>
      </c>
      <c r="Q403" s="3">
        <v>15</v>
      </c>
      <c r="R403" s="3">
        <v>68.8</v>
      </c>
      <c r="S403" s="4">
        <v>19</v>
      </c>
      <c r="T403" s="4">
        <v>63</v>
      </c>
      <c r="U403" s="4">
        <v>81</v>
      </c>
      <c r="V403" s="4">
        <v>30</v>
      </c>
      <c r="W403" s="4">
        <v>19</v>
      </c>
      <c r="X403" s="4">
        <v>19</v>
      </c>
      <c r="Y403" s="4">
        <v>7</v>
      </c>
      <c r="Z403" s="4">
        <v>33</v>
      </c>
      <c r="AA403" s="3">
        <v>340</v>
      </c>
      <c r="AB403" s="3">
        <v>0</v>
      </c>
      <c r="AC403" s="3">
        <v>0</v>
      </c>
      <c r="AD403" s="2">
        <v>1.2</v>
      </c>
      <c r="AE403" s="2">
        <v>104.3</v>
      </c>
      <c r="AF403" s="2">
        <v>99.2</v>
      </c>
      <c r="AG403" s="2">
        <v>5.0999999999999996</v>
      </c>
      <c r="AH403" s="2">
        <v>10.7</v>
      </c>
      <c r="AI403" s="2">
        <v>1.72</v>
      </c>
      <c r="AJ403" s="2">
        <v>17.100000000000001</v>
      </c>
      <c r="AK403" s="2">
        <v>4</v>
      </c>
      <c r="AL403" s="2">
        <v>14.2</v>
      </c>
      <c r="AM403" s="2">
        <v>9.1</v>
      </c>
      <c r="AN403" s="2">
        <v>9.9</v>
      </c>
      <c r="AO403" s="2">
        <v>52.4</v>
      </c>
      <c r="AP403" s="2">
        <v>53.8</v>
      </c>
      <c r="AQ403" s="2">
        <v>15.2</v>
      </c>
      <c r="AR403" s="2">
        <v>102.86</v>
      </c>
      <c r="AS403" s="2">
        <v>8.8000000000000007</v>
      </c>
      <c r="AT403" s="2">
        <v>868</v>
      </c>
      <c r="AU403" s="53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6"/>
    </row>
    <row r="404" spans="1:69" ht="13.2">
      <c r="A404" s="8" t="s">
        <v>830</v>
      </c>
      <c r="B404" s="1" t="s">
        <v>831</v>
      </c>
      <c r="C404" s="24" t="str">
        <f>VLOOKUP(B404,Equipe!$A$1:$B$31,2,FALSE)</f>
        <v>New Orleans Pelicans</v>
      </c>
      <c r="D404" s="2">
        <v>24</v>
      </c>
      <c r="E404" s="2">
        <v>14</v>
      </c>
      <c r="F404" s="2">
        <v>2</v>
      </c>
      <c r="G404" s="2">
        <v>12</v>
      </c>
      <c r="H404" s="2">
        <v>23.7</v>
      </c>
      <c r="I404" s="3">
        <v>141</v>
      </c>
      <c r="J404" s="4">
        <v>53</v>
      </c>
      <c r="K404" s="4">
        <v>109</v>
      </c>
      <c r="L404" s="3">
        <v>48.6</v>
      </c>
      <c r="M404" s="4">
        <v>14</v>
      </c>
      <c r="N404" s="4">
        <v>43</v>
      </c>
      <c r="O404" s="3">
        <v>32.6</v>
      </c>
      <c r="P404" s="3">
        <v>22</v>
      </c>
      <c r="Q404" s="3">
        <v>29</v>
      </c>
      <c r="R404" s="3">
        <v>73.3</v>
      </c>
      <c r="S404" s="4">
        <v>13</v>
      </c>
      <c r="T404" s="4">
        <v>46</v>
      </c>
      <c r="U404" s="4">
        <v>57</v>
      </c>
      <c r="V404" s="4">
        <v>13</v>
      </c>
      <c r="W404" s="4">
        <v>13</v>
      </c>
      <c r="X404" s="4">
        <v>10</v>
      </c>
      <c r="Y404" s="4">
        <v>10</v>
      </c>
      <c r="Z404" s="4">
        <v>29</v>
      </c>
      <c r="AA404" s="3">
        <v>279</v>
      </c>
      <c r="AB404" s="3">
        <v>1</v>
      </c>
      <c r="AC404" s="3">
        <v>0</v>
      </c>
      <c r="AD404" s="2">
        <v>-10.4</v>
      </c>
      <c r="AE404" s="2">
        <v>100.7</v>
      </c>
      <c r="AF404" s="2">
        <v>121.2</v>
      </c>
      <c r="AG404" s="2">
        <v>-20.5</v>
      </c>
      <c r="AH404" s="2">
        <v>6.2</v>
      </c>
      <c r="AI404" s="2">
        <v>1.08</v>
      </c>
      <c r="AJ404" s="2">
        <v>8.8000000000000007</v>
      </c>
      <c r="AK404" s="2">
        <v>3.4</v>
      </c>
      <c r="AL404" s="2">
        <v>13.6</v>
      </c>
      <c r="AM404" s="2">
        <v>8.4</v>
      </c>
      <c r="AN404" s="2">
        <v>8.1999999999999993</v>
      </c>
      <c r="AO404" s="2">
        <v>55</v>
      </c>
      <c r="AP404" s="2">
        <v>58.1</v>
      </c>
      <c r="AQ404" s="2">
        <v>16.899999999999999</v>
      </c>
      <c r="AR404" s="2">
        <v>101.63</v>
      </c>
      <c r="AS404" s="2">
        <v>7.9</v>
      </c>
      <c r="AT404" s="2">
        <v>702</v>
      </c>
      <c r="AU404" s="53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6"/>
    </row>
    <row r="405" spans="1:69" ht="13.2">
      <c r="A405" s="8" t="s">
        <v>834</v>
      </c>
      <c r="B405" s="1" t="s">
        <v>835</v>
      </c>
      <c r="C405" s="24" t="str">
        <f>VLOOKUP(B405,Equipe!$A$1:$B$31,2,FALSE)</f>
        <v>Minnesota Timberwolves</v>
      </c>
      <c r="D405" s="2">
        <v>24</v>
      </c>
      <c r="E405" s="2">
        <v>32</v>
      </c>
      <c r="F405" s="2">
        <v>21</v>
      </c>
      <c r="G405" s="2">
        <v>11</v>
      </c>
      <c r="H405" s="2">
        <v>10.6</v>
      </c>
      <c r="I405" s="3">
        <v>138</v>
      </c>
      <c r="J405" s="4">
        <v>54</v>
      </c>
      <c r="K405" s="4">
        <v>115</v>
      </c>
      <c r="L405" s="3">
        <v>48.2</v>
      </c>
      <c r="M405" s="4">
        <v>10</v>
      </c>
      <c r="N405" s="4">
        <v>32</v>
      </c>
      <c r="O405" s="3">
        <v>35.5</v>
      </c>
      <c r="P405" s="3">
        <v>16</v>
      </c>
      <c r="Q405" s="3">
        <v>22</v>
      </c>
      <c r="R405" s="3">
        <v>81</v>
      </c>
      <c r="S405" s="4">
        <v>10</v>
      </c>
      <c r="T405" s="4">
        <v>38</v>
      </c>
      <c r="U405" s="4">
        <v>48</v>
      </c>
      <c r="V405" s="4">
        <v>32</v>
      </c>
      <c r="W405" s="4">
        <v>16</v>
      </c>
      <c r="X405" s="4">
        <v>6</v>
      </c>
      <c r="Y405" s="4">
        <v>6</v>
      </c>
      <c r="Z405" s="4">
        <v>26</v>
      </c>
      <c r="AA405" s="3">
        <v>262</v>
      </c>
      <c r="AB405" s="3">
        <v>1</v>
      </c>
      <c r="AC405" s="3">
        <v>0</v>
      </c>
      <c r="AD405" s="2">
        <v>0.3</v>
      </c>
      <c r="AE405" s="2">
        <v>107.8</v>
      </c>
      <c r="AF405" s="2">
        <v>107</v>
      </c>
      <c r="AG405" s="2">
        <v>0.8</v>
      </c>
      <c r="AH405" s="2">
        <v>13.9</v>
      </c>
      <c r="AI405" s="2">
        <v>2.13</v>
      </c>
      <c r="AJ405" s="2">
        <v>18.8</v>
      </c>
      <c r="AK405" s="2">
        <v>2.9</v>
      </c>
      <c r="AL405" s="2">
        <v>10</v>
      </c>
      <c r="AM405" s="2">
        <v>6.5</v>
      </c>
      <c r="AN405" s="2">
        <v>8.8000000000000007</v>
      </c>
      <c r="AO405" s="2">
        <v>53.1</v>
      </c>
      <c r="AP405" s="2">
        <v>56</v>
      </c>
      <c r="AQ405" s="2">
        <v>16.600000000000001</v>
      </c>
      <c r="AR405" s="2">
        <v>103.77</v>
      </c>
      <c r="AS405" s="2">
        <v>8.1999999999999993</v>
      </c>
      <c r="AT405" s="2">
        <v>735</v>
      </c>
      <c r="AU405" s="53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6"/>
    </row>
    <row r="406" spans="1:69" ht="13.2">
      <c r="A406" s="1" t="s">
        <v>836</v>
      </c>
      <c r="B406" s="1" t="s">
        <v>837</v>
      </c>
      <c r="C406" s="24" t="str">
        <f>VLOOKUP(B406,Equipe!$A$1:$B$31,2,FALSE)</f>
        <v>New Orleans Pelicans</v>
      </c>
      <c r="D406" s="2">
        <v>27</v>
      </c>
      <c r="E406" s="2">
        <v>32</v>
      </c>
      <c r="F406" s="2">
        <v>19</v>
      </c>
      <c r="G406" s="2">
        <v>13</v>
      </c>
      <c r="H406" s="2">
        <v>12.9</v>
      </c>
      <c r="I406" s="3">
        <v>138</v>
      </c>
      <c r="J406" s="4">
        <v>51</v>
      </c>
      <c r="K406" s="4">
        <v>112</v>
      </c>
      <c r="L406" s="3">
        <v>46.4</v>
      </c>
      <c r="M406" s="4">
        <v>16</v>
      </c>
      <c r="N406" s="4">
        <v>54</v>
      </c>
      <c r="O406" s="3">
        <v>27.8</v>
      </c>
      <c r="P406" s="3">
        <v>19</v>
      </c>
      <c r="Q406" s="3">
        <v>26</v>
      </c>
      <c r="R406" s="3">
        <v>70.400000000000006</v>
      </c>
      <c r="S406" s="4">
        <v>32</v>
      </c>
      <c r="T406" s="4">
        <v>112</v>
      </c>
      <c r="U406" s="4">
        <v>144</v>
      </c>
      <c r="V406" s="4">
        <v>19</v>
      </c>
      <c r="W406" s="4">
        <v>19</v>
      </c>
      <c r="X406" s="4">
        <v>10</v>
      </c>
      <c r="Y406" s="4">
        <v>32</v>
      </c>
      <c r="Z406" s="4">
        <v>58</v>
      </c>
      <c r="AA406" s="3">
        <v>438</v>
      </c>
      <c r="AB406" s="3">
        <v>0</v>
      </c>
      <c r="AC406" s="3">
        <v>0</v>
      </c>
      <c r="AD406" s="2">
        <v>-2.2999999999999998</v>
      </c>
      <c r="AE406" s="2">
        <v>103.5</v>
      </c>
      <c r="AF406" s="2">
        <v>112.5</v>
      </c>
      <c r="AG406" s="2">
        <v>-9</v>
      </c>
      <c r="AH406" s="2">
        <v>6.8</v>
      </c>
      <c r="AI406" s="2">
        <v>0.9</v>
      </c>
      <c r="AJ406" s="2">
        <v>11.1</v>
      </c>
      <c r="AK406" s="2">
        <v>7.9</v>
      </c>
      <c r="AL406" s="2">
        <v>26.8</v>
      </c>
      <c r="AM406" s="2">
        <v>17.5</v>
      </c>
      <c r="AN406" s="2">
        <v>12.3</v>
      </c>
      <c r="AO406" s="2">
        <v>53.1</v>
      </c>
      <c r="AP406" s="2">
        <v>55.7</v>
      </c>
      <c r="AQ406" s="2">
        <v>15</v>
      </c>
      <c r="AR406" s="2">
        <v>98.15</v>
      </c>
      <c r="AS406" s="2">
        <v>10</v>
      </c>
      <c r="AT406" s="2">
        <v>846</v>
      </c>
      <c r="AU406" s="53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6"/>
    </row>
    <row r="407" spans="1:69" ht="13.2">
      <c r="A407" s="1" t="s">
        <v>840</v>
      </c>
      <c r="B407" s="1" t="s">
        <v>841</v>
      </c>
      <c r="C407" s="24" t="str">
        <f>VLOOKUP(B407,Equipe!$A$1:$B$31,2,FALSE)</f>
        <v>Philadelphia 76ers</v>
      </c>
      <c r="D407" s="2">
        <v>39</v>
      </c>
      <c r="E407" s="2">
        <v>35</v>
      </c>
      <c r="F407" s="2">
        <v>14</v>
      </c>
      <c r="G407" s="2">
        <v>21</v>
      </c>
      <c r="H407" s="2">
        <v>18.8</v>
      </c>
      <c r="I407" s="3">
        <v>137</v>
      </c>
      <c r="J407" s="4">
        <v>42</v>
      </c>
      <c r="K407" s="4">
        <v>116</v>
      </c>
      <c r="L407" s="3">
        <v>35</v>
      </c>
      <c r="M407" s="4">
        <v>28</v>
      </c>
      <c r="N407" s="4">
        <v>88</v>
      </c>
      <c r="O407" s="3">
        <v>33</v>
      </c>
      <c r="P407" s="3">
        <v>28</v>
      </c>
      <c r="Q407" s="3">
        <v>32</v>
      </c>
      <c r="R407" s="3">
        <v>81.8</v>
      </c>
      <c r="S407" s="4">
        <v>11</v>
      </c>
      <c r="T407" s="4">
        <v>56</v>
      </c>
      <c r="U407" s="4">
        <v>67</v>
      </c>
      <c r="V407" s="4">
        <v>95</v>
      </c>
      <c r="W407" s="4">
        <v>21</v>
      </c>
      <c r="X407" s="4">
        <v>32</v>
      </c>
      <c r="Y407" s="4">
        <v>11</v>
      </c>
      <c r="Z407" s="4">
        <v>63</v>
      </c>
      <c r="AA407" s="3">
        <v>473</v>
      </c>
      <c r="AB407" s="3">
        <v>0</v>
      </c>
      <c r="AC407" s="3">
        <v>0</v>
      </c>
      <c r="AD407" s="2">
        <v>-2</v>
      </c>
      <c r="AE407" s="2">
        <v>103.8</v>
      </c>
      <c r="AF407" s="2">
        <v>109.6</v>
      </c>
      <c r="AG407" s="2">
        <v>-5.8</v>
      </c>
      <c r="AH407" s="2">
        <v>20.6</v>
      </c>
      <c r="AI407" s="2">
        <v>4.57</v>
      </c>
      <c r="AJ407" s="2">
        <v>38.4</v>
      </c>
      <c r="AK407" s="2">
        <v>1.6</v>
      </c>
      <c r="AL407" s="2">
        <v>8.6</v>
      </c>
      <c r="AM407" s="2">
        <v>5</v>
      </c>
      <c r="AN407" s="2">
        <v>8.4</v>
      </c>
      <c r="AO407" s="2">
        <v>47.4</v>
      </c>
      <c r="AP407" s="2">
        <v>52.5</v>
      </c>
      <c r="AQ407" s="2">
        <v>10</v>
      </c>
      <c r="AR407" s="2">
        <v>99.28</v>
      </c>
      <c r="AS407" s="2">
        <v>6.7</v>
      </c>
      <c r="AT407" s="2">
        <v>1368</v>
      </c>
      <c r="AU407" s="53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6"/>
    </row>
    <row r="408" spans="1:69" ht="13.2">
      <c r="A408" s="1" t="s">
        <v>842</v>
      </c>
      <c r="B408" s="1" t="s">
        <v>843</v>
      </c>
      <c r="C408" s="24" t="str">
        <f>VLOOKUP(B408,Equipe!$A$1:$B$31,2,FALSE)</f>
        <v>Sacramento Kings</v>
      </c>
      <c r="D408" s="2">
        <v>23</v>
      </c>
      <c r="E408" s="2">
        <v>36</v>
      </c>
      <c r="F408" s="2">
        <v>18</v>
      </c>
      <c r="G408" s="2">
        <v>18</v>
      </c>
      <c r="H408" s="2">
        <v>11</v>
      </c>
      <c r="I408" s="3">
        <v>137</v>
      </c>
      <c r="J408" s="4">
        <v>47</v>
      </c>
      <c r="K408" s="4">
        <v>126</v>
      </c>
      <c r="L408" s="3">
        <v>37</v>
      </c>
      <c r="M408" s="4">
        <v>18</v>
      </c>
      <c r="N408" s="4">
        <v>61</v>
      </c>
      <c r="O408" s="3">
        <v>29.5</v>
      </c>
      <c r="P408" s="3">
        <v>25</v>
      </c>
      <c r="Q408" s="3">
        <v>43</v>
      </c>
      <c r="R408" s="3">
        <v>59.1</v>
      </c>
      <c r="S408" s="4">
        <v>18</v>
      </c>
      <c r="T408" s="4">
        <v>58</v>
      </c>
      <c r="U408" s="4">
        <v>76</v>
      </c>
      <c r="V408" s="4">
        <v>40</v>
      </c>
      <c r="W408" s="4">
        <v>18</v>
      </c>
      <c r="X408" s="4">
        <v>22</v>
      </c>
      <c r="Y408" s="4">
        <v>4</v>
      </c>
      <c r="Z408" s="4">
        <v>40</v>
      </c>
      <c r="AA408" s="3">
        <v>349</v>
      </c>
      <c r="AB408" s="3">
        <v>0</v>
      </c>
      <c r="AC408" s="3">
        <v>0</v>
      </c>
      <c r="AD408" s="2">
        <v>1.2</v>
      </c>
      <c r="AE408" s="2">
        <v>113.1</v>
      </c>
      <c r="AF408" s="2">
        <v>109.3</v>
      </c>
      <c r="AG408" s="2">
        <v>3.9</v>
      </c>
      <c r="AH408" s="2">
        <v>13.9</v>
      </c>
      <c r="AI408" s="2">
        <v>2.2799999999999998</v>
      </c>
      <c r="AJ408" s="2">
        <v>19.899999999999999</v>
      </c>
      <c r="AK408" s="2">
        <v>4.4000000000000004</v>
      </c>
      <c r="AL408" s="2">
        <v>14.7</v>
      </c>
      <c r="AM408" s="2">
        <v>9.3000000000000007</v>
      </c>
      <c r="AN408" s="2">
        <v>8.6999999999999993</v>
      </c>
      <c r="AO408" s="2">
        <v>44.1</v>
      </c>
      <c r="AP408" s="2">
        <v>47.1</v>
      </c>
      <c r="AQ408" s="2">
        <v>16.899999999999999</v>
      </c>
      <c r="AR408" s="2">
        <v>100.14</v>
      </c>
      <c r="AS408" s="2">
        <v>7</v>
      </c>
      <c r="AT408" s="2">
        <v>831</v>
      </c>
      <c r="AU408" s="53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6"/>
    </row>
    <row r="409" spans="1:69" ht="13.2">
      <c r="A409" s="1" t="s">
        <v>838</v>
      </c>
      <c r="B409" s="1" t="s">
        <v>839</v>
      </c>
      <c r="C409" s="24" t="str">
        <f>VLOOKUP(B409,Equipe!$A$1:$B$31,2,FALSE)</f>
        <v>Minnesota Timberwolves</v>
      </c>
      <c r="D409" s="2">
        <v>26</v>
      </c>
      <c r="E409" s="2">
        <v>39</v>
      </c>
      <c r="F409" s="2">
        <v>28</v>
      </c>
      <c r="G409" s="2">
        <v>11</v>
      </c>
      <c r="H409" s="2">
        <v>5.6</v>
      </c>
      <c r="I409" s="3">
        <v>137</v>
      </c>
      <c r="J409" s="4">
        <v>51</v>
      </c>
      <c r="K409" s="4">
        <v>105</v>
      </c>
      <c r="L409" s="3">
        <v>49.5</v>
      </c>
      <c r="M409" s="4">
        <v>12</v>
      </c>
      <c r="N409" s="4">
        <v>35</v>
      </c>
      <c r="O409" s="3">
        <v>27.8</v>
      </c>
      <c r="P409" s="3">
        <v>23</v>
      </c>
      <c r="Q409" s="3">
        <v>35</v>
      </c>
      <c r="R409" s="3">
        <v>68.599999999999994</v>
      </c>
      <c r="S409" s="4">
        <v>31</v>
      </c>
      <c r="T409" s="4">
        <v>23</v>
      </c>
      <c r="U409" s="4">
        <v>55</v>
      </c>
      <c r="V409" s="4">
        <v>12</v>
      </c>
      <c r="W409" s="4">
        <v>12</v>
      </c>
      <c r="X409" s="4">
        <v>8</v>
      </c>
      <c r="Y409" s="4">
        <v>4</v>
      </c>
      <c r="Z409" s="4">
        <v>27</v>
      </c>
      <c r="AA409" s="3">
        <v>234</v>
      </c>
      <c r="AB409" s="3">
        <v>0</v>
      </c>
      <c r="AC409" s="3">
        <v>0</v>
      </c>
      <c r="AD409" s="2">
        <v>0</v>
      </c>
      <c r="AE409" s="2">
        <v>107.9</v>
      </c>
      <c r="AF409" s="2">
        <v>107.5</v>
      </c>
      <c r="AG409" s="2">
        <v>0.4</v>
      </c>
      <c r="AH409" s="2">
        <v>8.1999999999999993</v>
      </c>
      <c r="AI409" s="2">
        <v>0.92</v>
      </c>
      <c r="AJ409" s="2">
        <v>7.6</v>
      </c>
      <c r="AK409" s="2">
        <v>13.8</v>
      </c>
      <c r="AL409" s="2">
        <v>10.3</v>
      </c>
      <c r="AM409" s="2">
        <v>12.1</v>
      </c>
      <c r="AN409" s="2">
        <v>8.3000000000000007</v>
      </c>
      <c r="AO409" s="2">
        <v>54.3</v>
      </c>
      <c r="AP409" s="2">
        <v>57.3</v>
      </c>
      <c r="AQ409" s="2">
        <v>24.1</v>
      </c>
      <c r="AR409" s="2">
        <v>105.17</v>
      </c>
      <c r="AS409" s="2">
        <v>10.1</v>
      </c>
      <c r="AT409" s="2">
        <v>480</v>
      </c>
      <c r="AU409" s="53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6"/>
    </row>
    <row r="410" spans="1:69" ht="13.2">
      <c r="A410" s="1" t="s">
        <v>846</v>
      </c>
      <c r="B410" s="1" t="s">
        <v>847</v>
      </c>
      <c r="C410" s="24" t="str">
        <f>VLOOKUP(B410,Equipe!$A$1:$B$31,2,FALSE)</f>
        <v>Philadelphia 76ers</v>
      </c>
      <c r="D410" s="2">
        <v>35</v>
      </c>
      <c r="E410" s="2">
        <v>31</v>
      </c>
      <c r="F410" s="2">
        <v>11</v>
      </c>
      <c r="G410" s="2">
        <v>20</v>
      </c>
      <c r="H410" s="2">
        <v>12.4</v>
      </c>
      <c r="I410" s="3">
        <v>136</v>
      </c>
      <c r="J410" s="4">
        <v>53</v>
      </c>
      <c r="K410" s="4">
        <v>133</v>
      </c>
      <c r="L410" s="3">
        <v>39.1</v>
      </c>
      <c r="M410" s="4">
        <v>25</v>
      </c>
      <c r="N410" s="4">
        <v>74</v>
      </c>
      <c r="O410" s="3">
        <v>33.799999999999997</v>
      </c>
      <c r="P410" s="3">
        <v>6</v>
      </c>
      <c r="Q410" s="3">
        <v>9</v>
      </c>
      <c r="R410" s="3">
        <v>77.8</v>
      </c>
      <c r="S410" s="4">
        <v>9</v>
      </c>
      <c r="T410" s="4">
        <v>34</v>
      </c>
      <c r="U410" s="4">
        <v>43</v>
      </c>
      <c r="V410" s="4">
        <v>47</v>
      </c>
      <c r="W410" s="4">
        <v>16</v>
      </c>
      <c r="X410" s="4">
        <v>16</v>
      </c>
      <c r="Y410" s="4">
        <v>3</v>
      </c>
      <c r="Z410" s="4">
        <v>34</v>
      </c>
      <c r="AA410" s="3">
        <v>295</v>
      </c>
      <c r="AB410" s="3">
        <v>0</v>
      </c>
      <c r="AC410" s="3">
        <v>0</v>
      </c>
      <c r="AD410" s="2">
        <v>-0.6</v>
      </c>
      <c r="AE410" s="2">
        <v>108.3</v>
      </c>
      <c r="AF410" s="2">
        <v>111.8</v>
      </c>
      <c r="AG410" s="2">
        <v>-3.5</v>
      </c>
      <c r="AH410" s="2">
        <v>17.2</v>
      </c>
      <c r="AI410" s="2">
        <v>2.65</v>
      </c>
      <c r="AJ410" s="2">
        <v>22.6</v>
      </c>
      <c r="AK410" s="2">
        <v>2</v>
      </c>
      <c r="AL410" s="2">
        <v>9.3000000000000007</v>
      </c>
      <c r="AM410" s="2">
        <v>5.5</v>
      </c>
      <c r="AN410" s="2">
        <v>8.5</v>
      </c>
      <c r="AO410" s="2">
        <v>48.5</v>
      </c>
      <c r="AP410" s="2">
        <v>49.6</v>
      </c>
      <c r="AQ410" s="2">
        <v>17</v>
      </c>
      <c r="AR410" s="2">
        <v>98.88</v>
      </c>
      <c r="AS410" s="2">
        <v>6.7</v>
      </c>
      <c r="AT410" s="2">
        <v>795</v>
      </c>
      <c r="AU410" s="53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6"/>
    </row>
    <row r="411" spans="1:69" ht="13.2">
      <c r="A411" s="1" t="s">
        <v>844</v>
      </c>
      <c r="B411" s="1" t="s">
        <v>845</v>
      </c>
      <c r="C411" s="24" t="str">
        <f>VLOOKUP(B411,Equipe!$A$1:$B$31,2,FALSE)</f>
        <v>Memphis Grizzlies</v>
      </c>
      <c r="D411" s="2">
        <v>26</v>
      </c>
      <c r="E411" s="2">
        <v>31</v>
      </c>
      <c r="F411" s="2">
        <v>7</v>
      </c>
      <c r="G411" s="2">
        <v>24</v>
      </c>
      <c r="H411" s="2">
        <v>8.6</v>
      </c>
      <c r="I411" s="3">
        <v>136</v>
      </c>
      <c r="J411" s="4">
        <v>56</v>
      </c>
      <c r="K411" s="4">
        <v>105</v>
      </c>
      <c r="L411" s="3">
        <v>51.9</v>
      </c>
      <c r="M411" s="4">
        <v>3</v>
      </c>
      <c r="N411" s="4">
        <v>19</v>
      </c>
      <c r="O411" s="3">
        <v>15.8</v>
      </c>
      <c r="P411" s="3">
        <v>22</v>
      </c>
      <c r="Q411" s="3">
        <v>34</v>
      </c>
      <c r="R411" s="3">
        <v>65.7</v>
      </c>
      <c r="S411" s="4">
        <v>37</v>
      </c>
      <c r="T411" s="4">
        <v>47</v>
      </c>
      <c r="U411" s="4">
        <v>84</v>
      </c>
      <c r="V411" s="4">
        <v>12</v>
      </c>
      <c r="W411" s="4">
        <v>12</v>
      </c>
      <c r="X411" s="4">
        <v>9</v>
      </c>
      <c r="Y411" s="4">
        <v>9</v>
      </c>
      <c r="Z411" s="4">
        <v>19</v>
      </c>
      <c r="AA411" s="3">
        <v>291</v>
      </c>
      <c r="AB411" s="3">
        <v>1</v>
      </c>
      <c r="AC411" s="3">
        <v>0</v>
      </c>
      <c r="AD411" s="2">
        <v>-0.3</v>
      </c>
      <c r="AE411" s="2">
        <v>108.2</v>
      </c>
      <c r="AF411" s="2">
        <v>108.8</v>
      </c>
      <c r="AG411" s="2">
        <v>-0.6</v>
      </c>
      <c r="AH411" s="2">
        <v>6.3</v>
      </c>
      <c r="AI411" s="2">
        <v>0.92</v>
      </c>
      <c r="AJ411" s="2">
        <v>7.6</v>
      </c>
      <c r="AK411" s="2">
        <v>12.8</v>
      </c>
      <c r="AL411" s="2">
        <v>15.9</v>
      </c>
      <c r="AM411" s="2">
        <v>14.3</v>
      </c>
      <c r="AN411" s="2">
        <v>8.3000000000000007</v>
      </c>
      <c r="AO411" s="2">
        <v>53.3</v>
      </c>
      <c r="AP411" s="2">
        <v>56</v>
      </c>
      <c r="AQ411" s="2">
        <v>20</v>
      </c>
      <c r="AR411" s="2">
        <v>103.88</v>
      </c>
      <c r="AS411" s="2">
        <v>12.3</v>
      </c>
      <c r="AT411" s="2">
        <v>571</v>
      </c>
      <c r="AU411" s="53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6"/>
    </row>
    <row r="412" spans="1:69" ht="13.2">
      <c r="A412" s="1" t="s">
        <v>848</v>
      </c>
      <c r="B412" s="1" t="s">
        <v>849</v>
      </c>
      <c r="C412" s="24" t="str">
        <f>VLOOKUP(B412,Equipe!$A$1:$B$31,2,FALSE)</f>
        <v>Sacramento Kings</v>
      </c>
      <c r="D412" s="2">
        <v>24</v>
      </c>
      <c r="E412" s="2">
        <v>40</v>
      </c>
      <c r="F412" s="2">
        <v>19</v>
      </c>
      <c r="G412" s="2">
        <v>21</v>
      </c>
      <c r="H412" s="2">
        <v>7.6</v>
      </c>
      <c r="I412" s="3">
        <v>136</v>
      </c>
      <c r="J412" s="4">
        <v>56</v>
      </c>
      <c r="K412" s="4">
        <v>84</v>
      </c>
      <c r="L412" s="3">
        <v>65.099999999999994</v>
      </c>
      <c r="M412" s="4">
        <v>4</v>
      </c>
      <c r="N412" s="4">
        <v>8</v>
      </c>
      <c r="O412" s="3">
        <v>37.5</v>
      </c>
      <c r="P412" s="3">
        <v>24</v>
      </c>
      <c r="Q412" s="3">
        <v>36</v>
      </c>
      <c r="R412" s="3">
        <v>63.9</v>
      </c>
      <c r="S412" s="4">
        <v>24</v>
      </c>
      <c r="T412" s="4">
        <v>36</v>
      </c>
      <c r="U412" s="4">
        <v>56</v>
      </c>
      <c r="V412" s="4">
        <v>12</v>
      </c>
      <c r="W412" s="4">
        <v>16</v>
      </c>
      <c r="X412" s="4">
        <v>4</v>
      </c>
      <c r="Y412" s="4">
        <v>12</v>
      </c>
      <c r="Z412" s="4">
        <v>32</v>
      </c>
      <c r="AA412" s="3">
        <v>248</v>
      </c>
      <c r="AB412" s="3">
        <v>0</v>
      </c>
      <c r="AC412" s="3">
        <v>0</v>
      </c>
      <c r="AD412" s="2">
        <v>-1.6</v>
      </c>
      <c r="AE412" s="2">
        <v>104.6</v>
      </c>
      <c r="AF412" s="2">
        <v>115.1</v>
      </c>
      <c r="AG412" s="2">
        <v>-10.5</v>
      </c>
      <c r="AH412" s="2">
        <v>5.7</v>
      </c>
      <c r="AI412" s="2">
        <v>0.75</v>
      </c>
      <c r="AJ412" s="2">
        <v>9.5</v>
      </c>
      <c r="AK412" s="2">
        <v>7.1</v>
      </c>
      <c r="AL412" s="2">
        <v>12</v>
      </c>
      <c r="AM412" s="2">
        <v>9.5</v>
      </c>
      <c r="AN412" s="2">
        <v>12.7</v>
      </c>
      <c r="AO412" s="2">
        <v>66.900000000000006</v>
      </c>
      <c r="AP412" s="2">
        <v>67.8</v>
      </c>
      <c r="AQ412" s="2">
        <v>15.2</v>
      </c>
      <c r="AR412" s="2">
        <v>102.68</v>
      </c>
      <c r="AS412" s="2">
        <v>8.6999999999999993</v>
      </c>
      <c r="AT412" s="2">
        <v>652</v>
      </c>
      <c r="AU412" s="53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6"/>
    </row>
    <row r="413" spans="1:69" ht="13.2">
      <c r="A413" s="1" t="s">
        <v>850</v>
      </c>
      <c r="B413" s="1" t="s">
        <v>851</v>
      </c>
      <c r="C413" s="24" t="str">
        <f>VLOOKUP(B413,Equipe!$A$1:$B$31,2,FALSE)</f>
        <v>Oklahoma City Thunder</v>
      </c>
      <c r="D413" s="2">
        <v>23</v>
      </c>
      <c r="E413" s="2">
        <v>54</v>
      </c>
      <c r="F413" s="2">
        <v>45</v>
      </c>
      <c r="G413" s="2">
        <v>9</v>
      </c>
      <c r="H413" s="2">
        <v>10.199999999999999</v>
      </c>
      <c r="I413" s="3">
        <v>135</v>
      </c>
      <c r="J413" s="4">
        <v>49</v>
      </c>
      <c r="K413" s="4">
        <v>135</v>
      </c>
      <c r="L413" s="3">
        <v>38.299999999999997</v>
      </c>
      <c r="M413" s="4">
        <v>16</v>
      </c>
      <c r="N413" s="4">
        <v>65</v>
      </c>
      <c r="O413" s="3">
        <v>25.4</v>
      </c>
      <c r="P413" s="3">
        <v>16</v>
      </c>
      <c r="Q413" s="3">
        <v>27</v>
      </c>
      <c r="R413" s="3">
        <v>60.7</v>
      </c>
      <c r="S413" s="4">
        <v>32</v>
      </c>
      <c r="T413" s="4">
        <v>92</v>
      </c>
      <c r="U413" s="4">
        <v>119</v>
      </c>
      <c r="V413" s="4">
        <v>59</v>
      </c>
      <c r="W413" s="4">
        <v>27</v>
      </c>
      <c r="X413" s="4">
        <v>16</v>
      </c>
      <c r="Y413" s="4">
        <v>5</v>
      </c>
      <c r="Z413" s="4">
        <v>54</v>
      </c>
      <c r="AA413" s="3">
        <v>400</v>
      </c>
      <c r="AB413" s="3">
        <v>1</v>
      </c>
      <c r="AC413" s="3">
        <v>0</v>
      </c>
      <c r="AD413" s="2">
        <v>1.4</v>
      </c>
      <c r="AE413" s="2">
        <v>108.9</v>
      </c>
      <c r="AF413" s="2">
        <v>102.9</v>
      </c>
      <c r="AG413" s="2">
        <v>6</v>
      </c>
      <c r="AH413" s="2">
        <v>14.3</v>
      </c>
      <c r="AI413" s="2">
        <v>2.0699999999999998</v>
      </c>
      <c r="AJ413" s="2">
        <v>25</v>
      </c>
      <c r="AK413" s="2">
        <v>5</v>
      </c>
      <c r="AL413" s="2">
        <v>15.3</v>
      </c>
      <c r="AM413" s="2">
        <v>10.199999999999999</v>
      </c>
      <c r="AN413" s="2">
        <v>12.1</v>
      </c>
      <c r="AO413" s="2">
        <v>44.4</v>
      </c>
      <c r="AP413" s="2">
        <v>46.4</v>
      </c>
      <c r="AQ413" s="2">
        <v>13.1</v>
      </c>
      <c r="AR413" s="2">
        <v>101.09</v>
      </c>
      <c r="AS413" s="2">
        <v>6.6</v>
      </c>
      <c r="AT413" s="2">
        <v>1164</v>
      </c>
      <c r="AU413" s="53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6"/>
    </row>
    <row r="414" spans="1:69" ht="13.2">
      <c r="A414" s="1" t="s">
        <v>852</v>
      </c>
      <c r="B414" s="1" t="s">
        <v>853</v>
      </c>
      <c r="C414" s="24" t="str">
        <f>VLOOKUP(B414,Equipe!$A$1:$B$31,2,FALSE)</f>
        <v>Denver Nuggets</v>
      </c>
      <c r="D414" s="2">
        <v>24</v>
      </c>
      <c r="E414" s="2">
        <v>51</v>
      </c>
      <c r="F414" s="2">
        <v>30</v>
      </c>
      <c r="G414" s="2">
        <v>21</v>
      </c>
      <c r="H414" s="2">
        <v>7.8</v>
      </c>
      <c r="I414" s="3">
        <v>133</v>
      </c>
      <c r="J414" s="4">
        <v>46</v>
      </c>
      <c r="K414" s="4">
        <v>122</v>
      </c>
      <c r="L414" s="3">
        <v>37.5</v>
      </c>
      <c r="M414" s="4">
        <v>26</v>
      </c>
      <c r="N414" s="4">
        <v>77</v>
      </c>
      <c r="O414" s="3">
        <v>31.1</v>
      </c>
      <c r="P414" s="3">
        <v>20</v>
      </c>
      <c r="Q414" s="3">
        <v>26</v>
      </c>
      <c r="R414" s="3">
        <v>75</v>
      </c>
      <c r="S414" s="4">
        <v>26</v>
      </c>
      <c r="T414" s="4">
        <v>51</v>
      </c>
      <c r="U414" s="4">
        <v>77</v>
      </c>
      <c r="V414" s="4">
        <v>20</v>
      </c>
      <c r="W414" s="4">
        <v>15</v>
      </c>
      <c r="X414" s="4">
        <v>10</v>
      </c>
      <c r="Y414" s="4">
        <v>5</v>
      </c>
      <c r="Z414" s="4">
        <v>46</v>
      </c>
      <c r="AA414" s="3">
        <v>291</v>
      </c>
      <c r="AB414" s="3">
        <v>0</v>
      </c>
      <c r="AC414" s="3">
        <v>0</v>
      </c>
      <c r="AD414" s="2">
        <v>-1.9</v>
      </c>
      <c r="AE414" s="2">
        <v>98.5</v>
      </c>
      <c r="AF414" s="2">
        <v>108.7</v>
      </c>
      <c r="AG414" s="2">
        <v>-10.199999999999999</v>
      </c>
      <c r="AH414" s="2">
        <v>7.4</v>
      </c>
      <c r="AI414" s="2">
        <v>1.43</v>
      </c>
      <c r="AJ414" s="2">
        <v>12</v>
      </c>
      <c r="AK414" s="2">
        <v>5.5</v>
      </c>
      <c r="AL414" s="2">
        <v>12.4</v>
      </c>
      <c r="AM414" s="2">
        <v>8.8000000000000007</v>
      </c>
      <c r="AN414" s="2">
        <v>8.4</v>
      </c>
      <c r="AO414" s="2">
        <v>47.1</v>
      </c>
      <c r="AP414" s="2">
        <v>50.6</v>
      </c>
      <c r="AQ414" s="2">
        <v>14.6</v>
      </c>
      <c r="AR414" s="2">
        <v>104.6</v>
      </c>
      <c r="AS414" s="2">
        <v>5.7</v>
      </c>
      <c r="AT414" s="2">
        <v>867</v>
      </c>
      <c r="AU414" s="53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6"/>
    </row>
    <row r="415" spans="1:69" ht="13.2">
      <c r="A415" s="1" t="s">
        <v>854</v>
      </c>
      <c r="B415" s="1" t="s">
        <v>855</v>
      </c>
      <c r="C415" s="24" t="str">
        <f>VLOOKUP(B415,Equipe!$A$1:$B$31,2,FALSE)</f>
        <v>Washington Wizards</v>
      </c>
      <c r="D415" s="2">
        <v>32</v>
      </c>
      <c r="E415" s="2">
        <v>51</v>
      </c>
      <c r="F415" s="2">
        <v>7</v>
      </c>
      <c r="G415" s="2">
        <v>44</v>
      </c>
      <c r="H415" s="2">
        <v>7.8</v>
      </c>
      <c r="I415" s="3">
        <v>128</v>
      </c>
      <c r="J415" s="4">
        <v>41</v>
      </c>
      <c r="K415" s="4">
        <v>87</v>
      </c>
      <c r="L415" s="3">
        <v>48.9</v>
      </c>
      <c r="M415" s="4">
        <v>10</v>
      </c>
      <c r="N415" s="4">
        <v>31</v>
      </c>
      <c r="O415" s="3">
        <v>32.299999999999997</v>
      </c>
      <c r="P415" s="3">
        <v>31</v>
      </c>
      <c r="Q415" s="3">
        <v>51</v>
      </c>
      <c r="R415" s="3">
        <v>66</v>
      </c>
      <c r="S415" s="4">
        <v>20</v>
      </c>
      <c r="T415" s="4">
        <v>46</v>
      </c>
      <c r="U415" s="4">
        <v>66</v>
      </c>
      <c r="V415" s="4">
        <v>15</v>
      </c>
      <c r="W415" s="4">
        <v>10</v>
      </c>
      <c r="X415" s="4">
        <v>10</v>
      </c>
      <c r="Y415" s="3">
        <v>0</v>
      </c>
      <c r="Z415" s="4">
        <v>31</v>
      </c>
      <c r="AA415" s="3">
        <v>255</v>
      </c>
      <c r="AB415" s="3">
        <v>0</v>
      </c>
      <c r="AC415" s="3">
        <v>0</v>
      </c>
      <c r="AD415" s="2">
        <v>-1.4</v>
      </c>
      <c r="AE415" s="2">
        <v>101.9</v>
      </c>
      <c r="AF415" s="2">
        <v>109.7</v>
      </c>
      <c r="AG415" s="2">
        <v>-7.8</v>
      </c>
      <c r="AH415" s="2">
        <v>5.9</v>
      </c>
      <c r="AI415" s="2">
        <v>1.6</v>
      </c>
      <c r="AJ415" s="2">
        <v>11.9</v>
      </c>
      <c r="AK415" s="2">
        <v>4.2</v>
      </c>
      <c r="AL415" s="2">
        <v>11.1</v>
      </c>
      <c r="AM415" s="2">
        <v>7.7</v>
      </c>
      <c r="AN415" s="2">
        <v>7.4</v>
      </c>
      <c r="AO415" s="2">
        <v>54.5</v>
      </c>
      <c r="AP415" s="2">
        <v>58.6</v>
      </c>
      <c r="AQ415" s="2">
        <v>12.4</v>
      </c>
      <c r="AR415" s="2">
        <v>101.23</v>
      </c>
      <c r="AS415" s="2">
        <v>7.1</v>
      </c>
      <c r="AT415" s="2">
        <v>835</v>
      </c>
      <c r="AU415" s="53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6"/>
    </row>
    <row r="416" spans="1:69" ht="13.2">
      <c r="A416" s="1" t="s">
        <v>856</v>
      </c>
      <c r="B416" s="1" t="s">
        <v>857</v>
      </c>
      <c r="C416" s="24" t="str">
        <f>VLOOKUP(B416,Equipe!$A$1:$B$31,2,FALSE)</f>
        <v>New York Knicks</v>
      </c>
      <c r="D416" s="2">
        <v>33</v>
      </c>
      <c r="E416" s="2">
        <v>40</v>
      </c>
      <c r="F416" s="2">
        <v>22</v>
      </c>
      <c r="G416" s="2">
        <v>18</v>
      </c>
      <c r="H416" s="2">
        <v>15.9</v>
      </c>
      <c r="I416" s="3">
        <v>124</v>
      </c>
      <c r="J416" s="4">
        <v>44</v>
      </c>
      <c r="K416" s="4">
        <v>132</v>
      </c>
      <c r="L416" s="3">
        <v>34.4</v>
      </c>
      <c r="M416" s="4">
        <v>20</v>
      </c>
      <c r="N416" s="4">
        <v>72</v>
      </c>
      <c r="O416" s="3">
        <v>27.4</v>
      </c>
      <c r="P416" s="3">
        <v>16</v>
      </c>
      <c r="Q416" s="3">
        <v>24</v>
      </c>
      <c r="R416" s="3">
        <v>60</v>
      </c>
      <c r="S416" s="4">
        <v>28</v>
      </c>
      <c r="T416" s="4">
        <v>40</v>
      </c>
      <c r="U416" s="4">
        <v>68</v>
      </c>
      <c r="V416" s="4">
        <v>76</v>
      </c>
      <c r="W416" s="4">
        <v>24</v>
      </c>
      <c r="X416" s="4">
        <v>36</v>
      </c>
      <c r="Y416" s="4">
        <v>12</v>
      </c>
      <c r="Z416" s="4">
        <v>24</v>
      </c>
      <c r="AA416" s="3">
        <v>440</v>
      </c>
      <c r="AB416" s="3">
        <v>0</v>
      </c>
      <c r="AC416" s="3">
        <v>0</v>
      </c>
      <c r="AD416" s="2">
        <v>0</v>
      </c>
      <c r="AE416" s="2">
        <v>106.1</v>
      </c>
      <c r="AF416" s="2">
        <v>106.3</v>
      </c>
      <c r="AG416" s="2">
        <v>-0.2</v>
      </c>
      <c r="AH416" s="2">
        <v>16.2</v>
      </c>
      <c r="AI416" s="2">
        <v>3.5</v>
      </c>
      <c r="AJ416" s="2">
        <v>31.8</v>
      </c>
      <c r="AK416" s="2">
        <v>4.2</v>
      </c>
      <c r="AL416" s="2">
        <v>6.1</v>
      </c>
      <c r="AM416" s="2">
        <v>5.0999999999999996</v>
      </c>
      <c r="AN416" s="2">
        <v>9.1</v>
      </c>
      <c r="AO416" s="2">
        <v>42</v>
      </c>
      <c r="AP416" s="2">
        <v>44</v>
      </c>
      <c r="AQ416" s="2">
        <v>11.1</v>
      </c>
      <c r="AR416" s="2">
        <v>98.84</v>
      </c>
      <c r="AS416" s="2">
        <v>6.1</v>
      </c>
      <c r="AT416" s="2">
        <v>1308</v>
      </c>
      <c r="AU416" s="53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6"/>
    </row>
    <row r="417" spans="1:69" ht="13.2">
      <c r="A417" s="1" t="s">
        <v>862</v>
      </c>
      <c r="B417" s="1" t="s">
        <v>863</v>
      </c>
      <c r="C417" s="24" t="str">
        <f>VLOOKUP(B417,Equipe!$A$1:$B$31,2,FALSE)</f>
        <v>Toronto Raptors</v>
      </c>
      <c r="D417" s="2">
        <v>25</v>
      </c>
      <c r="E417" s="2">
        <v>26</v>
      </c>
      <c r="F417" s="2">
        <v>15</v>
      </c>
      <c r="G417" s="2">
        <v>11</v>
      </c>
      <c r="H417" s="2">
        <v>16.600000000000001</v>
      </c>
      <c r="I417" s="3">
        <v>122</v>
      </c>
      <c r="J417" s="4">
        <v>47</v>
      </c>
      <c r="K417" s="4">
        <v>99</v>
      </c>
      <c r="L417" s="3">
        <v>46.9</v>
      </c>
      <c r="M417" s="4">
        <v>3</v>
      </c>
      <c r="N417" s="4">
        <v>16</v>
      </c>
      <c r="O417" s="3">
        <v>12.5</v>
      </c>
      <c r="P417" s="3">
        <v>29</v>
      </c>
      <c r="Q417" s="3">
        <v>39</v>
      </c>
      <c r="R417" s="3">
        <v>76.3</v>
      </c>
      <c r="S417" s="4">
        <v>52</v>
      </c>
      <c r="T417" s="4">
        <v>70</v>
      </c>
      <c r="U417" s="4">
        <v>122</v>
      </c>
      <c r="V417" s="4">
        <v>29</v>
      </c>
      <c r="W417" s="4">
        <v>23</v>
      </c>
      <c r="X417" s="4">
        <v>8</v>
      </c>
      <c r="Y417" s="4">
        <v>10</v>
      </c>
      <c r="Z417" s="4">
        <v>52</v>
      </c>
      <c r="AA417" s="3">
        <v>343</v>
      </c>
      <c r="AB417" s="3">
        <v>0</v>
      </c>
      <c r="AC417" s="3">
        <v>0</v>
      </c>
      <c r="AD417" s="2">
        <v>-1.2</v>
      </c>
      <c r="AE417" s="2">
        <v>106.1</v>
      </c>
      <c r="AF417" s="2">
        <v>108.2</v>
      </c>
      <c r="AG417" s="2">
        <v>-2.1</v>
      </c>
      <c r="AH417" s="2">
        <v>9.1999999999999993</v>
      </c>
      <c r="AI417" s="2">
        <v>1.22</v>
      </c>
      <c r="AJ417" s="2">
        <v>16.899999999999999</v>
      </c>
      <c r="AK417" s="2">
        <v>10.4</v>
      </c>
      <c r="AL417" s="2">
        <v>14.3</v>
      </c>
      <c r="AM417" s="2">
        <v>12.3</v>
      </c>
      <c r="AN417" s="2">
        <v>13.9</v>
      </c>
      <c r="AO417" s="2">
        <v>48</v>
      </c>
      <c r="AP417" s="2">
        <v>53.6</v>
      </c>
      <c r="AQ417" s="2">
        <v>12.5</v>
      </c>
      <c r="AR417" s="2">
        <v>102.22</v>
      </c>
      <c r="AS417" s="2">
        <v>7.4</v>
      </c>
      <c r="AT417" s="2">
        <v>915</v>
      </c>
      <c r="AU417" s="53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6"/>
    </row>
    <row r="418" spans="1:69" ht="13.2">
      <c r="A418" s="1" t="s">
        <v>858</v>
      </c>
      <c r="B418" s="1" t="s">
        <v>859</v>
      </c>
      <c r="C418" s="24" t="str">
        <f>VLOOKUP(B418,Equipe!$A$1:$B$31,2,FALSE)</f>
        <v>Miami Heat</v>
      </c>
      <c r="D418" s="2">
        <v>36</v>
      </c>
      <c r="E418" s="2">
        <v>23</v>
      </c>
      <c r="F418" s="2">
        <v>13</v>
      </c>
      <c r="G418" s="2">
        <v>10</v>
      </c>
      <c r="H418" s="2">
        <v>10.9</v>
      </c>
      <c r="I418" s="3">
        <v>122</v>
      </c>
      <c r="J418" s="4">
        <v>41</v>
      </c>
      <c r="K418" s="4">
        <v>115</v>
      </c>
      <c r="L418" s="3">
        <v>35.700000000000003</v>
      </c>
      <c r="M418" s="4">
        <v>23</v>
      </c>
      <c r="N418" s="4">
        <v>67</v>
      </c>
      <c r="O418" s="3">
        <v>35.799999999999997</v>
      </c>
      <c r="P418" s="3">
        <v>16</v>
      </c>
      <c r="Q418" s="3">
        <v>23</v>
      </c>
      <c r="R418" s="3">
        <v>69.599999999999994</v>
      </c>
      <c r="S418" s="4">
        <v>23</v>
      </c>
      <c r="T418" s="4">
        <v>71</v>
      </c>
      <c r="U418" s="4">
        <v>94</v>
      </c>
      <c r="V418" s="4">
        <v>23</v>
      </c>
      <c r="W418" s="4">
        <v>14</v>
      </c>
      <c r="X418" s="4">
        <v>16</v>
      </c>
      <c r="Y418" s="4">
        <v>5</v>
      </c>
      <c r="Z418" s="4">
        <v>21</v>
      </c>
      <c r="AA418" s="3">
        <v>311</v>
      </c>
      <c r="AB418" s="3">
        <v>0</v>
      </c>
      <c r="AC418" s="3">
        <v>0</v>
      </c>
      <c r="AD418" s="2">
        <v>-1.1000000000000001</v>
      </c>
      <c r="AE418" s="2">
        <v>108.7</v>
      </c>
      <c r="AF418" s="2">
        <v>112.3</v>
      </c>
      <c r="AG418" s="2">
        <v>-3.6</v>
      </c>
      <c r="AH418" s="2">
        <v>13.4</v>
      </c>
      <c r="AI418" s="2">
        <v>1.57</v>
      </c>
      <c r="AJ418" s="2">
        <v>13.6</v>
      </c>
      <c r="AK418" s="2">
        <v>8</v>
      </c>
      <c r="AL418" s="2">
        <v>28.2</v>
      </c>
      <c r="AM418" s="2">
        <v>17.7</v>
      </c>
      <c r="AN418" s="2">
        <v>8.6</v>
      </c>
      <c r="AO418" s="2">
        <v>46.1</v>
      </c>
      <c r="AP418" s="2">
        <v>48.8</v>
      </c>
      <c r="AQ418" s="2">
        <v>23</v>
      </c>
      <c r="AR418" s="2">
        <v>103.56</v>
      </c>
      <c r="AS418" s="2">
        <v>10.9</v>
      </c>
      <c r="AT418" s="2">
        <v>540</v>
      </c>
      <c r="AU418" s="53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6"/>
    </row>
    <row r="419" spans="1:69" ht="13.2">
      <c r="A419" s="1" t="s">
        <v>860</v>
      </c>
      <c r="B419" s="1" t="s">
        <v>861</v>
      </c>
      <c r="C419" s="24" t="str">
        <f>VLOOKUP(B419,Equipe!$A$1:$B$31,2,FALSE)</f>
        <v>Oklahoma City Thunder</v>
      </c>
      <c r="D419" s="2">
        <v>25</v>
      </c>
      <c r="E419" s="2">
        <v>32</v>
      </c>
      <c r="F419" s="2">
        <v>29</v>
      </c>
      <c r="G419" s="2">
        <v>3</v>
      </c>
      <c r="H419" s="2">
        <v>7.7</v>
      </c>
      <c r="I419" s="3">
        <v>122</v>
      </c>
      <c r="J419" s="4">
        <v>42</v>
      </c>
      <c r="K419" s="4">
        <v>96</v>
      </c>
      <c r="L419" s="3">
        <v>44.3</v>
      </c>
      <c r="M419" s="4">
        <v>22</v>
      </c>
      <c r="N419" s="4">
        <v>67</v>
      </c>
      <c r="O419" s="3">
        <v>33.299999999999997</v>
      </c>
      <c r="P419" s="3">
        <v>13</v>
      </c>
      <c r="Q419" s="3">
        <v>19</v>
      </c>
      <c r="R419" s="3">
        <v>77.8</v>
      </c>
      <c r="S419" s="4">
        <v>16</v>
      </c>
      <c r="T419" s="4">
        <v>38</v>
      </c>
      <c r="U419" s="4">
        <v>54</v>
      </c>
      <c r="V419" s="4">
        <v>13</v>
      </c>
      <c r="W419" s="4">
        <v>6</v>
      </c>
      <c r="X419" s="4">
        <v>6</v>
      </c>
      <c r="Y419" s="4">
        <v>22</v>
      </c>
      <c r="Z419" s="4">
        <v>22</v>
      </c>
      <c r="AA419" s="3">
        <v>278</v>
      </c>
      <c r="AB419" s="3">
        <v>1</v>
      </c>
      <c r="AC419" s="3">
        <v>0</v>
      </c>
      <c r="AD419" s="2">
        <v>1.3</v>
      </c>
      <c r="AE419" s="2">
        <v>115.1</v>
      </c>
      <c r="AF419" s="2">
        <v>105.8</v>
      </c>
      <c r="AG419" s="2">
        <v>9.4</v>
      </c>
      <c r="AH419" s="2">
        <v>7.7</v>
      </c>
      <c r="AI419" s="2">
        <v>2</v>
      </c>
      <c r="AJ419" s="2">
        <v>11.1</v>
      </c>
      <c r="AK419" s="2">
        <v>6.4</v>
      </c>
      <c r="AL419" s="2">
        <v>13.1</v>
      </c>
      <c r="AM419" s="2">
        <v>9.9</v>
      </c>
      <c r="AN419" s="2">
        <v>5.6</v>
      </c>
      <c r="AO419" s="2">
        <v>55.7</v>
      </c>
      <c r="AP419" s="2">
        <v>58.1</v>
      </c>
      <c r="AQ419" s="2">
        <v>18.5</v>
      </c>
      <c r="AR419" s="2">
        <v>103.83</v>
      </c>
      <c r="AS419" s="2">
        <v>10.1</v>
      </c>
      <c r="AT419" s="2">
        <v>529</v>
      </c>
      <c r="AU419" s="53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6"/>
    </row>
    <row r="420" spans="1:69" ht="13.2">
      <c r="A420" s="1" t="s">
        <v>864</v>
      </c>
      <c r="B420" s="1" t="s">
        <v>865</v>
      </c>
      <c r="C420" s="24" t="str">
        <f>VLOOKUP(B420,Equipe!$A$1:$B$31,2,FALSE)</f>
        <v>Charlotte Hornets</v>
      </c>
      <c r="D420" s="2">
        <v>24</v>
      </c>
      <c r="E420" s="2">
        <v>20</v>
      </c>
      <c r="F420" s="2">
        <v>2</v>
      </c>
      <c r="G420" s="2">
        <v>18</v>
      </c>
      <c r="H420" s="2">
        <v>13.3</v>
      </c>
      <c r="I420" s="3">
        <v>120</v>
      </c>
      <c r="J420" s="4">
        <v>42</v>
      </c>
      <c r="K420" s="4">
        <v>106</v>
      </c>
      <c r="L420" s="3">
        <v>39</v>
      </c>
      <c r="M420" s="4">
        <v>14</v>
      </c>
      <c r="N420" s="4">
        <v>34</v>
      </c>
      <c r="O420" s="3">
        <v>39.4</v>
      </c>
      <c r="P420" s="3">
        <v>26</v>
      </c>
      <c r="Q420" s="3">
        <v>34</v>
      </c>
      <c r="R420" s="3">
        <v>73.5</v>
      </c>
      <c r="S420" s="4">
        <v>14</v>
      </c>
      <c r="T420" s="4">
        <v>18</v>
      </c>
      <c r="U420" s="4">
        <v>32</v>
      </c>
      <c r="V420" s="4">
        <v>28</v>
      </c>
      <c r="W420" s="4">
        <v>18</v>
      </c>
      <c r="X420" s="4">
        <v>12</v>
      </c>
      <c r="Y420" s="3">
        <v>0</v>
      </c>
      <c r="Z420" s="4">
        <v>22</v>
      </c>
      <c r="AA420" s="3">
        <v>216</v>
      </c>
      <c r="AB420" s="3">
        <v>0</v>
      </c>
      <c r="AC420" s="3">
        <v>0</v>
      </c>
      <c r="AD420" s="2">
        <v>-0.3</v>
      </c>
      <c r="AE420" s="2">
        <v>100</v>
      </c>
      <c r="AF420" s="2">
        <v>102.6</v>
      </c>
      <c r="AG420" s="2">
        <v>-2.6</v>
      </c>
      <c r="AH420" s="2">
        <v>18.7</v>
      </c>
      <c r="AI420" s="2">
        <v>1.56</v>
      </c>
      <c r="AJ420" s="2">
        <v>16.8</v>
      </c>
      <c r="AK420" s="2">
        <v>5.0999999999999996</v>
      </c>
      <c r="AL420" s="2">
        <v>7.1</v>
      </c>
      <c r="AM420" s="2">
        <v>6</v>
      </c>
      <c r="AN420" s="2">
        <v>10.8</v>
      </c>
      <c r="AO420" s="2">
        <v>45.2</v>
      </c>
      <c r="AP420" s="2">
        <v>50</v>
      </c>
      <c r="AQ420" s="2">
        <v>22</v>
      </c>
      <c r="AR420" s="2">
        <v>98.35</v>
      </c>
      <c r="AS420" s="2">
        <v>7.7</v>
      </c>
      <c r="AT420" s="2">
        <v>548</v>
      </c>
      <c r="AU420" s="53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6"/>
    </row>
    <row r="421" spans="1:69" ht="13.2">
      <c r="A421" s="1" t="s">
        <v>866</v>
      </c>
      <c r="B421" s="1" t="s">
        <v>867</v>
      </c>
      <c r="C421" s="24" t="str">
        <f>VLOOKUP(B421,Equipe!$A$1:$B$31,2,FALSE)</f>
        <v>Minnesota Timberwolves</v>
      </c>
      <c r="D421" s="2">
        <v>22</v>
      </c>
      <c r="E421" s="2">
        <v>46</v>
      </c>
      <c r="F421" s="2">
        <v>32</v>
      </c>
      <c r="G421" s="2">
        <v>14</v>
      </c>
      <c r="H421" s="2">
        <v>6</v>
      </c>
      <c r="I421" s="3">
        <v>120</v>
      </c>
      <c r="J421" s="4">
        <v>46</v>
      </c>
      <c r="K421" s="4">
        <v>92</v>
      </c>
      <c r="L421" s="3">
        <v>48.9</v>
      </c>
      <c r="M421" s="4">
        <v>14</v>
      </c>
      <c r="N421" s="4">
        <v>41</v>
      </c>
      <c r="O421" s="3">
        <v>32.6</v>
      </c>
      <c r="P421" s="3">
        <v>18</v>
      </c>
      <c r="Q421" s="3">
        <v>18</v>
      </c>
      <c r="R421" s="3">
        <v>89.5</v>
      </c>
      <c r="S421" s="4">
        <v>14</v>
      </c>
      <c r="T421" s="4">
        <v>37</v>
      </c>
      <c r="U421" s="4">
        <v>46</v>
      </c>
      <c r="V421" s="4">
        <v>18</v>
      </c>
      <c r="W421" s="4">
        <v>9</v>
      </c>
      <c r="X421" s="4">
        <v>14</v>
      </c>
      <c r="Y421" s="4">
        <v>14</v>
      </c>
      <c r="Z421" s="4">
        <v>32</v>
      </c>
      <c r="AA421" s="3">
        <v>271</v>
      </c>
      <c r="AB421" s="3">
        <v>0</v>
      </c>
      <c r="AC421" s="3">
        <v>0</v>
      </c>
      <c r="AD421" s="2">
        <v>-0.3</v>
      </c>
      <c r="AE421" s="2">
        <v>104</v>
      </c>
      <c r="AF421" s="2">
        <v>107</v>
      </c>
      <c r="AG421" s="2">
        <v>-3</v>
      </c>
      <c r="AH421" s="2">
        <v>9.6</v>
      </c>
      <c r="AI421" s="2">
        <v>1.64</v>
      </c>
      <c r="AJ421" s="2">
        <v>14.2</v>
      </c>
      <c r="AK421" s="2">
        <v>4.4000000000000004</v>
      </c>
      <c r="AL421" s="2">
        <v>11.5</v>
      </c>
      <c r="AM421" s="2">
        <v>8.1</v>
      </c>
      <c r="AN421" s="2">
        <v>8.6999999999999993</v>
      </c>
      <c r="AO421" s="2">
        <v>56.7</v>
      </c>
      <c r="AP421" s="2">
        <v>60.5</v>
      </c>
      <c r="AQ421" s="2">
        <v>16</v>
      </c>
      <c r="AR421" s="2">
        <v>104.77</v>
      </c>
      <c r="AS421" s="2">
        <v>9.5</v>
      </c>
      <c r="AT421" s="2">
        <v>604</v>
      </c>
      <c r="AU421" s="53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6"/>
    </row>
    <row r="422" spans="1:69" ht="13.2">
      <c r="A422" s="1" t="s">
        <v>868</v>
      </c>
      <c r="B422" s="1" t="s">
        <v>869</v>
      </c>
      <c r="C422" s="24" t="str">
        <f>VLOOKUP(B422,Equipe!$A$1:$B$31,2,FALSE)</f>
        <v>Toronto Raptors</v>
      </c>
      <c r="D422" s="2">
        <v>25</v>
      </c>
      <c r="E422" s="2">
        <v>14</v>
      </c>
      <c r="F422" s="2">
        <v>8</v>
      </c>
      <c r="G422" s="2">
        <v>6</v>
      </c>
      <c r="H422" s="2">
        <v>16.2</v>
      </c>
      <c r="I422" s="3">
        <v>118</v>
      </c>
      <c r="J422" s="4">
        <v>42</v>
      </c>
      <c r="K422" s="4">
        <v>87</v>
      </c>
      <c r="L422" s="3">
        <v>48.3</v>
      </c>
      <c r="M422" s="4">
        <v>13</v>
      </c>
      <c r="N422" s="4">
        <v>39</v>
      </c>
      <c r="O422" s="3">
        <v>30.8</v>
      </c>
      <c r="P422" s="3">
        <v>22</v>
      </c>
      <c r="Q422" s="3">
        <v>25</v>
      </c>
      <c r="R422" s="3">
        <v>88</v>
      </c>
      <c r="S422" s="4">
        <v>14</v>
      </c>
      <c r="T422" s="4">
        <v>28</v>
      </c>
      <c r="U422" s="4">
        <v>42</v>
      </c>
      <c r="V422" s="4">
        <v>15</v>
      </c>
      <c r="W422" s="4">
        <v>8</v>
      </c>
      <c r="X422" s="4">
        <v>10</v>
      </c>
      <c r="Y422" s="4">
        <v>1</v>
      </c>
      <c r="Z422" s="4">
        <v>20</v>
      </c>
      <c r="AA422" s="3">
        <v>220</v>
      </c>
      <c r="AB422" s="3">
        <v>1</v>
      </c>
      <c r="AC422" s="3">
        <v>0</v>
      </c>
      <c r="AD422" s="2">
        <v>4.5999999999999996</v>
      </c>
      <c r="AE422" s="2">
        <v>118.1</v>
      </c>
      <c r="AF422" s="2">
        <v>103.4</v>
      </c>
      <c r="AG422" s="2">
        <v>14.7</v>
      </c>
      <c r="AH422" s="2">
        <v>9.8000000000000007</v>
      </c>
      <c r="AI422" s="2">
        <v>1.78</v>
      </c>
      <c r="AJ422" s="2">
        <v>12.9</v>
      </c>
      <c r="AK422" s="2">
        <v>5.2</v>
      </c>
      <c r="AL422" s="2">
        <v>11.3</v>
      </c>
      <c r="AM422" s="2">
        <v>8.1999999999999993</v>
      </c>
      <c r="AN422" s="2">
        <v>7.3</v>
      </c>
      <c r="AO422" s="2">
        <v>55.2</v>
      </c>
      <c r="AP422" s="2">
        <v>60.2</v>
      </c>
      <c r="AQ422" s="2">
        <v>18.3</v>
      </c>
      <c r="AR422" s="2">
        <v>103.89</v>
      </c>
      <c r="AS422" s="2">
        <v>10.6</v>
      </c>
      <c r="AT422" s="2">
        <v>486</v>
      </c>
      <c r="AU422" s="53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6"/>
    </row>
    <row r="423" spans="1:69" ht="13.2">
      <c r="A423" s="1" t="s">
        <v>870</v>
      </c>
      <c r="B423" s="1" t="s">
        <v>871</v>
      </c>
      <c r="C423" s="24" t="str">
        <f>VLOOKUP(B423,Equipe!$A$1:$B$31,2,FALSE)</f>
        <v>Dallas Mavericks</v>
      </c>
      <c r="D423" s="2">
        <v>33</v>
      </c>
      <c r="E423" s="2">
        <v>55</v>
      </c>
      <c r="F423" s="2">
        <v>25</v>
      </c>
      <c r="G423" s="2">
        <v>30</v>
      </c>
      <c r="H423" s="2">
        <v>10</v>
      </c>
      <c r="I423" s="3">
        <v>116</v>
      </c>
      <c r="J423" s="4">
        <v>44</v>
      </c>
      <c r="K423" s="4">
        <v>61</v>
      </c>
      <c r="L423" s="3">
        <v>68.900000000000006</v>
      </c>
      <c r="M423" s="3">
        <v>0</v>
      </c>
      <c r="N423" s="4">
        <v>6</v>
      </c>
      <c r="O423" s="3">
        <v>40</v>
      </c>
      <c r="P423" s="3">
        <v>28</v>
      </c>
      <c r="Q423" s="3">
        <v>44</v>
      </c>
      <c r="R423" s="3">
        <v>65.099999999999994</v>
      </c>
      <c r="S423" s="4">
        <v>50</v>
      </c>
      <c r="T423" s="4">
        <v>72</v>
      </c>
      <c r="U423" s="4">
        <v>116</v>
      </c>
      <c r="V423" s="4">
        <v>55</v>
      </c>
      <c r="W423" s="4">
        <v>17</v>
      </c>
      <c r="X423" s="4">
        <v>17</v>
      </c>
      <c r="Y423" s="4">
        <v>22</v>
      </c>
      <c r="Z423" s="4">
        <v>77</v>
      </c>
      <c r="AA423" s="3">
        <v>435</v>
      </c>
      <c r="AB423" s="3">
        <v>0</v>
      </c>
      <c r="AC423" s="3">
        <v>0</v>
      </c>
      <c r="AD423" s="2">
        <v>-0.3</v>
      </c>
      <c r="AE423" s="2">
        <v>108.6</v>
      </c>
      <c r="AF423" s="2">
        <v>109.7</v>
      </c>
      <c r="AG423" s="2">
        <v>-1.1000000000000001</v>
      </c>
      <c r="AH423" s="2">
        <v>13</v>
      </c>
      <c r="AI423" s="2">
        <v>3.06</v>
      </c>
      <c r="AJ423" s="2">
        <v>36.200000000000003</v>
      </c>
      <c r="AK423" s="2">
        <v>8.4</v>
      </c>
      <c r="AL423" s="2">
        <v>13.1</v>
      </c>
      <c r="AM423" s="2">
        <v>10.7</v>
      </c>
      <c r="AN423" s="2">
        <v>11.8</v>
      </c>
      <c r="AO423" s="2">
        <v>70.5</v>
      </c>
      <c r="AP423" s="2">
        <v>71.3</v>
      </c>
      <c r="AQ423" s="2">
        <v>7.3</v>
      </c>
      <c r="AR423" s="2">
        <v>102.17</v>
      </c>
      <c r="AS423" s="2">
        <v>7.3</v>
      </c>
      <c r="AT423" s="2">
        <v>1172</v>
      </c>
      <c r="AU423" s="53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6"/>
    </row>
    <row r="424" spans="1:69" ht="13.2">
      <c r="A424" s="1" t="s">
        <v>872</v>
      </c>
      <c r="B424" s="1" t="s">
        <v>873</v>
      </c>
      <c r="C424" s="24" t="str">
        <f>VLOOKUP(B424,Equipe!$A$1:$B$31,2,FALSE)</f>
        <v>Portland Trail Blazers</v>
      </c>
      <c r="D424" s="2">
        <v>27</v>
      </c>
      <c r="E424" s="2">
        <v>20</v>
      </c>
      <c r="F424" s="2">
        <v>7</v>
      </c>
      <c r="G424" s="2">
        <v>13</v>
      </c>
      <c r="H424" s="2">
        <v>17.600000000000001</v>
      </c>
      <c r="I424" s="3">
        <v>116</v>
      </c>
      <c r="J424" s="4">
        <v>50</v>
      </c>
      <c r="K424" s="4">
        <v>78</v>
      </c>
      <c r="L424" s="3">
        <v>64.099999999999994</v>
      </c>
      <c r="M424" s="4">
        <v>2</v>
      </c>
      <c r="N424" s="4">
        <v>4</v>
      </c>
      <c r="O424" s="3">
        <v>33.299999999999997</v>
      </c>
      <c r="P424" s="3">
        <v>16</v>
      </c>
      <c r="Q424" s="3">
        <v>18</v>
      </c>
      <c r="R424" s="3">
        <v>88.2</v>
      </c>
      <c r="S424" s="4">
        <v>36</v>
      </c>
      <c r="T424" s="4">
        <v>84</v>
      </c>
      <c r="U424" s="4">
        <v>118</v>
      </c>
      <c r="V424" s="4">
        <v>22</v>
      </c>
      <c r="W424" s="4">
        <v>18</v>
      </c>
      <c r="X424" s="4">
        <v>14</v>
      </c>
      <c r="Y424" s="4">
        <v>34</v>
      </c>
      <c r="Z424" s="4">
        <v>32</v>
      </c>
      <c r="AA424" s="3">
        <v>410</v>
      </c>
      <c r="AB424" s="3">
        <v>0</v>
      </c>
      <c r="AC424" s="3">
        <v>0</v>
      </c>
      <c r="AD424" s="2">
        <v>-0.9</v>
      </c>
      <c r="AE424" s="2">
        <v>106.3</v>
      </c>
      <c r="AF424" s="2">
        <v>108.3</v>
      </c>
      <c r="AG424" s="2">
        <v>-2</v>
      </c>
      <c r="AH424" s="2">
        <v>9</v>
      </c>
      <c r="AI424" s="2">
        <v>1.24</v>
      </c>
      <c r="AJ424" s="2">
        <v>17.100000000000001</v>
      </c>
      <c r="AK424" s="2">
        <v>9.6999999999999993</v>
      </c>
      <c r="AL424" s="2">
        <v>21.7</v>
      </c>
      <c r="AM424" s="2">
        <v>15.9</v>
      </c>
      <c r="AN424" s="2">
        <v>13.8</v>
      </c>
      <c r="AO424" s="2">
        <v>64.7</v>
      </c>
      <c r="AP424" s="2">
        <v>67.900000000000006</v>
      </c>
      <c r="AQ424" s="2">
        <v>12</v>
      </c>
      <c r="AR424" s="2">
        <v>100.69</v>
      </c>
      <c r="AS424" s="2">
        <v>13.7</v>
      </c>
      <c r="AT424" s="2">
        <v>736</v>
      </c>
      <c r="AU424" s="53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6"/>
    </row>
    <row r="425" spans="1:69" ht="13.2">
      <c r="A425" s="1" t="s">
        <v>874</v>
      </c>
      <c r="B425" s="1" t="s">
        <v>875</v>
      </c>
      <c r="C425" s="24" t="str">
        <f>VLOOKUP(B425,Equipe!$A$1:$B$31,2,FALSE)</f>
        <v>Brooklyn Nets</v>
      </c>
      <c r="D425" s="2">
        <v>22</v>
      </c>
      <c r="E425" s="2">
        <v>28</v>
      </c>
      <c r="F425" s="2">
        <v>9</v>
      </c>
      <c r="G425" s="2">
        <v>19</v>
      </c>
      <c r="H425" s="2">
        <v>11.7</v>
      </c>
      <c r="I425" s="3">
        <v>115</v>
      </c>
      <c r="J425" s="4">
        <v>45</v>
      </c>
      <c r="K425" s="4">
        <v>109</v>
      </c>
      <c r="L425" s="3">
        <v>41.7</v>
      </c>
      <c r="M425" s="4">
        <v>20</v>
      </c>
      <c r="N425" s="4">
        <v>50</v>
      </c>
      <c r="O425" s="3">
        <v>38</v>
      </c>
      <c r="P425" s="3">
        <v>8</v>
      </c>
      <c r="Q425" s="3">
        <v>11</v>
      </c>
      <c r="R425" s="3">
        <v>70</v>
      </c>
      <c r="S425" s="4">
        <v>17</v>
      </c>
      <c r="T425" s="4">
        <v>36</v>
      </c>
      <c r="U425" s="4">
        <v>56</v>
      </c>
      <c r="V425" s="4">
        <v>20</v>
      </c>
      <c r="W425" s="4">
        <v>14</v>
      </c>
      <c r="X425" s="4">
        <v>8</v>
      </c>
      <c r="Y425" s="4">
        <v>8</v>
      </c>
      <c r="Z425" s="4">
        <v>28</v>
      </c>
      <c r="AA425" s="3">
        <v>244</v>
      </c>
      <c r="AB425" s="3">
        <v>0</v>
      </c>
      <c r="AC425" s="3">
        <v>0</v>
      </c>
      <c r="AD425" s="2">
        <v>-2.4</v>
      </c>
      <c r="AE425" s="2">
        <v>101.2</v>
      </c>
      <c r="AF425" s="2">
        <v>110.7</v>
      </c>
      <c r="AG425" s="2">
        <v>-9.6</v>
      </c>
      <c r="AH425" s="2">
        <v>9.1</v>
      </c>
      <c r="AI425" s="2">
        <v>1.36</v>
      </c>
      <c r="AJ425" s="2">
        <v>13</v>
      </c>
      <c r="AK425" s="2">
        <v>5.0999999999999996</v>
      </c>
      <c r="AL425" s="2">
        <v>11.8</v>
      </c>
      <c r="AM425" s="2">
        <v>8.1999999999999993</v>
      </c>
      <c r="AN425" s="2">
        <v>9.6</v>
      </c>
      <c r="AO425" s="2">
        <v>50.5</v>
      </c>
      <c r="AP425" s="2">
        <v>51.6</v>
      </c>
      <c r="AQ425" s="2">
        <v>16.399999999999999</v>
      </c>
      <c r="AR425" s="2">
        <v>99.39</v>
      </c>
      <c r="AS425" s="2">
        <v>6.6</v>
      </c>
      <c r="AT425" s="2">
        <v>677</v>
      </c>
      <c r="AU425" s="53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6"/>
    </row>
    <row r="426" spans="1:69" ht="13.2">
      <c r="A426" s="1" t="s">
        <v>876</v>
      </c>
      <c r="B426" s="1" t="s">
        <v>877</v>
      </c>
      <c r="C426" s="24" t="str">
        <f>VLOOKUP(B426,Equipe!$A$1:$B$31,2,FALSE)</f>
        <v>Brooklyn Nets</v>
      </c>
      <c r="D426" s="2">
        <v>20</v>
      </c>
      <c r="E426" s="2">
        <v>20</v>
      </c>
      <c r="F426" s="2">
        <v>6</v>
      </c>
      <c r="G426" s="2">
        <v>14</v>
      </c>
      <c r="H426" s="2">
        <v>12.3</v>
      </c>
      <c r="I426" s="3">
        <v>114</v>
      </c>
      <c r="J426" s="4">
        <v>40</v>
      </c>
      <c r="K426" s="4">
        <v>96</v>
      </c>
      <c r="L426" s="3">
        <v>40.6</v>
      </c>
      <c r="M426" s="4">
        <v>34</v>
      </c>
      <c r="N426" s="4">
        <v>74</v>
      </c>
      <c r="O426" s="3">
        <v>44.6</v>
      </c>
      <c r="P426" s="3">
        <v>4</v>
      </c>
      <c r="Q426" s="3">
        <v>6</v>
      </c>
      <c r="R426" s="3">
        <v>60</v>
      </c>
      <c r="S426" s="4">
        <v>4</v>
      </c>
      <c r="T426" s="4">
        <v>26</v>
      </c>
      <c r="U426" s="4">
        <v>30</v>
      </c>
      <c r="V426" s="4">
        <v>12</v>
      </c>
      <c r="W426" s="4">
        <v>16</v>
      </c>
      <c r="X426" s="4">
        <v>6</v>
      </c>
      <c r="Y426" s="4">
        <v>2</v>
      </c>
      <c r="Z426" s="4">
        <v>22</v>
      </c>
      <c r="AA426" s="3">
        <v>172</v>
      </c>
      <c r="AB426" s="3">
        <v>0</v>
      </c>
      <c r="AC426" s="3">
        <v>0</v>
      </c>
      <c r="AD426" s="2">
        <v>-3.2</v>
      </c>
      <c r="AE426" s="2">
        <v>98.7</v>
      </c>
      <c r="AF426" s="2">
        <v>109.7</v>
      </c>
      <c r="AG426" s="2">
        <v>-11.1</v>
      </c>
      <c r="AH426" s="2">
        <v>7.8</v>
      </c>
      <c r="AI426" s="2">
        <v>0.8</v>
      </c>
      <c r="AJ426" s="2">
        <v>9.6</v>
      </c>
      <c r="AK426" s="2">
        <v>1.5</v>
      </c>
      <c r="AL426" s="2">
        <v>10.5</v>
      </c>
      <c r="AM426" s="2">
        <v>5.6</v>
      </c>
      <c r="AN426" s="2">
        <v>12</v>
      </c>
      <c r="AO426" s="2">
        <v>57.8</v>
      </c>
      <c r="AP426" s="2">
        <v>58</v>
      </c>
      <c r="AQ426" s="2">
        <v>18.899999999999999</v>
      </c>
      <c r="AR426" s="2">
        <v>103.67</v>
      </c>
      <c r="AS426" s="2">
        <v>6.5</v>
      </c>
      <c r="AT426" s="2">
        <v>529</v>
      </c>
      <c r="AU426" s="53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6"/>
    </row>
    <row r="427" spans="1:69" ht="13.2">
      <c r="A427" s="1" t="s">
        <v>878</v>
      </c>
      <c r="B427" s="1" t="s">
        <v>879</v>
      </c>
      <c r="C427" s="24" t="str">
        <f>VLOOKUP(B427,Equipe!$A$1:$B$31,2,FALSE)</f>
        <v>Portland Trail Blazers</v>
      </c>
      <c r="D427" s="2">
        <v>28</v>
      </c>
      <c r="E427" s="2">
        <v>15</v>
      </c>
      <c r="F427" s="2">
        <v>8</v>
      </c>
      <c r="G427" s="2">
        <v>7</v>
      </c>
      <c r="H427" s="2">
        <v>20.8</v>
      </c>
      <c r="I427" s="3">
        <v>113</v>
      </c>
      <c r="J427" s="4">
        <v>42</v>
      </c>
      <c r="K427" s="4">
        <v>89</v>
      </c>
      <c r="L427" s="3">
        <v>47.7</v>
      </c>
      <c r="M427" s="4">
        <v>21</v>
      </c>
      <c r="N427" s="4">
        <v>48</v>
      </c>
      <c r="O427" s="3">
        <v>43.8</v>
      </c>
      <c r="P427" s="3">
        <v>8</v>
      </c>
      <c r="Q427" s="3">
        <v>15</v>
      </c>
      <c r="R427" s="3">
        <v>46.7</v>
      </c>
      <c r="S427" s="4">
        <v>14</v>
      </c>
      <c r="T427" s="4">
        <v>38</v>
      </c>
      <c r="U427" s="4">
        <v>53</v>
      </c>
      <c r="V427" s="4">
        <v>29</v>
      </c>
      <c r="W427" s="4">
        <v>14</v>
      </c>
      <c r="X427" s="4">
        <v>33</v>
      </c>
      <c r="Y427" s="4">
        <v>9</v>
      </c>
      <c r="Z427" s="4">
        <v>14</v>
      </c>
      <c r="AA427" s="3">
        <v>330</v>
      </c>
      <c r="AB427" s="3">
        <v>0</v>
      </c>
      <c r="AC427" s="3">
        <v>0</v>
      </c>
      <c r="AD427" s="2">
        <v>0.1</v>
      </c>
      <c r="AE427" s="2">
        <v>105.3</v>
      </c>
      <c r="AF427" s="2">
        <v>105.1</v>
      </c>
      <c r="AG427" s="2">
        <v>0.2</v>
      </c>
      <c r="AH427" s="2">
        <v>12.6</v>
      </c>
      <c r="AI427" s="2">
        <v>2.15</v>
      </c>
      <c r="AJ427" s="2">
        <v>20.7</v>
      </c>
      <c r="AK427" s="2">
        <v>3.8</v>
      </c>
      <c r="AL427" s="2">
        <v>12.2</v>
      </c>
      <c r="AM427" s="2">
        <v>7.6</v>
      </c>
      <c r="AN427" s="2">
        <v>9.6</v>
      </c>
      <c r="AO427" s="2">
        <v>59.7</v>
      </c>
      <c r="AP427" s="2">
        <v>59.2</v>
      </c>
      <c r="AQ427" s="2">
        <v>13.5</v>
      </c>
      <c r="AR427" s="2">
        <v>102.37</v>
      </c>
      <c r="AS427" s="2">
        <v>11.4</v>
      </c>
      <c r="AT427" s="2">
        <v>666</v>
      </c>
      <c r="AU427" s="53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6"/>
    </row>
    <row r="428" spans="1:69" ht="13.2">
      <c r="A428" s="1" t="s">
        <v>880</v>
      </c>
      <c r="B428" s="1" t="s">
        <v>881</v>
      </c>
      <c r="C428" s="24" t="str">
        <f>VLOOKUP(B428,Equipe!$A$1:$B$31,2,FALSE)</f>
        <v>Boston Celtics</v>
      </c>
      <c r="D428" s="2">
        <v>24</v>
      </c>
      <c r="E428" s="2">
        <v>31</v>
      </c>
      <c r="F428" s="2">
        <v>27</v>
      </c>
      <c r="G428" s="2">
        <v>4</v>
      </c>
      <c r="H428" s="2">
        <v>12.4</v>
      </c>
      <c r="I428" s="3">
        <v>112</v>
      </c>
      <c r="J428" s="4">
        <v>40</v>
      </c>
      <c r="K428" s="4">
        <v>109</v>
      </c>
      <c r="L428" s="3">
        <v>35.5</v>
      </c>
      <c r="M428" s="4">
        <v>25</v>
      </c>
      <c r="N428" s="4">
        <v>81</v>
      </c>
      <c r="O428" s="3">
        <v>31.7</v>
      </c>
      <c r="P428" s="3">
        <v>9</v>
      </c>
      <c r="Q428" s="3">
        <v>12</v>
      </c>
      <c r="R428" s="3">
        <v>75</v>
      </c>
      <c r="S428" s="4">
        <v>19</v>
      </c>
      <c r="T428" s="4">
        <v>47</v>
      </c>
      <c r="U428" s="4">
        <v>65</v>
      </c>
      <c r="V428" s="4">
        <v>34</v>
      </c>
      <c r="W428" s="4">
        <v>12</v>
      </c>
      <c r="X428" s="4">
        <v>16</v>
      </c>
      <c r="Y428" s="4">
        <v>3</v>
      </c>
      <c r="Z428" s="4">
        <v>22</v>
      </c>
      <c r="AA428" s="3">
        <v>285</v>
      </c>
      <c r="AB428" s="3">
        <v>0</v>
      </c>
      <c r="AC428" s="3">
        <v>0</v>
      </c>
      <c r="AD428" s="2">
        <v>0.9</v>
      </c>
      <c r="AE428" s="2">
        <v>109.9</v>
      </c>
      <c r="AF428" s="2">
        <v>105.8</v>
      </c>
      <c r="AG428" s="2">
        <v>4.0999999999999996</v>
      </c>
      <c r="AH428" s="2">
        <v>12</v>
      </c>
      <c r="AI428" s="2">
        <v>2.75</v>
      </c>
      <c r="AJ428" s="2">
        <v>20.5</v>
      </c>
      <c r="AK428" s="2">
        <v>4.8</v>
      </c>
      <c r="AL428" s="2">
        <v>11.7</v>
      </c>
      <c r="AM428" s="2">
        <v>8.3000000000000007</v>
      </c>
      <c r="AN428" s="2">
        <v>7.5</v>
      </c>
      <c r="AO428" s="2">
        <v>47.3</v>
      </c>
      <c r="AP428" s="2">
        <v>49</v>
      </c>
      <c r="AQ428" s="2">
        <v>14.3</v>
      </c>
      <c r="AR428" s="2">
        <v>95.28</v>
      </c>
      <c r="AS428" s="2">
        <v>7.4</v>
      </c>
      <c r="AT428" s="2">
        <v>761</v>
      </c>
      <c r="AU428" s="53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6"/>
    </row>
    <row r="429" spans="1:69" ht="13.2">
      <c r="A429" s="1" t="s">
        <v>882</v>
      </c>
      <c r="B429" s="1" t="s">
        <v>883</v>
      </c>
      <c r="C429" s="24" t="str">
        <f>VLOOKUP(B429,Equipe!$A$1:$B$31,2,FALSE)</f>
        <v>Charlotte Hornets</v>
      </c>
      <c r="D429" s="2">
        <v>24</v>
      </c>
      <c r="E429" s="2">
        <v>15</v>
      </c>
      <c r="F429" s="2">
        <v>1</v>
      </c>
      <c r="G429" s="2">
        <v>14</v>
      </c>
      <c r="H429" s="2">
        <v>24.7</v>
      </c>
      <c r="I429" s="3">
        <v>110</v>
      </c>
      <c r="J429" s="4">
        <v>42</v>
      </c>
      <c r="K429" s="4">
        <v>131</v>
      </c>
      <c r="L429" s="3">
        <v>32.299999999999997</v>
      </c>
      <c r="M429" s="4">
        <v>12</v>
      </c>
      <c r="N429" s="4">
        <v>56</v>
      </c>
      <c r="O429" s="3">
        <v>21.4</v>
      </c>
      <c r="P429" s="3">
        <v>14</v>
      </c>
      <c r="Q429" s="3">
        <v>15</v>
      </c>
      <c r="R429" s="3">
        <v>86.7</v>
      </c>
      <c r="S429" s="4">
        <v>14</v>
      </c>
      <c r="T429" s="4">
        <v>36</v>
      </c>
      <c r="U429" s="4">
        <v>50</v>
      </c>
      <c r="V429" s="4">
        <v>56</v>
      </c>
      <c r="W429" s="4">
        <v>32</v>
      </c>
      <c r="X429" s="4">
        <v>15</v>
      </c>
      <c r="Y429" s="4">
        <v>2</v>
      </c>
      <c r="Z429" s="4">
        <v>23</v>
      </c>
      <c r="AA429" s="3">
        <v>273</v>
      </c>
      <c r="AB429" s="3">
        <v>0</v>
      </c>
      <c r="AC429" s="3">
        <v>0</v>
      </c>
      <c r="AD429" s="2">
        <v>-11.3</v>
      </c>
      <c r="AE429" s="2">
        <v>99.5</v>
      </c>
      <c r="AF429" s="2">
        <v>121.8</v>
      </c>
      <c r="AG429" s="2">
        <v>-22.3</v>
      </c>
      <c r="AH429" s="2">
        <v>23.5</v>
      </c>
      <c r="AI429" s="2">
        <v>1.81</v>
      </c>
      <c r="AJ429" s="2">
        <v>25</v>
      </c>
      <c r="AK429" s="2">
        <v>3.3</v>
      </c>
      <c r="AL429" s="2">
        <v>9.8000000000000007</v>
      </c>
      <c r="AM429" s="2">
        <v>6.4</v>
      </c>
      <c r="AN429" s="2">
        <v>13.8</v>
      </c>
      <c r="AO429" s="2">
        <v>36.9</v>
      </c>
      <c r="AP429" s="2">
        <v>39.9</v>
      </c>
      <c r="AQ429" s="2">
        <v>18.600000000000001</v>
      </c>
      <c r="AR429" s="2">
        <v>99.5</v>
      </c>
      <c r="AS429" s="2">
        <v>5.0999999999999996</v>
      </c>
      <c r="AT429" s="2">
        <v>769</v>
      </c>
      <c r="AU429" s="53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6"/>
    </row>
    <row r="430" spans="1:69" ht="13.2">
      <c r="A430" s="1" t="s">
        <v>886</v>
      </c>
      <c r="B430" s="1" t="s">
        <v>887</v>
      </c>
      <c r="C430" s="24" t="str">
        <f>VLOOKUP(B430,Equipe!$A$1:$B$31,2,FALSE)</f>
        <v>Memphis Grizzlies</v>
      </c>
      <c r="D430" s="2">
        <v>29</v>
      </c>
      <c r="E430" s="2">
        <v>46</v>
      </c>
      <c r="F430" s="2">
        <v>26</v>
      </c>
      <c r="G430" s="2">
        <v>20</v>
      </c>
      <c r="H430" s="2">
        <v>12.1</v>
      </c>
      <c r="I430" s="3">
        <v>110</v>
      </c>
      <c r="J430" s="4">
        <v>41</v>
      </c>
      <c r="K430" s="4">
        <v>92</v>
      </c>
      <c r="L430" s="3">
        <v>45.1</v>
      </c>
      <c r="M430" s="4">
        <v>23</v>
      </c>
      <c r="N430" s="4">
        <v>60</v>
      </c>
      <c r="O430" s="3">
        <v>37.1</v>
      </c>
      <c r="P430" s="3">
        <v>9</v>
      </c>
      <c r="Q430" s="3">
        <v>9</v>
      </c>
      <c r="R430" s="3">
        <v>87.5</v>
      </c>
      <c r="S430" s="4">
        <v>37</v>
      </c>
      <c r="T430" s="4">
        <v>115</v>
      </c>
      <c r="U430" s="4">
        <v>152</v>
      </c>
      <c r="V430" s="4">
        <v>41</v>
      </c>
      <c r="W430" s="4">
        <v>14</v>
      </c>
      <c r="X430" s="4">
        <v>32</v>
      </c>
      <c r="Y430" s="4">
        <v>14</v>
      </c>
      <c r="Z430" s="4">
        <v>32</v>
      </c>
      <c r="AA430" s="3">
        <v>474</v>
      </c>
      <c r="AB430" s="3">
        <v>0</v>
      </c>
      <c r="AC430" s="3">
        <v>0</v>
      </c>
      <c r="AD430" s="2">
        <v>1.3</v>
      </c>
      <c r="AE430" s="2">
        <v>113.2</v>
      </c>
      <c r="AF430" s="2">
        <v>107.8</v>
      </c>
      <c r="AG430" s="2">
        <v>5.4</v>
      </c>
      <c r="AH430" s="2">
        <v>9.5</v>
      </c>
      <c r="AI430" s="2">
        <v>2.63</v>
      </c>
      <c r="AJ430" s="2">
        <v>27.6</v>
      </c>
      <c r="AK430" s="2">
        <v>6</v>
      </c>
      <c r="AL430" s="2">
        <v>18.7</v>
      </c>
      <c r="AM430" s="2">
        <v>12.3</v>
      </c>
      <c r="AN430" s="2">
        <v>10.5</v>
      </c>
      <c r="AO430" s="2">
        <v>57.7</v>
      </c>
      <c r="AP430" s="2">
        <v>59.2</v>
      </c>
      <c r="AQ430" s="2">
        <v>7.7</v>
      </c>
      <c r="AR430" s="2">
        <v>105.46</v>
      </c>
      <c r="AS430" s="2">
        <v>9.4</v>
      </c>
      <c r="AT430" s="2">
        <v>1223</v>
      </c>
      <c r="AU430" s="53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6"/>
    </row>
    <row r="431" spans="1:69" ht="13.2">
      <c r="A431" s="1" t="s">
        <v>884</v>
      </c>
      <c r="B431" s="1" t="s">
        <v>885</v>
      </c>
      <c r="C431" s="24" t="str">
        <f>VLOOKUP(B431,Equipe!$A$1:$B$31,2,FALSE)</f>
        <v>Los Angeles Clippers</v>
      </c>
      <c r="D431" s="2">
        <v>36</v>
      </c>
      <c r="E431" s="2">
        <v>29</v>
      </c>
      <c r="F431" s="2">
        <v>12</v>
      </c>
      <c r="G431" s="2">
        <v>17</v>
      </c>
      <c r="H431" s="2">
        <v>11.1</v>
      </c>
      <c r="I431" s="3">
        <v>110</v>
      </c>
      <c r="J431" s="4">
        <v>35</v>
      </c>
      <c r="K431" s="4">
        <v>96</v>
      </c>
      <c r="L431" s="3">
        <v>37.5</v>
      </c>
      <c r="M431" s="4">
        <v>26</v>
      </c>
      <c r="N431" s="4">
        <v>75</v>
      </c>
      <c r="O431" s="3">
        <v>34.700000000000003</v>
      </c>
      <c r="P431" s="3">
        <v>12</v>
      </c>
      <c r="Q431" s="3">
        <v>15</v>
      </c>
      <c r="R431" s="3">
        <v>92.9</v>
      </c>
      <c r="S431" s="4">
        <v>3</v>
      </c>
      <c r="T431" s="4">
        <v>17</v>
      </c>
      <c r="U431" s="4">
        <v>23</v>
      </c>
      <c r="V431" s="4">
        <v>26</v>
      </c>
      <c r="W431" s="4">
        <v>17</v>
      </c>
      <c r="X431" s="4">
        <v>12</v>
      </c>
      <c r="Y431" s="4">
        <v>3</v>
      </c>
      <c r="Z431" s="4">
        <v>23</v>
      </c>
      <c r="AA431" s="3">
        <v>209</v>
      </c>
      <c r="AB431" s="3">
        <v>0</v>
      </c>
      <c r="AC431" s="3">
        <v>0</v>
      </c>
      <c r="AD431" s="2">
        <v>-0.5</v>
      </c>
      <c r="AE431" s="2">
        <v>104.6</v>
      </c>
      <c r="AF431" s="2">
        <v>108</v>
      </c>
      <c r="AG431" s="2">
        <v>-3.4</v>
      </c>
      <c r="AH431" s="2">
        <v>12.3</v>
      </c>
      <c r="AI431" s="2">
        <v>1.53</v>
      </c>
      <c r="AJ431" s="2">
        <v>18.100000000000001</v>
      </c>
      <c r="AK431" s="2">
        <v>1.2</v>
      </c>
      <c r="AL431" s="2">
        <v>5.0999999999999996</v>
      </c>
      <c r="AM431" s="2">
        <v>3.2</v>
      </c>
      <c r="AN431" s="2">
        <v>11.8</v>
      </c>
      <c r="AO431" s="2">
        <v>51</v>
      </c>
      <c r="AP431" s="2">
        <v>54.3</v>
      </c>
      <c r="AQ431" s="2">
        <v>15</v>
      </c>
      <c r="AR431" s="2">
        <v>103.29</v>
      </c>
      <c r="AS431" s="2">
        <v>5.5</v>
      </c>
      <c r="AT431" s="2">
        <v>694</v>
      </c>
      <c r="AU431" s="53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6"/>
    </row>
    <row r="432" spans="1:69" ht="13.2">
      <c r="A432" s="1" t="s">
        <v>888</v>
      </c>
      <c r="B432" s="1" t="s">
        <v>889</v>
      </c>
      <c r="C432" s="24" t="str">
        <f>VLOOKUP(B432,Equipe!$A$1:$B$31,2,FALSE)</f>
        <v>Brooklyn Nets</v>
      </c>
      <c r="D432" s="2">
        <v>24</v>
      </c>
      <c r="E432" s="2">
        <v>9</v>
      </c>
      <c r="F432" s="2">
        <v>3</v>
      </c>
      <c r="G432" s="2">
        <v>6</v>
      </c>
      <c r="H432" s="2">
        <v>28.2</v>
      </c>
      <c r="I432" s="3">
        <v>109</v>
      </c>
      <c r="J432" s="4">
        <v>45</v>
      </c>
      <c r="K432" s="4">
        <v>102</v>
      </c>
      <c r="L432" s="3">
        <v>44.1</v>
      </c>
      <c r="M432" s="4">
        <v>9</v>
      </c>
      <c r="N432" s="4">
        <v>35</v>
      </c>
      <c r="O432" s="3">
        <v>25.7</v>
      </c>
      <c r="P432" s="3">
        <v>10</v>
      </c>
      <c r="Q432" s="3">
        <v>16</v>
      </c>
      <c r="R432" s="3">
        <v>62.5</v>
      </c>
      <c r="S432" s="4">
        <v>17</v>
      </c>
      <c r="T432" s="4">
        <v>48</v>
      </c>
      <c r="U432" s="4">
        <v>65</v>
      </c>
      <c r="V432" s="4">
        <v>20</v>
      </c>
      <c r="W432" s="4">
        <v>15</v>
      </c>
      <c r="X432" s="4">
        <v>4</v>
      </c>
      <c r="Y432" s="4">
        <v>1</v>
      </c>
      <c r="Z432" s="4">
        <v>21</v>
      </c>
      <c r="AA432" s="3">
        <v>217</v>
      </c>
      <c r="AB432" s="3">
        <v>3</v>
      </c>
      <c r="AC432" s="3">
        <v>0</v>
      </c>
      <c r="AD432" s="2">
        <v>-7.3</v>
      </c>
      <c r="AE432" s="2">
        <v>102.8</v>
      </c>
      <c r="AF432" s="2">
        <v>115.5</v>
      </c>
      <c r="AG432" s="2">
        <v>-12.6</v>
      </c>
      <c r="AH432" s="2">
        <v>13.7</v>
      </c>
      <c r="AI432" s="2">
        <v>1.33</v>
      </c>
      <c r="AJ432" s="2">
        <v>14</v>
      </c>
      <c r="AK432" s="2">
        <v>6</v>
      </c>
      <c r="AL432" s="2">
        <v>19.399999999999999</v>
      </c>
      <c r="AM432" s="2">
        <v>12.3</v>
      </c>
      <c r="AN432" s="2">
        <v>10.5</v>
      </c>
      <c r="AO432" s="2">
        <v>48.5</v>
      </c>
      <c r="AP432" s="2">
        <v>50</v>
      </c>
      <c r="AQ432" s="2">
        <v>20.5</v>
      </c>
      <c r="AR432" s="2">
        <v>100.3</v>
      </c>
      <c r="AS432" s="2">
        <v>8.6</v>
      </c>
      <c r="AT432" s="2">
        <v>531</v>
      </c>
      <c r="AU432" s="53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6"/>
    </row>
    <row r="433" spans="1:69" ht="13.2">
      <c r="A433" s="1" t="s">
        <v>890</v>
      </c>
      <c r="B433" s="1" t="s">
        <v>891</v>
      </c>
      <c r="C433" s="24" t="str">
        <f>VLOOKUP(B433,Equipe!$A$1:$B$31,2,FALSE)</f>
        <v>Boston Celtics</v>
      </c>
      <c r="D433" s="2">
        <v>34</v>
      </c>
      <c r="E433" s="2">
        <v>26</v>
      </c>
      <c r="F433" s="2">
        <v>16</v>
      </c>
      <c r="G433" s="2">
        <v>10</v>
      </c>
      <c r="H433" s="2">
        <v>12.1</v>
      </c>
      <c r="I433" s="3">
        <v>109</v>
      </c>
      <c r="J433" s="4">
        <v>39</v>
      </c>
      <c r="K433" s="4">
        <v>91</v>
      </c>
      <c r="L433" s="3">
        <v>42.2</v>
      </c>
      <c r="M433" s="4">
        <v>23</v>
      </c>
      <c r="N433" s="4">
        <v>65</v>
      </c>
      <c r="O433" s="3">
        <v>36.4</v>
      </c>
      <c r="P433" s="3">
        <v>8</v>
      </c>
      <c r="Q433" s="3">
        <v>13</v>
      </c>
      <c r="R433" s="3">
        <v>66.7</v>
      </c>
      <c r="S433" s="4">
        <v>26</v>
      </c>
      <c r="T433" s="4">
        <v>47</v>
      </c>
      <c r="U433" s="4">
        <v>73</v>
      </c>
      <c r="V433" s="4">
        <v>18</v>
      </c>
      <c r="W433" s="4">
        <v>8</v>
      </c>
      <c r="X433" s="4">
        <v>8</v>
      </c>
      <c r="Y433" s="4">
        <v>13</v>
      </c>
      <c r="Z433" s="4">
        <v>34</v>
      </c>
      <c r="AA433" s="3">
        <v>273</v>
      </c>
      <c r="AB433" s="3">
        <v>0</v>
      </c>
      <c r="AC433" s="3">
        <v>0</v>
      </c>
      <c r="AD433" s="2">
        <v>-1.9</v>
      </c>
      <c r="AE433" s="2">
        <v>104.9</v>
      </c>
      <c r="AF433" s="2">
        <v>109.8</v>
      </c>
      <c r="AG433" s="2">
        <v>-5</v>
      </c>
      <c r="AH433" s="2">
        <v>7.8</v>
      </c>
      <c r="AI433" s="2">
        <v>2.13</v>
      </c>
      <c r="AJ433" s="2">
        <v>14</v>
      </c>
      <c r="AK433" s="2">
        <v>7.6</v>
      </c>
      <c r="AL433" s="2">
        <v>13.8</v>
      </c>
      <c r="AM433" s="2">
        <v>10.6</v>
      </c>
      <c r="AN433" s="2">
        <v>6.6</v>
      </c>
      <c r="AO433" s="2">
        <v>55.6</v>
      </c>
      <c r="AP433" s="2">
        <v>56.7</v>
      </c>
      <c r="AQ433" s="2">
        <v>13.9</v>
      </c>
      <c r="AR433" s="2">
        <v>98.16</v>
      </c>
      <c r="AS433" s="2">
        <v>8</v>
      </c>
      <c r="AT433" s="2">
        <v>634</v>
      </c>
      <c r="AU433" s="53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6"/>
    </row>
    <row r="434" spans="1:69" ht="13.2">
      <c r="A434" s="1" t="s">
        <v>892</v>
      </c>
      <c r="B434" s="1" t="s">
        <v>893</v>
      </c>
      <c r="C434" s="24" t="str">
        <f>VLOOKUP(B434,Equipe!$A$1:$B$31,2,FALSE)</f>
        <v>Utah Jazz</v>
      </c>
      <c r="D434" s="2">
        <v>22</v>
      </c>
      <c r="E434" s="2">
        <v>43</v>
      </c>
      <c r="F434" s="2">
        <v>22</v>
      </c>
      <c r="G434" s="2">
        <v>21</v>
      </c>
      <c r="H434" s="2">
        <v>8.5</v>
      </c>
      <c r="I434" s="3">
        <v>108</v>
      </c>
      <c r="J434" s="4">
        <v>34</v>
      </c>
      <c r="K434" s="4">
        <v>90</v>
      </c>
      <c r="L434" s="3">
        <v>38.9</v>
      </c>
      <c r="M434" s="4">
        <v>13</v>
      </c>
      <c r="N434" s="4">
        <v>47</v>
      </c>
      <c r="O434" s="3">
        <v>25</v>
      </c>
      <c r="P434" s="3">
        <v>26</v>
      </c>
      <c r="Q434" s="3">
        <v>39</v>
      </c>
      <c r="R434" s="3">
        <v>71.099999999999994</v>
      </c>
      <c r="S434" s="4">
        <v>17</v>
      </c>
      <c r="T434" s="4">
        <v>43</v>
      </c>
      <c r="U434" s="4">
        <v>56</v>
      </c>
      <c r="V434" s="4">
        <v>34</v>
      </c>
      <c r="W434" s="4">
        <v>17</v>
      </c>
      <c r="X434" s="4">
        <v>26</v>
      </c>
      <c r="Y434" s="4">
        <v>4</v>
      </c>
      <c r="Z434" s="4">
        <v>43</v>
      </c>
      <c r="AA434" s="3">
        <v>297</v>
      </c>
      <c r="AB434" s="3">
        <v>0</v>
      </c>
      <c r="AC434" s="3">
        <v>0</v>
      </c>
      <c r="AD434" s="2">
        <v>-0.7</v>
      </c>
      <c r="AE434" s="2">
        <v>105.6</v>
      </c>
      <c r="AF434" s="2">
        <v>108.9</v>
      </c>
      <c r="AG434" s="2">
        <v>-3.3</v>
      </c>
      <c r="AH434" s="2">
        <v>13</v>
      </c>
      <c r="AI434" s="2">
        <v>2.06</v>
      </c>
      <c r="AJ434" s="2">
        <v>21</v>
      </c>
      <c r="AK434" s="2">
        <v>4.4000000000000004</v>
      </c>
      <c r="AL434" s="2">
        <v>10.7</v>
      </c>
      <c r="AM434" s="2">
        <v>7.6</v>
      </c>
      <c r="AN434" s="2">
        <v>10.199999999999999</v>
      </c>
      <c r="AO434" s="2">
        <v>45.6</v>
      </c>
      <c r="AP434" s="2">
        <v>51.1</v>
      </c>
      <c r="AQ434" s="2">
        <v>13.9</v>
      </c>
      <c r="AR434" s="2">
        <v>102.79</v>
      </c>
      <c r="AS434" s="2">
        <v>6.3</v>
      </c>
      <c r="AT434" s="2">
        <v>779</v>
      </c>
      <c r="AU434" s="53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6"/>
    </row>
    <row r="435" spans="1:69" ht="13.2">
      <c r="A435" s="1" t="s">
        <v>896</v>
      </c>
      <c r="B435" s="1" t="s">
        <v>897</v>
      </c>
      <c r="C435" s="24" t="str">
        <f>VLOOKUP(B435,Equipe!$A$1:$B$31,2,FALSE)</f>
        <v>Philadelphia 76ers</v>
      </c>
      <c r="D435" s="2">
        <v>21</v>
      </c>
      <c r="E435" s="2">
        <v>15</v>
      </c>
      <c r="F435" s="2">
        <v>3</v>
      </c>
      <c r="G435" s="2">
        <v>12</v>
      </c>
      <c r="H435" s="2">
        <v>21</v>
      </c>
      <c r="I435" s="3">
        <v>107</v>
      </c>
      <c r="J435" s="4">
        <v>38</v>
      </c>
      <c r="K435" s="4">
        <v>98</v>
      </c>
      <c r="L435" s="3">
        <v>37.799999999999997</v>
      </c>
      <c r="M435" s="4">
        <v>14</v>
      </c>
      <c r="N435" s="4">
        <v>47</v>
      </c>
      <c r="O435" s="3">
        <v>30.4</v>
      </c>
      <c r="P435" s="3">
        <v>18</v>
      </c>
      <c r="Q435" s="3">
        <v>21</v>
      </c>
      <c r="R435" s="3">
        <v>85.7</v>
      </c>
      <c r="S435" s="4">
        <v>3</v>
      </c>
      <c r="T435" s="4">
        <v>24</v>
      </c>
      <c r="U435" s="4">
        <v>27</v>
      </c>
      <c r="V435" s="4">
        <v>38</v>
      </c>
      <c r="W435" s="4">
        <v>18</v>
      </c>
      <c r="X435" s="4">
        <v>5</v>
      </c>
      <c r="Y435" s="4">
        <v>8</v>
      </c>
      <c r="Z435" s="4">
        <v>26</v>
      </c>
      <c r="AA435" s="3">
        <v>212</v>
      </c>
      <c r="AB435" s="3">
        <v>0</v>
      </c>
      <c r="AC435" s="3">
        <v>0</v>
      </c>
      <c r="AD435" s="2">
        <v>-6.4</v>
      </c>
      <c r="AE435" s="2">
        <v>107.2</v>
      </c>
      <c r="AF435" s="2">
        <v>123.5</v>
      </c>
      <c r="AG435" s="2">
        <v>-16.399999999999999</v>
      </c>
      <c r="AH435" s="2">
        <v>16.5</v>
      </c>
      <c r="AI435" s="2">
        <v>2.06</v>
      </c>
      <c r="AJ435" s="2">
        <v>22.7</v>
      </c>
      <c r="AK435" s="2">
        <v>0.9</v>
      </c>
      <c r="AL435" s="2">
        <v>7.7</v>
      </c>
      <c r="AM435" s="2">
        <v>4.0999999999999996</v>
      </c>
      <c r="AN435" s="2">
        <v>11</v>
      </c>
      <c r="AO435" s="2">
        <v>44.9</v>
      </c>
      <c r="AP435" s="2">
        <v>49.4</v>
      </c>
      <c r="AQ435" s="2">
        <v>16.399999999999999</v>
      </c>
      <c r="AR435" s="2">
        <v>101.36</v>
      </c>
      <c r="AS435" s="2">
        <v>4.9000000000000004</v>
      </c>
      <c r="AT435" s="2">
        <v>670</v>
      </c>
      <c r="AU435" s="53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6"/>
    </row>
    <row r="436" spans="1:69" ht="13.2">
      <c r="A436" s="1" t="s">
        <v>894</v>
      </c>
      <c r="B436" s="1" t="s">
        <v>895</v>
      </c>
      <c r="C436" s="24" t="str">
        <f>VLOOKUP(B436,Equipe!$A$1:$B$31,2,FALSE)</f>
        <v>Charlotte Hornets</v>
      </c>
      <c r="D436" s="2">
        <v>39</v>
      </c>
      <c r="E436" s="2">
        <v>37</v>
      </c>
      <c r="F436" s="2">
        <v>10</v>
      </c>
      <c r="G436" s="2">
        <v>27</v>
      </c>
      <c r="H436" s="2">
        <v>11.1</v>
      </c>
      <c r="I436" s="3">
        <v>107</v>
      </c>
      <c r="J436" s="4">
        <v>48</v>
      </c>
      <c r="K436" s="4">
        <v>96</v>
      </c>
      <c r="L436" s="3">
        <v>49.5</v>
      </c>
      <c r="M436" s="3">
        <v>0</v>
      </c>
      <c r="N436" s="4">
        <v>4</v>
      </c>
      <c r="O436" s="3">
        <v>50</v>
      </c>
      <c r="P436" s="3">
        <v>11</v>
      </c>
      <c r="Q436" s="3">
        <v>19</v>
      </c>
      <c r="R436" s="3">
        <v>60</v>
      </c>
      <c r="S436" s="4">
        <v>52</v>
      </c>
      <c r="T436" s="4">
        <v>70</v>
      </c>
      <c r="U436" s="4">
        <v>118</v>
      </c>
      <c r="V436" s="4">
        <v>22</v>
      </c>
      <c r="W436" s="4">
        <v>26</v>
      </c>
      <c r="X436" s="4">
        <v>7</v>
      </c>
      <c r="Y436" s="4">
        <v>19</v>
      </c>
      <c r="Z436" s="4">
        <v>56</v>
      </c>
      <c r="AA436" s="3">
        <v>337</v>
      </c>
      <c r="AB436" s="3">
        <v>1</v>
      </c>
      <c r="AC436" s="3">
        <v>0</v>
      </c>
      <c r="AD436" s="2">
        <v>-3.4</v>
      </c>
      <c r="AE436" s="2">
        <v>96.6</v>
      </c>
      <c r="AF436" s="2">
        <v>110.4</v>
      </c>
      <c r="AG436" s="2">
        <v>-13.8</v>
      </c>
      <c r="AH436" s="2">
        <v>8.1</v>
      </c>
      <c r="AI436" s="2">
        <v>0.84</v>
      </c>
      <c r="AJ436" s="2">
        <v>14</v>
      </c>
      <c r="AK436" s="2">
        <v>11.4</v>
      </c>
      <c r="AL436" s="2">
        <v>15.1</v>
      </c>
      <c r="AM436" s="2">
        <v>13.3</v>
      </c>
      <c r="AN436" s="2">
        <v>16.7</v>
      </c>
      <c r="AO436" s="2">
        <v>50</v>
      </c>
      <c r="AP436" s="2">
        <v>51.5</v>
      </c>
      <c r="AQ436" s="2">
        <v>13.2</v>
      </c>
      <c r="AR436" s="2">
        <v>99.38</v>
      </c>
      <c r="AS436" s="2">
        <v>6.8</v>
      </c>
      <c r="AT436" s="2">
        <v>843</v>
      </c>
      <c r="AU436" s="53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6"/>
    </row>
    <row r="437" spans="1:69" ht="13.2">
      <c r="A437" s="1" t="s">
        <v>898</v>
      </c>
      <c r="B437" s="1" t="s">
        <v>899</v>
      </c>
      <c r="C437" s="24" t="str">
        <f>VLOOKUP(B437,Equipe!$A$1:$B$31,2,FALSE)</f>
        <v>Los Angeles Lakers</v>
      </c>
      <c r="D437" s="2">
        <v>25</v>
      </c>
      <c r="E437" s="2">
        <v>33</v>
      </c>
      <c r="F437" s="2">
        <v>15</v>
      </c>
      <c r="G437" s="2">
        <v>18</v>
      </c>
      <c r="H437" s="2">
        <v>17.899999999999999</v>
      </c>
      <c r="I437" s="3">
        <v>106</v>
      </c>
      <c r="J437" s="4">
        <v>40</v>
      </c>
      <c r="K437" s="4">
        <v>92</v>
      </c>
      <c r="L437" s="3">
        <v>40.4</v>
      </c>
      <c r="M437" s="4">
        <v>13</v>
      </c>
      <c r="N437" s="4">
        <v>46</v>
      </c>
      <c r="O437" s="3">
        <v>27.7</v>
      </c>
      <c r="P437" s="3">
        <v>17</v>
      </c>
      <c r="Q437" s="3">
        <v>26</v>
      </c>
      <c r="R437" s="3">
        <v>61.5</v>
      </c>
      <c r="S437" s="4">
        <v>17</v>
      </c>
      <c r="T437" s="4">
        <v>50</v>
      </c>
      <c r="U437" s="4">
        <v>66</v>
      </c>
      <c r="V437" s="4">
        <v>23</v>
      </c>
      <c r="W437" s="4">
        <v>13</v>
      </c>
      <c r="X437" s="4">
        <v>33</v>
      </c>
      <c r="Y437" s="4">
        <v>10</v>
      </c>
      <c r="Z437" s="4">
        <v>43</v>
      </c>
      <c r="AA437" s="3">
        <v>333</v>
      </c>
      <c r="AB437" s="3">
        <v>0</v>
      </c>
      <c r="AC437" s="3">
        <v>0</v>
      </c>
      <c r="AD437" s="2">
        <v>-2.8</v>
      </c>
      <c r="AE437" s="2">
        <v>107.6</v>
      </c>
      <c r="AF437" s="2">
        <v>115.9</v>
      </c>
      <c r="AG437" s="2">
        <v>-8.4</v>
      </c>
      <c r="AH437" s="2">
        <v>4.9000000000000004</v>
      </c>
      <c r="AI437" s="2">
        <v>1.83</v>
      </c>
      <c r="AJ437" s="2">
        <v>15.8</v>
      </c>
      <c r="AK437" s="2">
        <v>2.9</v>
      </c>
      <c r="AL437" s="2">
        <v>8.1</v>
      </c>
      <c r="AM437" s="2">
        <v>5.6</v>
      </c>
      <c r="AN437" s="2">
        <v>8.6</v>
      </c>
      <c r="AO437" s="2">
        <v>47.3</v>
      </c>
      <c r="AP437" s="2">
        <v>49.8</v>
      </c>
      <c r="AQ437" s="2">
        <v>8.4</v>
      </c>
      <c r="AR437" s="2">
        <v>100.53</v>
      </c>
      <c r="AS437" s="2">
        <v>4</v>
      </c>
      <c r="AT437" s="2">
        <v>1240</v>
      </c>
      <c r="AU437" s="53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6"/>
    </row>
    <row r="438" spans="1:69" ht="13.2">
      <c r="A438" s="1" t="s">
        <v>900</v>
      </c>
      <c r="B438" s="1" t="s">
        <v>901</v>
      </c>
      <c r="C438" s="24" t="str">
        <f>VLOOKUP(B438,Equipe!$A$1:$B$31,2,FALSE)</f>
        <v>Utah Jazz</v>
      </c>
      <c r="D438" s="2">
        <v>25</v>
      </c>
      <c r="E438" s="2">
        <v>14</v>
      </c>
      <c r="F438" s="2">
        <v>3</v>
      </c>
      <c r="G438" s="2">
        <v>11</v>
      </c>
      <c r="H438" s="2">
        <v>18.2</v>
      </c>
      <c r="I438" s="3">
        <v>106</v>
      </c>
      <c r="J438" s="4">
        <v>42</v>
      </c>
      <c r="K438" s="4">
        <v>70</v>
      </c>
      <c r="L438" s="3">
        <v>60</v>
      </c>
      <c r="M438" s="3">
        <v>0</v>
      </c>
      <c r="N438" s="3">
        <v>0</v>
      </c>
      <c r="O438" s="3">
        <v>0</v>
      </c>
      <c r="P438" s="3">
        <v>22</v>
      </c>
      <c r="Q438" s="3">
        <v>31</v>
      </c>
      <c r="R438" s="3">
        <v>74.2</v>
      </c>
      <c r="S438" s="4">
        <v>46</v>
      </c>
      <c r="T438" s="4">
        <v>76</v>
      </c>
      <c r="U438" s="4">
        <v>122</v>
      </c>
      <c r="V438" s="4">
        <v>8</v>
      </c>
      <c r="W438" s="4">
        <v>10</v>
      </c>
      <c r="X438" s="4">
        <v>13</v>
      </c>
      <c r="Y438" s="4">
        <v>1</v>
      </c>
      <c r="Z438" s="4">
        <v>24</v>
      </c>
      <c r="AA438" s="3">
        <v>300</v>
      </c>
      <c r="AB438" s="3">
        <v>4</v>
      </c>
      <c r="AC438" s="3">
        <v>0</v>
      </c>
      <c r="AD438" s="2">
        <v>-0.8</v>
      </c>
      <c r="AE438" s="2">
        <v>113.4</v>
      </c>
      <c r="AF438" s="2">
        <v>115.8</v>
      </c>
      <c r="AG438" s="2">
        <v>-2.5</v>
      </c>
      <c r="AH438" s="2">
        <v>5.0999999999999996</v>
      </c>
      <c r="AI438" s="2">
        <v>0.9</v>
      </c>
      <c r="AJ438" s="2">
        <v>8.9</v>
      </c>
      <c r="AK438" s="2">
        <v>16</v>
      </c>
      <c r="AL438" s="2">
        <v>28.6</v>
      </c>
      <c r="AM438" s="2">
        <v>22.1</v>
      </c>
      <c r="AN438" s="2">
        <v>9.9</v>
      </c>
      <c r="AO438" s="2">
        <v>60</v>
      </c>
      <c r="AP438" s="2">
        <v>64</v>
      </c>
      <c r="AQ438" s="2">
        <v>14.4</v>
      </c>
      <c r="AR438" s="2">
        <v>101.2</v>
      </c>
      <c r="AS438" s="2">
        <v>14</v>
      </c>
      <c r="AT438" s="2">
        <v>539</v>
      </c>
      <c r="AU438" s="53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6"/>
    </row>
    <row r="439" spans="1:69" ht="13.2">
      <c r="A439" s="1" t="s">
        <v>904</v>
      </c>
      <c r="B439" s="1" t="s">
        <v>905</v>
      </c>
      <c r="C439" s="24" t="str">
        <f>VLOOKUP(B439,Equipe!$A$1:$B$31,2,FALSE)</f>
        <v>Memphis Grizzlies</v>
      </c>
      <c r="D439" s="2">
        <v>25</v>
      </c>
      <c r="E439" s="2">
        <v>25</v>
      </c>
      <c r="F439" s="2">
        <v>14</v>
      </c>
      <c r="G439" s="2">
        <v>11</v>
      </c>
      <c r="H439" s="2">
        <v>10.1</v>
      </c>
      <c r="I439" s="3">
        <v>105</v>
      </c>
      <c r="J439" s="4">
        <v>35</v>
      </c>
      <c r="K439" s="4">
        <v>83</v>
      </c>
      <c r="L439" s="3">
        <v>41.5</v>
      </c>
      <c r="M439" s="4">
        <v>20</v>
      </c>
      <c r="N439" s="4">
        <v>53</v>
      </c>
      <c r="O439" s="3">
        <v>36.5</v>
      </c>
      <c r="P439" s="3">
        <v>20</v>
      </c>
      <c r="Q439" s="3">
        <v>20</v>
      </c>
      <c r="R439" s="3">
        <v>100</v>
      </c>
      <c r="S439" s="4">
        <v>13</v>
      </c>
      <c r="T439" s="4">
        <v>18</v>
      </c>
      <c r="U439" s="4">
        <v>30</v>
      </c>
      <c r="V439" s="4">
        <v>35</v>
      </c>
      <c r="W439" s="4">
        <v>5</v>
      </c>
      <c r="X439" s="4">
        <v>10</v>
      </c>
      <c r="Y439" s="3">
        <v>0</v>
      </c>
      <c r="Z439" s="4">
        <v>23</v>
      </c>
      <c r="AA439" s="3">
        <v>218</v>
      </c>
      <c r="AB439" s="3">
        <v>0</v>
      </c>
      <c r="AC439" s="3">
        <v>0</v>
      </c>
      <c r="AD439" s="2">
        <v>1.6</v>
      </c>
      <c r="AE439" s="2">
        <v>116.4</v>
      </c>
      <c r="AF439" s="2">
        <v>109.6</v>
      </c>
      <c r="AG439" s="2">
        <v>6.8</v>
      </c>
      <c r="AH439" s="2">
        <v>18.2</v>
      </c>
      <c r="AI439" s="2">
        <v>5.67</v>
      </c>
      <c r="AJ439" s="2">
        <v>26.2</v>
      </c>
      <c r="AK439" s="2">
        <v>4.3</v>
      </c>
      <c r="AL439" s="2">
        <v>7</v>
      </c>
      <c r="AM439" s="2">
        <v>5.6</v>
      </c>
      <c r="AN439" s="2">
        <v>4.5999999999999996</v>
      </c>
      <c r="AO439" s="2">
        <v>53</v>
      </c>
      <c r="AP439" s="2">
        <v>58.7</v>
      </c>
      <c r="AQ439" s="2">
        <v>14.8</v>
      </c>
      <c r="AR439" s="2">
        <v>103.04</v>
      </c>
      <c r="AS439" s="2">
        <v>8.6999999999999993</v>
      </c>
      <c r="AT439" s="2">
        <v>543</v>
      </c>
      <c r="AU439" s="53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6"/>
    </row>
    <row r="440" spans="1:69" ht="13.2">
      <c r="A440" s="1" t="s">
        <v>902</v>
      </c>
      <c r="B440" s="1" t="s">
        <v>903</v>
      </c>
      <c r="C440" s="24" t="str">
        <f>VLOOKUP(B440,Equipe!$A$1:$B$31,2,FALSE)</f>
        <v>Indiana Pacers</v>
      </c>
      <c r="D440" s="2">
        <v>20</v>
      </c>
      <c r="E440" s="2">
        <v>50</v>
      </c>
      <c r="F440" s="2">
        <v>31</v>
      </c>
      <c r="G440" s="2">
        <v>19</v>
      </c>
      <c r="H440" s="2">
        <v>7.6</v>
      </c>
      <c r="I440" s="3">
        <v>105</v>
      </c>
      <c r="J440" s="4">
        <v>35</v>
      </c>
      <c r="K440" s="4">
        <v>90</v>
      </c>
      <c r="L440" s="3">
        <v>38</v>
      </c>
      <c r="M440" s="4">
        <v>15</v>
      </c>
      <c r="N440" s="4">
        <v>50</v>
      </c>
      <c r="O440" s="3">
        <v>30</v>
      </c>
      <c r="P440" s="3">
        <v>20</v>
      </c>
      <c r="Q440" s="3">
        <v>20</v>
      </c>
      <c r="R440" s="3">
        <v>81.8</v>
      </c>
      <c r="S440" s="4">
        <v>25</v>
      </c>
      <c r="T440" s="4">
        <v>50</v>
      </c>
      <c r="U440" s="4">
        <v>70</v>
      </c>
      <c r="V440" s="4">
        <v>20</v>
      </c>
      <c r="W440" s="4">
        <v>10</v>
      </c>
      <c r="X440" s="4">
        <v>20</v>
      </c>
      <c r="Y440" s="4">
        <v>10</v>
      </c>
      <c r="Z440" s="4">
        <v>40</v>
      </c>
      <c r="AA440" s="3">
        <v>290</v>
      </c>
      <c r="AB440" s="3">
        <v>0</v>
      </c>
      <c r="AC440" s="3">
        <v>0</v>
      </c>
      <c r="AD440" s="2">
        <v>0.4</v>
      </c>
      <c r="AE440" s="2">
        <v>106.1</v>
      </c>
      <c r="AF440" s="2">
        <v>105.4</v>
      </c>
      <c r="AG440" s="2">
        <v>0.6</v>
      </c>
      <c r="AH440" s="2">
        <v>6.3</v>
      </c>
      <c r="AI440" s="2">
        <v>1.58</v>
      </c>
      <c r="AJ440" s="2">
        <v>14.4</v>
      </c>
      <c r="AK440" s="2">
        <v>6</v>
      </c>
      <c r="AL440" s="2">
        <v>12.6</v>
      </c>
      <c r="AM440" s="2">
        <v>9.3000000000000007</v>
      </c>
      <c r="AN440" s="2">
        <v>9.1</v>
      </c>
      <c r="AO440" s="2">
        <v>46.2</v>
      </c>
      <c r="AP440" s="2">
        <v>50.6</v>
      </c>
      <c r="AQ440" s="2">
        <v>11.8</v>
      </c>
      <c r="AR440" s="2">
        <v>105.49</v>
      </c>
      <c r="AS440" s="2">
        <v>5.9</v>
      </c>
      <c r="AT440" s="2">
        <v>842</v>
      </c>
      <c r="AU440" s="53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6"/>
    </row>
    <row r="441" spans="1:69" ht="13.2">
      <c r="A441" s="1" t="s">
        <v>906</v>
      </c>
      <c r="B441" s="1" t="s">
        <v>907</v>
      </c>
      <c r="C441" s="24" t="str">
        <f>VLOOKUP(B441,Equipe!$A$1:$B$31,2,FALSE)</f>
        <v>Los Angeles Lakers</v>
      </c>
      <c r="D441" s="2">
        <v>33</v>
      </c>
      <c r="E441" s="2">
        <v>34</v>
      </c>
      <c r="F441" s="2">
        <v>18</v>
      </c>
      <c r="G441" s="2">
        <v>16</v>
      </c>
      <c r="H441" s="2">
        <v>18.7</v>
      </c>
      <c r="I441" s="3">
        <v>102</v>
      </c>
      <c r="J441" s="4">
        <v>37</v>
      </c>
      <c r="K441" s="4">
        <v>95</v>
      </c>
      <c r="L441" s="3">
        <v>38.5</v>
      </c>
      <c r="M441" s="4">
        <v>14</v>
      </c>
      <c r="N441" s="4">
        <v>48</v>
      </c>
      <c r="O441" s="3">
        <v>26.5</v>
      </c>
      <c r="P441" s="3">
        <v>17</v>
      </c>
      <c r="Q441" s="3">
        <v>20</v>
      </c>
      <c r="R441" s="3">
        <v>76.2</v>
      </c>
      <c r="S441" s="4">
        <v>24</v>
      </c>
      <c r="T441" s="4">
        <v>71</v>
      </c>
      <c r="U441" s="4">
        <v>95</v>
      </c>
      <c r="V441" s="4">
        <v>44</v>
      </c>
      <c r="W441" s="4">
        <v>24</v>
      </c>
      <c r="X441" s="4">
        <v>10</v>
      </c>
      <c r="Y441" s="4">
        <v>17</v>
      </c>
      <c r="Z441" s="4">
        <v>65</v>
      </c>
      <c r="AA441" s="3">
        <v>337</v>
      </c>
      <c r="AB441" s="3">
        <v>0</v>
      </c>
      <c r="AC441" s="3">
        <v>0</v>
      </c>
      <c r="AD441" s="2">
        <v>-0.5</v>
      </c>
      <c r="AE441" s="2">
        <v>111.9</v>
      </c>
      <c r="AF441" s="2">
        <v>112.3</v>
      </c>
      <c r="AG441" s="2">
        <v>-0.4</v>
      </c>
      <c r="AH441" s="2">
        <v>8.6999999999999993</v>
      </c>
      <c r="AI441" s="2">
        <v>1.87</v>
      </c>
      <c r="AJ441" s="2">
        <v>25</v>
      </c>
      <c r="AK441" s="2">
        <v>4</v>
      </c>
      <c r="AL441" s="2">
        <v>10.5</v>
      </c>
      <c r="AM441" s="2">
        <v>7.3</v>
      </c>
      <c r="AN441" s="2">
        <v>13.4</v>
      </c>
      <c r="AO441" s="2">
        <v>45.3</v>
      </c>
      <c r="AP441" s="2">
        <v>48.9</v>
      </c>
      <c r="AQ441" s="2">
        <v>8.5</v>
      </c>
      <c r="AR441" s="2">
        <v>101.75</v>
      </c>
      <c r="AS441" s="2">
        <v>3.5</v>
      </c>
      <c r="AT441" s="2">
        <v>1345</v>
      </c>
      <c r="AU441" s="53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6"/>
    </row>
    <row r="442" spans="1:69" ht="13.2">
      <c r="A442" s="1" t="s">
        <v>908</v>
      </c>
      <c r="B442" s="1" t="s">
        <v>909</v>
      </c>
      <c r="C442" s="24" t="str">
        <f>VLOOKUP(B442,Equipe!$A$1:$B$31,2,FALSE)</f>
        <v>Golden State Warriors</v>
      </c>
      <c r="D442" s="2">
        <v>28</v>
      </c>
      <c r="E442" s="2">
        <v>39</v>
      </c>
      <c r="F442" s="2">
        <v>24</v>
      </c>
      <c r="G442" s="2">
        <v>15</v>
      </c>
      <c r="H442" s="2">
        <v>6.4</v>
      </c>
      <c r="I442" s="3">
        <v>98</v>
      </c>
      <c r="J442" s="4">
        <v>43</v>
      </c>
      <c r="K442" s="4">
        <v>101</v>
      </c>
      <c r="L442" s="3">
        <v>40.6</v>
      </c>
      <c r="M442" s="4">
        <v>4</v>
      </c>
      <c r="N442" s="4">
        <v>23</v>
      </c>
      <c r="O442" s="3">
        <v>22.7</v>
      </c>
      <c r="P442" s="3">
        <v>12</v>
      </c>
      <c r="Q442" s="3">
        <v>16</v>
      </c>
      <c r="R442" s="3">
        <v>73.3</v>
      </c>
      <c r="S442" s="4">
        <v>16</v>
      </c>
      <c r="T442" s="4">
        <v>31</v>
      </c>
      <c r="U442" s="4">
        <v>47</v>
      </c>
      <c r="V442" s="4">
        <v>47</v>
      </c>
      <c r="W442" s="4">
        <v>20</v>
      </c>
      <c r="X442" s="4">
        <v>16</v>
      </c>
      <c r="Y442" s="4">
        <v>4</v>
      </c>
      <c r="Z442" s="4">
        <v>20</v>
      </c>
      <c r="AA442" s="3">
        <v>257</v>
      </c>
      <c r="AB442" s="3">
        <v>0</v>
      </c>
      <c r="AC442" s="3">
        <v>0</v>
      </c>
      <c r="AD442" s="2">
        <v>-0.4</v>
      </c>
      <c r="AE442" s="2">
        <v>105</v>
      </c>
      <c r="AF442" s="2">
        <v>107.8</v>
      </c>
      <c r="AG442" s="2">
        <v>-2.8</v>
      </c>
      <c r="AH442" s="2">
        <v>27.4</v>
      </c>
      <c r="AI442" s="2">
        <v>2.67</v>
      </c>
      <c r="AJ442" s="2">
        <v>27.6</v>
      </c>
      <c r="AK442" s="2">
        <v>5.5</v>
      </c>
      <c r="AL442" s="2">
        <v>13.1</v>
      </c>
      <c r="AM442" s="2">
        <v>9</v>
      </c>
      <c r="AN442" s="2">
        <v>10.3</v>
      </c>
      <c r="AO442" s="2">
        <v>43.1</v>
      </c>
      <c r="AP442" s="2">
        <v>45.5</v>
      </c>
      <c r="AQ442" s="2">
        <v>20.399999999999999</v>
      </c>
      <c r="AR442" s="2">
        <v>103.26</v>
      </c>
      <c r="AS442" s="2">
        <v>9.3000000000000007</v>
      </c>
      <c r="AT442" s="2">
        <v>536</v>
      </c>
      <c r="AU442" s="53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6"/>
    </row>
    <row r="443" spans="1:69" ht="13.2">
      <c r="A443" s="1" t="s">
        <v>910</v>
      </c>
      <c r="B443" s="1" t="s">
        <v>911</v>
      </c>
      <c r="C443" s="24" t="str">
        <f>VLOOKUP(B443,Equipe!$A$1:$B$31,2,FALSE)</f>
        <v>San Antonio Spurs</v>
      </c>
      <c r="D443" s="2">
        <v>29</v>
      </c>
      <c r="E443" s="2">
        <v>46</v>
      </c>
      <c r="F443" s="2">
        <v>17</v>
      </c>
      <c r="G443" s="2">
        <v>29</v>
      </c>
      <c r="H443" s="2">
        <v>6.8</v>
      </c>
      <c r="I443" s="3">
        <v>97</v>
      </c>
      <c r="J443" s="4">
        <v>32</v>
      </c>
      <c r="K443" s="4">
        <v>74</v>
      </c>
      <c r="L443" s="3">
        <v>43.1</v>
      </c>
      <c r="M443" s="4">
        <v>18</v>
      </c>
      <c r="N443" s="4">
        <v>46</v>
      </c>
      <c r="O443" s="3">
        <v>41.3</v>
      </c>
      <c r="P443" s="3">
        <v>18</v>
      </c>
      <c r="Q443" s="3">
        <v>23</v>
      </c>
      <c r="R443" s="3">
        <v>77.3</v>
      </c>
      <c r="S443" s="4">
        <v>5</v>
      </c>
      <c r="T443" s="4">
        <v>23</v>
      </c>
      <c r="U443" s="4">
        <v>32</v>
      </c>
      <c r="V443" s="4">
        <v>51</v>
      </c>
      <c r="W443" s="4">
        <v>14</v>
      </c>
      <c r="X443" s="4">
        <v>14</v>
      </c>
      <c r="Y443" s="3">
        <v>0</v>
      </c>
      <c r="Z443" s="4">
        <v>18</v>
      </c>
      <c r="AA443" s="3">
        <v>244</v>
      </c>
      <c r="AB443" s="3">
        <v>0</v>
      </c>
      <c r="AC443" s="3">
        <v>0</v>
      </c>
      <c r="AD443" s="2">
        <v>1.2</v>
      </c>
      <c r="AE443" s="2">
        <v>118</v>
      </c>
      <c r="AF443" s="2">
        <v>108.9</v>
      </c>
      <c r="AG443" s="2">
        <v>9.1</v>
      </c>
      <c r="AH443" s="2">
        <v>20.8</v>
      </c>
      <c r="AI443" s="2">
        <v>3.19</v>
      </c>
      <c r="AJ443" s="2">
        <v>34.200000000000003</v>
      </c>
      <c r="AK443" s="2">
        <v>2.1</v>
      </c>
      <c r="AL443" s="2">
        <v>7.4</v>
      </c>
      <c r="AM443" s="2">
        <v>5</v>
      </c>
      <c r="AN443" s="2">
        <v>10.7</v>
      </c>
      <c r="AO443" s="2">
        <v>56.3</v>
      </c>
      <c r="AP443" s="2">
        <v>60</v>
      </c>
      <c r="AQ443" s="2">
        <v>13.4</v>
      </c>
      <c r="AR443" s="2">
        <v>99.58</v>
      </c>
      <c r="AS443" s="2">
        <v>8.3000000000000007</v>
      </c>
      <c r="AT443" s="2">
        <v>651</v>
      </c>
      <c r="AU443" s="53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6"/>
    </row>
    <row r="444" spans="1:69" ht="13.2">
      <c r="A444" s="1" t="s">
        <v>914</v>
      </c>
      <c r="B444" s="1" t="s">
        <v>915</v>
      </c>
      <c r="C444" s="24" t="str">
        <f>VLOOKUP(B444,Equipe!$A$1:$B$31,2,FALSE)</f>
        <v>Milwaukee Bucks</v>
      </c>
      <c r="D444" s="2">
        <v>26</v>
      </c>
      <c r="E444" s="2">
        <v>53</v>
      </c>
      <c r="F444" s="2">
        <v>34</v>
      </c>
      <c r="G444" s="2">
        <v>19</v>
      </c>
      <c r="H444" s="2">
        <v>11.9</v>
      </c>
      <c r="I444" s="3">
        <v>95</v>
      </c>
      <c r="J444" s="4">
        <v>42</v>
      </c>
      <c r="K444" s="4">
        <v>69</v>
      </c>
      <c r="L444" s="3">
        <v>63.4</v>
      </c>
      <c r="M444" s="3">
        <v>0</v>
      </c>
      <c r="N444" s="3">
        <v>0</v>
      </c>
      <c r="O444" s="3">
        <v>0</v>
      </c>
      <c r="P444" s="3">
        <v>11</v>
      </c>
      <c r="Q444" s="3">
        <v>11</v>
      </c>
      <c r="R444" s="3">
        <v>61.5</v>
      </c>
      <c r="S444" s="4">
        <v>69</v>
      </c>
      <c r="T444" s="4">
        <v>127</v>
      </c>
      <c r="U444" s="4">
        <v>196</v>
      </c>
      <c r="V444" s="4">
        <v>32</v>
      </c>
      <c r="W444" s="4">
        <v>32</v>
      </c>
      <c r="X444" s="4">
        <v>11</v>
      </c>
      <c r="Y444" s="4">
        <v>21</v>
      </c>
      <c r="Z444" s="4">
        <v>64</v>
      </c>
      <c r="AA444" s="3">
        <v>440</v>
      </c>
      <c r="AB444" s="3">
        <v>0</v>
      </c>
      <c r="AC444" s="3">
        <v>0</v>
      </c>
      <c r="AD444" s="2">
        <v>0.5</v>
      </c>
      <c r="AE444" s="2">
        <v>111.5</v>
      </c>
      <c r="AF444" s="2">
        <v>109.1</v>
      </c>
      <c r="AG444" s="2">
        <v>2.4</v>
      </c>
      <c r="AH444" s="2">
        <v>6.8</v>
      </c>
      <c r="AI444" s="2">
        <v>1</v>
      </c>
      <c r="AJ444" s="2">
        <v>23.1</v>
      </c>
      <c r="AK444" s="2">
        <v>11.4</v>
      </c>
      <c r="AL444" s="2">
        <v>19.600000000000001</v>
      </c>
      <c r="AM444" s="2">
        <v>15.6</v>
      </c>
      <c r="AN444" s="2">
        <v>23.1</v>
      </c>
      <c r="AO444" s="2">
        <v>63.4</v>
      </c>
      <c r="AP444" s="2">
        <v>63.9</v>
      </c>
      <c r="AQ444" s="2">
        <v>7.4</v>
      </c>
      <c r="AR444" s="2">
        <v>98.7</v>
      </c>
      <c r="AS444" s="2">
        <v>7</v>
      </c>
      <c r="AT444" s="2">
        <v>1295</v>
      </c>
      <c r="AU444" s="53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6"/>
    </row>
    <row r="445" spans="1:69" ht="13.2">
      <c r="A445" s="1" t="s">
        <v>912</v>
      </c>
      <c r="B445" s="1" t="s">
        <v>913</v>
      </c>
      <c r="C445" s="24" t="str">
        <f>VLOOKUP(B445,Equipe!$A$1:$B$31,2,FALSE)</f>
        <v>Los Angeles Lakers</v>
      </c>
      <c r="D445" s="2">
        <v>25</v>
      </c>
      <c r="E445" s="2">
        <v>38</v>
      </c>
      <c r="F445" s="2">
        <v>17</v>
      </c>
      <c r="G445" s="2">
        <v>21</v>
      </c>
      <c r="H445" s="2">
        <v>10.3</v>
      </c>
      <c r="I445" s="3">
        <v>95</v>
      </c>
      <c r="J445" s="4">
        <v>42</v>
      </c>
      <c r="K445" s="4">
        <v>72</v>
      </c>
      <c r="L445" s="3">
        <v>55.4</v>
      </c>
      <c r="M445" s="3">
        <v>0</v>
      </c>
      <c r="N445" s="3">
        <v>0</v>
      </c>
      <c r="O445" s="3">
        <v>0</v>
      </c>
      <c r="P445" s="3">
        <v>11</v>
      </c>
      <c r="Q445" s="3">
        <v>34</v>
      </c>
      <c r="R445" s="3">
        <v>39.4</v>
      </c>
      <c r="S445" s="4">
        <v>46</v>
      </c>
      <c r="T445" s="4">
        <v>61</v>
      </c>
      <c r="U445" s="4">
        <v>106</v>
      </c>
      <c r="V445" s="4">
        <v>15</v>
      </c>
      <c r="W445" s="4">
        <v>23</v>
      </c>
      <c r="X445" s="4">
        <v>8</v>
      </c>
      <c r="Y445" s="4">
        <v>15</v>
      </c>
      <c r="Z445" s="4">
        <v>68</v>
      </c>
      <c r="AA445" s="3">
        <v>293</v>
      </c>
      <c r="AB445" s="3">
        <v>0</v>
      </c>
      <c r="AC445" s="3">
        <v>0</v>
      </c>
      <c r="AD445" s="2">
        <v>-0.5</v>
      </c>
      <c r="AE445" s="2">
        <v>105.6</v>
      </c>
      <c r="AF445" s="2">
        <v>107.8</v>
      </c>
      <c r="AG445" s="2">
        <v>-2.2000000000000002</v>
      </c>
      <c r="AH445" s="2">
        <v>5.8</v>
      </c>
      <c r="AI445" s="2">
        <v>0.67</v>
      </c>
      <c r="AJ445" s="2">
        <v>12.3</v>
      </c>
      <c r="AK445" s="2">
        <v>11.4</v>
      </c>
      <c r="AL445" s="2">
        <v>14.1</v>
      </c>
      <c r="AM445" s="2">
        <v>12.8</v>
      </c>
      <c r="AN445" s="2">
        <v>18.5</v>
      </c>
      <c r="AO445" s="2">
        <v>55.4</v>
      </c>
      <c r="AP445" s="2">
        <v>53.7</v>
      </c>
      <c r="AQ445" s="2">
        <v>12.1</v>
      </c>
      <c r="AR445" s="2">
        <v>99.06</v>
      </c>
      <c r="AS445" s="2">
        <v>4.4000000000000004</v>
      </c>
      <c r="AT445" s="2">
        <v>809</v>
      </c>
      <c r="AU445" s="53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6"/>
    </row>
    <row r="446" spans="1:69" ht="13.2">
      <c r="A446" s="1" t="s">
        <v>916</v>
      </c>
      <c r="B446" s="1" t="s">
        <v>917</v>
      </c>
      <c r="C446" s="24" t="str">
        <f>VLOOKUP(B446,Equipe!$A$1:$B$31,2,FALSE)</f>
        <v>Brooklyn Nets</v>
      </c>
      <c r="D446" s="2">
        <v>23</v>
      </c>
      <c r="E446" s="2">
        <v>36</v>
      </c>
      <c r="F446" s="2">
        <v>13</v>
      </c>
      <c r="G446" s="2">
        <v>23</v>
      </c>
      <c r="H446" s="2">
        <v>13</v>
      </c>
      <c r="I446" s="3">
        <v>94</v>
      </c>
      <c r="J446" s="4">
        <v>36</v>
      </c>
      <c r="K446" s="4">
        <v>108</v>
      </c>
      <c r="L446" s="3">
        <v>32.700000000000003</v>
      </c>
      <c r="M446" s="4">
        <v>7</v>
      </c>
      <c r="N446" s="4">
        <v>40</v>
      </c>
      <c r="O446" s="3">
        <v>17.5</v>
      </c>
      <c r="P446" s="3">
        <v>14</v>
      </c>
      <c r="Q446" s="3">
        <v>22</v>
      </c>
      <c r="R446" s="3">
        <v>76.2</v>
      </c>
      <c r="S446" s="4">
        <v>14</v>
      </c>
      <c r="T446" s="4">
        <v>25</v>
      </c>
      <c r="U446" s="4">
        <v>40</v>
      </c>
      <c r="V446" s="4">
        <v>65</v>
      </c>
      <c r="W446" s="4">
        <v>22</v>
      </c>
      <c r="X446" s="4">
        <v>32</v>
      </c>
      <c r="Y446" s="4">
        <v>4</v>
      </c>
      <c r="Z446" s="4">
        <v>36</v>
      </c>
      <c r="AA446" s="3">
        <v>317</v>
      </c>
      <c r="AB446" s="3">
        <v>0</v>
      </c>
      <c r="AC446" s="3">
        <v>0</v>
      </c>
      <c r="AD446" s="2">
        <v>-3.3</v>
      </c>
      <c r="AE446" s="2">
        <v>98.5</v>
      </c>
      <c r="AF446" s="2">
        <v>110.4</v>
      </c>
      <c r="AG446" s="2">
        <v>-12</v>
      </c>
      <c r="AH446" s="2">
        <v>20.5</v>
      </c>
      <c r="AI446" s="2">
        <v>3</v>
      </c>
      <c r="AJ446" s="2">
        <v>31.3</v>
      </c>
      <c r="AK446" s="2">
        <v>2.4</v>
      </c>
      <c r="AL446" s="2">
        <v>6.1</v>
      </c>
      <c r="AM446" s="2">
        <v>4.0999999999999996</v>
      </c>
      <c r="AN446" s="2">
        <v>10.4</v>
      </c>
      <c r="AO446" s="2">
        <v>36</v>
      </c>
      <c r="AP446" s="2">
        <v>40</v>
      </c>
      <c r="AQ446" s="2">
        <v>12.2</v>
      </c>
      <c r="AR446" s="2">
        <v>99.16</v>
      </c>
      <c r="AS446" s="2">
        <v>5.0999999999999996</v>
      </c>
      <c r="AT446" s="2">
        <v>969</v>
      </c>
      <c r="AU446" s="53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6"/>
    </row>
    <row r="447" spans="1:69" ht="13.2">
      <c r="A447" s="1" t="s">
        <v>918</v>
      </c>
      <c r="B447" s="1" t="s">
        <v>919</v>
      </c>
      <c r="C447" s="24" t="str">
        <f>VLOOKUP(B447,Equipe!$A$1:$B$31,2,FALSE)</f>
        <v>Los Angeles Lakers</v>
      </c>
      <c r="D447" s="2">
        <v>24</v>
      </c>
      <c r="E447" s="2">
        <v>37</v>
      </c>
      <c r="F447" s="2">
        <v>23</v>
      </c>
      <c r="G447" s="2">
        <v>14</v>
      </c>
      <c r="H447" s="2">
        <v>9.1999999999999993</v>
      </c>
      <c r="I447" s="3">
        <v>89</v>
      </c>
      <c r="J447" s="4">
        <v>41</v>
      </c>
      <c r="K447" s="4">
        <v>67</v>
      </c>
      <c r="L447" s="3">
        <v>60.6</v>
      </c>
      <c r="M447" s="3">
        <v>0</v>
      </c>
      <c r="N447" s="4">
        <v>4</v>
      </c>
      <c r="O447" s="3">
        <v>0</v>
      </c>
      <c r="P447" s="3">
        <v>11</v>
      </c>
      <c r="Q447" s="3">
        <v>15</v>
      </c>
      <c r="R447" s="3">
        <v>71.400000000000006</v>
      </c>
      <c r="S447" s="4">
        <v>33</v>
      </c>
      <c r="T447" s="4">
        <v>56</v>
      </c>
      <c r="U447" s="4">
        <v>93</v>
      </c>
      <c r="V447" s="4">
        <v>15</v>
      </c>
      <c r="W447" s="4">
        <v>11</v>
      </c>
      <c r="X447" s="4">
        <v>7</v>
      </c>
      <c r="Y447" s="4">
        <v>15</v>
      </c>
      <c r="Z447" s="4">
        <v>44</v>
      </c>
      <c r="AA447" s="3">
        <v>285</v>
      </c>
      <c r="AB447" s="3">
        <v>0</v>
      </c>
      <c r="AC447" s="3">
        <v>0</v>
      </c>
      <c r="AD447" s="2">
        <v>-0.2</v>
      </c>
      <c r="AE447" s="2">
        <v>104.7</v>
      </c>
      <c r="AF447" s="2">
        <v>106</v>
      </c>
      <c r="AG447" s="2">
        <v>-1.3</v>
      </c>
      <c r="AH447" s="2">
        <v>6.8</v>
      </c>
      <c r="AI447" s="2">
        <v>1.33</v>
      </c>
      <c r="AJ447" s="2">
        <v>15.8</v>
      </c>
      <c r="AK447" s="2">
        <v>9.5</v>
      </c>
      <c r="AL447" s="2">
        <v>16.5</v>
      </c>
      <c r="AM447" s="2">
        <v>12.9</v>
      </c>
      <c r="AN447" s="2">
        <v>11.9</v>
      </c>
      <c r="AO447" s="2">
        <v>60.6</v>
      </c>
      <c r="AP447" s="2">
        <v>62.4</v>
      </c>
      <c r="AQ447" s="2">
        <v>10.4</v>
      </c>
      <c r="AR447" s="2">
        <v>101.19</v>
      </c>
      <c r="AS447" s="2">
        <v>8.1999999999999993</v>
      </c>
      <c r="AT447" s="2">
        <v>721</v>
      </c>
      <c r="AU447" s="53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6"/>
    </row>
    <row r="448" spans="1:69" ht="13.2">
      <c r="A448" s="1" t="s">
        <v>920</v>
      </c>
      <c r="B448" s="1" t="s">
        <v>921</v>
      </c>
      <c r="C448" s="24" t="str">
        <f>VLOOKUP(B448,Equipe!$A$1:$B$31,2,FALSE)</f>
        <v>Miami Heat</v>
      </c>
      <c r="D448" s="2">
        <v>27</v>
      </c>
      <c r="E448" s="2">
        <v>14</v>
      </c>
      <c r="F448" s="2">
        <v>8</v>
      </c>
      <c r="G448" s="2">
        <v>6</v>
      </c>
      <c r="H448" s="2">
        <v>19.2</v>
      </c>
      <c r="I448" s="3">
        <v>87</v>
      </c>
      <c r="J448" s="4">
        <v>31</v>
      </c>
      <c r="K448" s="4">
        <v>62</v>
      </c>
      <c r="L448" s="3">
        <v>50.8</v>
      </c>
      <c r="M448" s="4">
        <v>15</v>
      </c>
      <c r="N448" s="4">
        <v>29</v>
      </c>
      <c r="O448" s="3">
        <v>53.3</v>
      </c>
      <c r="P448" s="3">
        <v>8</v>
      </c>
      <c r="Q448" s="3">
        <v>13</v>
      </c>
      <c r="R448" s="3">
        <v>75</v>
      </c>
      <c r="S448" s="4">
        <v>13</v>
      </c>
      <c r="T448" s="4">
        <v>24</v>
      </c>
      <c r="U448" s="4">
        <v>36</v>
      </c>
      <c r="V448" s="4">
        <v>22</v>
      </c>
      <c r="W448" s="4">
        <v>17</v>
      </c>
      <c r="X448" s="4">
        <v>21</v>
      </c>
      <c r="Y448" s="4">
        <v>6</v>
      </c>
      <c r="Z448" s="4">
        <v>29</v>
      </c>
      <c r="AA448" s="3">
        <v>228</v>
      </c>
      <c r="AB448" s="3">
        <v>0</v>
      </c>
      <c r="AC448" s="3">
        <v>0</v>
      </c>
      <c r="AD448" s="2">
        <v>2.7</v>
      </c>
      <c r="AE448" s="2">
        <v>107.3</v>
      </c>
      <c r="AF448" s="2">
        <v>100.5</v>
      </c>
      <c r="AG448" s="2">
        <v>6.8</v>
      </c>
      <c r="AH448" s="2">
        <v>12.8</v>
      </c>
      <c r="AI448" s="2">
        <v>1.35</v>
      </c>
      <c r="AJ448" s="2">
        <v>21.5</v>
      </c>
      <c r="AK448" s="2">
        <v>4.2</v>
      </c>
      <c r="AL448" s="2">
        <v>8.6</v>
      </c>
      <c r="AM448" s="2">
        <v>6.4</v>
      </c>
      <c r="AN448" s="2">
        <v>15.9</v>
      </c>
      <c r="AO448" s="2">
        <v>63.9</v>
      </c>
      <c r="AP448" s="2">
        <v>65.599999999999994</v>
      </c>
      <c r="AQ448" s="2">
        <v>13.1</v>
      </c>
      <c r="AR448" s="2">
        <v>100.58</v>
      </c>
      <c r="AS448" s="2">
        <v>8.1999999999999993</v>
      </c>
      <c r="AT448" s="2">
        <v>562</v>
      </c>
      <c r="AU448" s="53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6"/>
    </row>
    <row r="449" spans="1:69" ht="13.2">
      <c r="A449" s="1" t="s">
        <v>922</v>
      </c>
      <c r="B449" s="1" t="s">
        <v>923</v>
      </c>
      <c r="C449" s="24" t="str">
        <f>VLOOKUP(B449,Equipe!$A$1:$B$31,2,FALSE)</f>
        <v>New York Knicks</v>
      </c>
      <c r="D449" s="2">
        <v>27</v>
      </c>
      <c r="E449" s="2">
        <v>17</v>
      </c>
      <c r="F449" s="2">
        <v>10</v>
      </c>
      <c r="G449" s="2">
        <v>7</v>
      </c>
      <c r="H449" s="2">
        <v>17.100000000000001</v>
      </c>
      <c r="I449" s="3">
        <v>87</v>
      </c>
      <c r="J449" s="4">
        <v>37</v>
      </c>
      <c r="K449" s="4">
        <v>56</v>
      </c>
      <c r="L449" s="3">
        <v>66.099999999999994</v>
      </c>
      <c r="M449" s="3">
        <v>0</v>
      </c>
      <c r="N449" s="3">
        <v>0</v>
      </c>
      <c r="O449" s="3">
        <v>0</v>
      </c>
      <c r="P449" s="3">
        <v>14</v>
      </c>
      <c r="Q449" s="3">
        <v>19</v>
      </c>
      <c r="R449" s="3">
        <v>68.400000000000006</v>
      </c>
      <c r="S449" s="4">
        <v>53</v>
      </c>
      <c r="T449" s="4">
        <v>49</v>
      </c>
      <c r="U449" s="4">
        <v>100</v>
      </c>
      <c r="V449" s="4">
        <v>14</v>
      </c>
      <c r="W449" s="4">
        <v>10</v>
      </c>
      <c r="X449" s="4">
        <v>15</v>
      </c>
      <c r="Y449" s="4">
        <v>19</v>
      </c>
      <c r="Z449" s="4">
        <v>26</v>
      </c>
      <c r="AA449" s="3">
        <v>320</v>
      </c>
      <c r="AB449" s="3">
        <v>2</v>
      </c>
      <c r="AC449" s="3">
        <v>0</v>
      </c>
      <c r="AD449" s="2">
        <v>1.4</v>
      </c>
      <c r="AE449" s="2">
        <v>113.8</v>
      </c>
      <c r="AF449" s="2">
        <v>108.2</v>
      </c>
      <c r="AG449" s="2">
        <v>5.7</v>
      </c>
      <c r="AH449" s="2">
        <v>6.2</v>
      </c>
      <c r="AI449" s="2">
        <v>1.3</v>
      </c>
      <c r="AJ449" s="2">
        <v>14.8</v>
      </c>
      <c r="AK449" s="2">
        <v>17.399999999999999</v>
      </c>
      <c r="AL449" s="2">
        <v>17.600000000000001</v>
      </c>
      <c r="AM449" s="2">
        <v>17.5</v>
      </c>
      <c r="AN449" s="2">
        <v>11.4</v>
      </c>
      <c r="AO449" s="2">
        <v>66.099999999999994</v>
      </c>
      <c r="AP449" s="2">
        <v>67.599999999999994</v>
      </c>
      <c r="AQ449" s="2">
        <v>10.9</v>
      </c>
      <c r="AR449" s="2">
        <v>96.37</v>
      </c>
      <c r="AS449" s="2">
        <v>12.2</v>
      </c>
      <c r="AT449" s="2">
        <v>578</v>
      </c>
      <c r="AU449" s="53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6"/>
    </row>
    <row r="450" spans="1:69" ht="13.2">
      <c r="A450" s="1" t="s">
        <v>924</v>
      </c>
      <c r="B450" s="1" t="s">
        <v>925</v>
      </c>
      <c r="C450" s="24" t="str">
        <f>VLOOKUP(B450,Equipe!$A$1:$B$31,2,FALSE)</f>
        <v>New Orleans Pelicans</v>
      </c>
      <c r="D450" s="2">
        <v>24</v>
      </c>
      <c r="E450" s="2">
        <v>13</v>
      </c>
      <c r="F450" s="2">
        <v>3</v>
      </c>
      <c r="G450" s="2">
        <v>10</v>
      </c>
      <c r="H450" s="2">
        <v>14.1</v>
      </c>
      <c r="I450" s="3">
        <v>86</v>
      </c>
      <c r="J450" s="4">
        <v>31</v>
      </c>
      <c r="K450" s="4">
        <v>78</v>
      </c>
      <c r="L450" s="3">
        <v>39.700000000000003</v>
      </c>
      <c r="M450" s="4">
        <v>13</v>
      </c>
      <c r="N450" s="4">
        <v>44</v>
      </c>
      <c r="O450" s="3">
        <v>29.5</v>
      </c>
      <c r="P450" s="3">
        <v>10</v>
      </c>
      <c r="Q450" s="3">
        <v>13</v>
      </c>
      <c r="R450" s="3">
        <v>84.6</v>
      </c>
      <c r="S450" s="4">
        <v>4</v>
      </c>
      <c r="T450" s="4">
        <v>16</v>
      </c>
      <c r="U450" s="4">
        <v>20</v>
      </c>
      <c r="V450" s="4">
        <v>23</v>
      </c>
      <c r="W450" s="4">
        <v>14</v>
      </c>
      <c r="X450" s="4">
        <v>3</v>
      </c>
      <c r="Y450" s="4">
        <v>3</v>
      </c>
      <c r="Z450" s="4">
        <v>18</v>
      </c>
      <c r="AA450" s="3">
        <v>146</v>
      </c>
      <c r="AB450" s="3">
        <v>0</v>
      </c>
      <c r="AC450" s="3">
        <v>0</v>
      </c>
      <c r="AD450" s="2">
        <v>-2</v>
      </c>
      <c r="AE450" s="2">
        <v>104.5</v>
      </c>
      <c r="AF450" s="2">
        <v>110.4</v>
      </c>
      <c r="AG450" s="2">
        <v>-5.9</v>
      </c>
      <c r="AH450" s="2">
        <v>19.8</v>
      </c>
      <c r="AI450" s="2">
        <v>1.71</v>
      </c>
      <c r="AJ450" s="2">
        <v>19.8</v>
      </c>
      <c r="AK450" s="2">
        <v>2</v>
      </c>
      <c r="AL450" s="2">
        <v>7.6</v>
      </c>
      <c r="AM450" s="2">
        <v>4.8</v>
      </c>
      <c r="AN450" s="2">
        <v>11.6</v>
      </c>
      <c r="AO450" s="2">
        <v>48.1</v>
      </c>
      <c r="AP450" s="2">
        <v>51.4</v>
      </c>
      <c r="AQ450" s="2">
        <v>21.3</v>
      </c>
      <c r="AR450" s="2">
        <v>105.49</v>
      </c>
      <c r="AS450" s="2">
        <v>6.5</v>
      </c>
      <c r="AT450" s="2">
        <v>402</v>
      </c>
      <c r="AU450" s="53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6"/>
    </row>
    <row r="451" spans="1:69" ht="13.2">
      <c r="A451" s="1" t="s">
        <v>926</v>
      </c>
      <c r="B451" s="1" t="s">
        <v>927</v>
      </c>
      <c r="C451" s="24" t="str">
        <f>VLOOKUP(B451,Equipe!$A$1:$B$31,2,FALSE)</f>
        <v>New Orleans Pelicans</v>
      </c>
      <c r="D451" s="2">
        <v>31</v>
      </c>
      <c r="E451" s="2">
        <v>24</v>
      </c>
      <c r="F451" s="2">
        <v>3</v>
      </c>
      <c r="G451" s="2">
        <v>21</v>
      </c>
      <c r="H451" s="2">
        <v>21.3</v>
      </c>
      <c r="I451" s="3">
        <v>84</v>
      </c>
      <c r="J451" s="4">
        <v>41</v>
      </c>
      <c r="K451" s="4">
        <v>122</v>
      </c>
      <c r="L451" s="3">
        <v>32.799999999999997</v>
      </c>
      <c r="M451" s="3">
        <v>0</v>
      </c>
      <c r="N451" s="4">
        <v>7</v>
      </c>
      <c r="O451" s="3">
        <v>16.7</v>
      </c>
      <c r="P451" s="3">
        <v>5</v>
      </c>
      <c r="Q451" s="3">
        <v>7</v>
      </c>
      <c r="R451" s="3">
        <v>57.1</v>
      </c>
      <c r="S451" s="4">
        <v>14</v>
      </c>
      <c r="T451" s="4">
        <v>65</v>
      </c>
      <c r="U451" s="4">
        <v>79</v>
      </c>
      <c r="V451" s="4">
        <v>166</v>
      </c>
      <c r="W451" s="4">
        <v>60</v>
      </c>
      <c r="X451" s="4">
        <v>24</v>
      </c>
      <c r="Y451" s="4">
        <v>12</v>
      </c>
      <c r="Z451" s="4">
        <v>36</v>
      </c>
      <c r="AA451" s="3">
        <v>475</v>
      </c>
      <c r="AB451" s="3">
        <v>2</v>
      </c>
      <c r="AC451" s="3">
        <v>0</v>
      </c>
      <c r="AD451" s="2">
        <v>-6.2</v>
      </c>
      <c r="AE451" s="2">
        <v>99.7</v>
      </c>
      <c r="AF451" s="2">
        <v>113.1</v>
      </c>
      <c r="AG451" s="2">
        <v>-13.4</v>
      </c>
      <c r="AH451" s="2">
        <v>44.3</v>
      </c>
      <c r="AI451" s="2">
        <v>2.81</v>
      </c>
      <c r="AJ451" s="2">
        <v>47.4</v>
      </c>
      <c r="AK451" s="2">
        <v>2.7</v>
      </c>
      <c r="AL451" s="2">
        <v>11.4</v>
      </c>
      <c r="AM451" s="2">
        <v>7.1</v>
      </c>
      <c r="AN451" s="2">
        <v>16.899999999999999</v>
      </c>
      <c r="AO451" s="2">
        <v>33.200000000000003</v>
      </c>
      <c r="AP451" s="2">
        <v>34</v>
      </c>
      <c r="AQ451" s="2">
        <v>15.1</v>
      </c>
      <c r="AR451" s="2">
        <v>101.3</v>
      </c>
      <c r="AS451" s="2">
        <v>7.9</v>
      </c>
      <c r="AT451" s="2">
        <v>1076</v>
      </c>
      <c r="AU451" s="53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6"/>
    </row>
    <row r="452" spans="1:69" ht="13.2">
      <c r="A452" s="1" t="s">
        <v>928</v>
      </c>
      <c r="B452" s="1" t="s">
        <v>929</v>
      </c>
      <c r="C452" s="24" t="str">
        <f>VLOOKUP(B452,Equipe!$A$1:$B$31,2,FALSE)</f>
        <v>Boston Celtics</v>
      </c>
      <c r="D452" s="2">
        <v>21</v>
      </c>
      <c r="E452" s="2">
        <v>52</v>
      </c>
      <c r="F452" s="2">
        <v>39</v>
      </c>
      <c r="G452" s="2">
        <v>13</v>
      </c>
      <c r="H452" s="2">
        <v>7.8</v>
      </c>
      <c r="I452" s="3">
        <v>83</v>
      </c>
      <c r="J452" s="4">
        <v>31</v>
      </c>
      <c r="K452" s="4">
        <v>83</v>
      </c>
      <c r="L452" s="3">
        <v>36.1</v>
      </c>
      <c r="M452" s="4">
        <v>16</v>
      </c>
      <c r="N452" s="4">
        <v>57</v>
      </c>
      <c r="O452" s="3">
        <v>27.3</v>
      </c>
      <c r="P452" s="3">
        <v>5</v>
      </c>
      <c r="Q452" s="3">
        <v>10</v>
      </c>
      <c r="R452" s="3">
        <v>58.3</v>
      </c>
      <c r="S452" s="4">
        <v>21</v>
      </c>
      <c r="T452" s="4">
        <v>47</v>
      </c>
      <c r="U452" s="4">
        <v>68</v>
      </c>
      <c r="V452" s="4">
        <v>21</v>
      </c>
      <c r="W452" s="4">
        <v>16</v>
      </c>
      <c r="X452" s="4">
        <v>10</v>
      </c>
      <c r="Y452" s="4">
        <v>10</v>
      </c>
      <c r="Z452" s="4">
        <v>31</v>
      </c>
      <c r="AA452" s="3">
        <v>244</v>
      </c>
      <c r="AB452" s="3">
        <v>0</v>
      </c>
      <c r="AC452" s="3">
        <v>0</v>
      </c>
      <c r="AD452" s="2">
        <v>0.5</v>
      </c>
      <c r="AE452" s="2">
        <v>111.8</v>
      </c>
      <c r="AF452" s="2">
        <v>108</v>
      </c>
      <c r="AG452" s="2">
        <v>3.8</v>
      </c>
      <c r="AH452" s="2">
        <v>6.4</v>
      </c>
      <c r="AI452" s="2">
        <v>1.1200000000000001</v>
      </c>
      <c r="AJ452" s="2">
        <v>15.3</v>
      </c>
      <c r="AK452" s="2">
        <v>5.7</v>
      </c>
      <c r="AL452" s="2">
        <v>11.3</v>
      </c>
      <c r="AM452" s="2">
        <v>8.5</v>
      </c>
      <c r="AN452" s="2">
        <v>13.7</v>
      </c>
      <c r="AO452" s="2">
        <v>45.2</v>
      </c>
      <c r="AP452" s="2">
        <v>46.4</v>
      </c>
      <c r="AQ452" s="2">
        <v>11</v>
      </c>
      <c r="AR452" s="2">
        <v>98.14</v>
      </c>
      <c r="AS452" s="2">
        <v>4.5</v>
      </c>
      <c r="AT452" s="2">
        <v>821</v>
      </c>
      <c r="AU452" s="53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6"/>
    </row>
    <row r="453" spans="1:69" ht="13.2">
      <c r="A453" s="1" t="s">
        <v>930</v>
      </c>
      <c r="B453" s="1" t="s">
        <v>931</v>
      </c>
      <c r="C453" s="24" t="str">
        <f>VLOOKUP(B453,Equipe!$A$1:$B$31,2,FALSE)</f>
        <v>Phoenix Suns</v>
      </c>
      <c r="D453" s="2">
        <v>32</v>
      </c>
      <c r="E453" s="2">
        <v>25</v>
      </c>
      <c r="F453" s="2">
        <v>6</v>
      </c>
      <c r="G453" s="2">
        <v>19</v>
      </c>
      <c r="H453" s="2">
        <v>5.8</v>
      </c>
      <c r="I453" s="3">
        <v>83</v>
      </c>
      <c r="J453" s="4">
        <v>28</v>
      </c>
      <c r="K453" s="4">
        <v>75</v>
      </c>
      <c r="L453" s="3">
        <v>36.5</v>
      </c>
      <c r="M453" s="4">
        <v>10</v>
      </c>
      <c r="N453" s="4">
        <v>38</v>
      </c>
      <c r="O453" s="3">
        <v>24.3</v>
      </c>
      <c r="P453" s="3">
        <v>20</v>
      </c>
      <c r="Q453" s="3">
        <v>20</v>
      </c>
      <c r="R453" s="3">
        <v>95.2</v>
      </c>
      <c r="S453" s="4">
        <v>3</v>
      </c>
      <c r="T453" s="4">
        <v>18</v>
      </c>
      <c r="U453" s="4">
        <v>20</v>
      </c>
      <c r="V453" s="4">
        <v>10</v>
      </c>
      <c r="W453" s="4">
        <v>10</v>
      </c>
      <c r="X453" s="4">
        <v>5</v>
      </c>
      <c r="Y453" s="3">
        <v>0</v>
      </c>
      <c r="Z453" s="4">
        <v>5</v>
      </c>
      <c r="AA453" s="3">
        <v>133</v>
      </c>
      <c r="AB453" s="3">
        <v>0</v>
      </c>
      <c r="AC453" s="3">
        <v>0</v>
      </c>
      <c r="AD453" s="2">
        <v>1</v>
      </c>
      <c r="AE453" s="2">
        <v>104.7</v>
      </c>
      <c r="AF453" s="2">
        <v>98.7</v>
      </c>
      <c r="AG453" s="2">
        <v>6</v>
      </c>
      <c r="AH453" s="2">
        <v>12.1</v>
      </c>
      <c r="AI453" s="2">
        <v>1.1000000000000001</v>
      </c>
      <c r="AJ453" s="2">
        <v>10.5</v>
      </c>
      <c r="AK453" s="2">
        <v>2</v>
      </c>
      <c r="AL453" s="2">
        <v>10.4</v>
      </c>
      <c r="AM453" s="2">
        <v>6.4</v>
      </c>
      <c r="AN453" s="2">
        <v>9.5</v>
      </c>
      <c r="AO453" s="2">
        <v>42.6</v>
      </c>
      <c r="AP453" s="2">
        <v>49.9</v>
      </c>
      <c r="AQ453" s="2">
        <v>26.9</v>
      </c>
      <c r="AR453" s="2">
        <v>104.99</v>
      </c>
      <c r="AS453" s="2">
        <v>8.9</v>
      </c>
      <c r="AT453" s="2">
        <v>318</v>
      </c>
      <c r="AU453" s="53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6"/>
    </row>
    <row r="454" spans="1:69" ht="13.2">
      <c r="A454" s="1" t="s">
        <v>932</v>
      </c>
      <c r="B454" s="1" t="s">
        <v>933</v>
      </c>
      <c r="C454" s="24" t="str">
        <f>VLOOKUP(B454,Equipe!$A$1:$B$31,2,FALSE)</f>
        <v>New York Knicks</v>
      </c>
      <c r="D454" s="2">
        <v>24</v>
      </c>
      <c r="E454" s="2">
        <v>41</v>
      </c>
      <c r="F454" s="2">
        <v>27</v>
      </c>
      <c r="G454" s="2">
        <v>14</v>
      </c>
      <c r="H454" s="2">
        <v>7.2</v>
      </c>
      <c r="I454" s="3">
        <v>82</v>
      </c>
      <c r="J454" s="4">
        <v>29</v>
      </c>
      <c r="K454" s="4">
        <v>82</v>
      </c>
      <c r="L454" s="3">
        <v>32.9</v>
      </c>
      <c r="M454" s="4">
        <v>12</v>
      </c>
      <c r="N454" s="4">
        <v>45</v>
      </c>
      <c r="O454" s="3">
        <v>29.8</v>
      </c>
      <c r="P454" s="3">
        <v>12</v>
      </c>
      <c r="Q454" s="3">
        <v>16</v>
      </c>
      <c r="R454" s="3">
        <v>76.5</v>
      </c>
      <c r="S454" s="4">
        <v>8</v>
      </c>
      <c r="T454" s="4">
        <v>21</v>
      </c>
      <c r="U454" s="4">
        <v>29</v>
      </c>
      <c r="V454" s="4">
        <v>70</v>
      </c>
      <c r="W454" s="4">
        <v>16</v>
      </c>
      <c r="X454" s="4">
        <v>12</v>
      </c>
      <c r="Y454" s="4">
        <v>4</v>
      </c>
      <c r="Z454" s="4">
        <v>25</v>
      </c>
      <c r="AA454" s="3">
        <v>250</v>
      </c>
      <c r="AB454" s="3">
        <v>0</v>
      </c>
      <c r="AC454" s="3">
        <v>0</v>
      </c>
      <c r="AD454" s="2">
        <v>0</v>
      </c>
      <c r="AE454" s="2">
        <v>104.1</v>
      </c>
      <c r="AF454" s="2">
        <v>104.4</v>
      </c>
      <c r="AG454" s="2">
        <v>-0.3</v>
      </c>
      <c r="AH454" s="2">
        <v>32.1</v>
      </c>
      <c r="AI454" s="2">
        <v>3.89</v>
      </c>
      <c r="AJ454" s="2">
        <v>39.299999999999997</v>
      </c>
      <c r="AK454" s="2">
        <v>2.7</v>
      </c>
      <c r="AL454" s="2">
        <v>5.9</v>
      </c>
      <c r="AM454" s="2">
        <v>4.3</v>
      </c>
      <c r="AN454" s="2">
        <v>10.1</v>
      </c>
      <c r="AO454" s="2">
        <v>41.5</v>
      </c>
      <c r="AP454" s="2">
        <v>45.3</v>
      </c>
      <c r="AQ454" s="2">
        <v>15.2</v>
      </c>
      <c r="AR454" s="2">
        <v>102.35</v>
      </c>
      <c r="AS454" s="2">
        <v>7.2</v>
      </c>
      <c r="AT454" s="2">
        <v>632</v>
      </c>
      <c r="AU454" s="53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6"/>
    </row>
    <row r="455" spans="1:69" ht="13.2">
      <c r="A455" s="1" t="s">
        <v>934</v>
      </c>
      <c r="B455" s="1" t="s">
        <v>935</v>
      </c>
      <c r="C455" s="24" t="str">
        <f>VLOOKUP(B455,Equipe!$A$1:$B$31,2,FALSE)</f>
        <v>Washington Wizards</v>
      </c>
      <c r="D455" s="2">
        <v>23</v>
      </c>
      <c r="E455" s="2">
        <v>34</v>
      </c>
      <c r="F455" s="2">
        <v>4</v>
      </c>
      <c r="G455" s="2">
        <v>30</v>
      </c>
      <c r="H455" s="2">
        <v>7.1</v>
      </c>
      <c r="I455" s="3">
        <v>82</v>
      </c>
      <c r="J455" s="4">
        <v>31</v>
      </c>
      <c r="K455" s="4">
        <v>78</v>
      </c>
      <c r="L455" s="3">
        <v>41</v>
      </c>
      <c r="M455" s="4">
        <v>7</v>
      </c>
      <c r="N455" s="4">
        <v>31</v>
      </c>
      <c r="O455" s="3">
        <v>24.1</v>
      </c>
      <c r="P455" s="3">
        <v>10</v>
      </c>
      <c r="Q455" s="3">
        <v>14</v>
      </c>
      <c r="R455" s="3">
        <v>60</v>
      </c>
      <c r="S455" s="4">
        <v>10</v>
      </c>
      <c r="T455" s="4">
        <v>27</v>
      </c>
      <c r="U455" s="4">
        <v>37</v>
      </c>
      <c r="V455" s="4">
        <v>10</v>
      </c>
      <c r="W455" s="4">
        <v>7</v>
      </c>
      <c r="X455" s="4">
        <v>14</v>
      </c>
      <c r="Y455" s="4">
        <v>7</v>
      </c>
      <c r="Z455" s="4">
        <v>17</v>
      </c>
      <c r="AA455" s="3">
        <v>197</v>
      </c>
      <c r="AB455" s="3">
        <v>0</v>
      </c>
      <c r="AC455" s="3">
        <v>0</v>
      </c>
      <c r="AD455" s="2">
        <v>-0.8</v>
      </c>
      <c r="AE455" s="2">
        <v>104.7</v>
      </c>
      <c r="AF455" s="2">
        <v>107.2</v>
      </c>
      <c r="AG455" s="2">
        <v>-2.5</v>
      </c>
      <c r="AH455" s="2">
        <v>6.4</v>
      </c>
      <c r="AI455" s="2">
        <v>1.57</v>
      </c>
      <c r="AJ455" s="2">
        <v>10.7</v>
      </c>
      <c r="AK455" s="2">
        <v>3.6</v>
      </c>
      <c r="AL455" s="2">
        <v>10.4</v>
      </c>
      <c r="AM455" s="2">
        <v>6.9</v>
      </c>
      <c r="AN455" s="2">
        <v>6.8</v>
      </c>
      <c r="AO455" s="2">
        <v>45.5</v>
      </c>
      <c r="AP455" s="2">
        <v>47.3</v>
      </c>
      <c r="AQ455" s="2">
        <v>15</v>
      </c>
      <c r="AR455" s="2">
        <v>106.66</v>
      </c>
      <c r="AS455" s="2">
        <v>6.7</v>
      </c>
      <c r="AT455" s="2">
        <v>531</v>
      </c>
      <c r="AU455" s="53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6"/>
    </row>
    <row r="456" spans="1:69" ht="13.2">
      <c r="A456" s="1" t="s">
        <v>936</v>
      </c>
      <c r="B456" s="1" t="s">
        <v>937</v>
      </c>
      <c r="C456" s="24" t="str">
        <f>VLOOKUP(B456,Equipe!$A$1:$B$31,2,FALSE)</f>
        <v>New York Knicks</v>
      </c>
      <c r="D456" s="2">
        <v>24</v>
      </c>
      <c r="E456" s="2">
        <v>35</v>
      </c>
      <c r="F456" s="2">
        <v>19</v>
      </c>
      <c r="G456" s="2">
        <v>16</v>
      </c>
      <c r="H456" s="2">
        <v>4.5</v>
      </c>
      <c r="I456" s="3">
        <v>81</v>
      </c>
      <c r="J456" s="4">
        <v>28</v>
      </c>
      <c r="K456" s="4">
        <v>67</v>
      </c>
      <c r="L456" s="3">
        <v>41.5</v>
      </c>
      <c r="M456" s="4">
        <v>11</v>
      </c>
      <c r="N456" s="4">
        <v>28</v>
      </c>
      <c r="O456" s="3">
        <v>34.5</v>
      </c>
      <c r="P456" s="3">
        <v>14</v>
      </c>
      <c r="Q456" s="3">
        <v>21</v>
      </c>
      <c r="R456" s="3">
        <v>75</v>
      </c>
      <c r="S456" s="4">
        <v>11</v>
      </c>
      <c r="T456" s="4">
        <v>32</v>
      </c>
      <c r="U456" s="4">
        <v>46</v>
      </c>
      <c r="V456" s="4">
        <v>11</v>
      </c>
      <c r="W456" s="4">
        <v>14</v>
      </c>
      <c r="X456" s="4">
        <v>4</v>
      </c>
      <c r="Y456" s="3">
        <v>0</v>
      </c>
      <c r="Z456" s="4">
        <v>14</v>
      </c>
      <c r="AA456" s="3">
        <v>147</v>
      </c>
      <c r="AB456" s="3">
        <v>0</v>
      </c>
      <c r="AC456" s="3">
        <v>0</v>
      </c>
      <c r="AD456" s="2">
        <v>0.3</v>
      </c>
      <c r="AE456" s="2">
        <v>94.8</v>
      </c>
      <c r="AF456" s="2">
        <v>92</v>
      </c>
      <c r="AG456" s="2">
        <v>2.9</v>
      </c>
      <c r="AH456" s="2">
        <v>12.4</v>
      </c>
      <c r="AI456" s="2">
        <v>0.73</v>
      </c>
      <c r="AJ456" s="2">
        <v>10.9</v>
      </c>
      <c r="AK456" s="2">
        <v>6.4</v>
      </c>
      <c r="AL456" s="2">
        <v>19.8</v>
      </c>
      <c r="AM456" s="2">
        <v>12.9</v>
      </c>
      <c r="AN456" s="2">
        <v>14.9</v>
      </c>
      <c r="AO456" s="2">
        <v>49.2</v>
      </c>
      <c r="AP456" s="2">
        <v>53.5</v>
      </c>
      <c r="AQ456" s="2">
        <v>22.2</v>
      </c>
      <c r="AR456" s="2">
        <v>106.73</v>
      </c>
      <c r="AS456" s="2">
        <v>12.3</v>
      </c>
      <c r="AT456" s="2">
        <v>347</v>
      </c>
      <c r="AU456" s="53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6"/>
    </row>
    <row r="457" spans="1:69" ht="13.2">
      <c r="A457" s="1" t="s">
        <v>938</v>
      </c>
      <c r="B457" s="1" t="s">
        <v>939</v>
      </c>
      <c r="C457" s="24" t="str">
        <f>VLOOKUP(B457,Equipe!$A$1:$B$31,2,FALSE)</f>
        <v>Washington Wizards</v>
      </c>
      <c r="D457" s="2">
        <v>21</v>
      </c>
      <c r="E457" s="2">
        <v>16</v>
      </c>
      <c r="F457" s="2">
        <v>3</v>
      </c>
      <c r="G457" s="2">
        <v>13</v>
      </c>
      <c r="H457" s="2">
        <v>14.9</v>
      </c>
      <c r="I457" s="3">
        <v>78</v>
      </c>
      <c r="J457" s="4">
        <v>30</v>
      </c>
      <c r="K457" s="4">
        <v>74</v>
      </c>
      <c r="L457" s="3">
        <v>41.9</v>
      </c>
      <c r="M457" s="4">
        <v>6</v>
      </c>
      <c r="N457" s="4">
        <v>22</v>
      </c>
      <c r="O457" s="3">
        <v>30.4</v>
      </c>
      <c r="P457" s="3">
        <v>10</v>
      </c>
      <c r="Q457" s="3">
        <v>10</v>
      </c>
      <c r="R457" s="3">
        <v>90</v>
      </c>
      <c r="S457" s="4">
        <v>11</v>
      </c>
      <c r="T457" s="4">
        <v>34</v>
      </c>
      <c r="U457" s="4">
        <v>45</v>
      </c>
      <c r="V457" s="4">
        <v>18</v>
      </c>
      <c r="W457" s="4">
        <v>13</v>
      </c>
      <c r="X457" s="4">
        <v>10</v>
      </c>
      <c r="Y457" s="3">
        <v>0</v>
      </c>
      <c r="Z457" s="4">
        <v>14</v>
      </c>
      <c r="AA457" s="3">
        <v>171</v>
      </c>
      <c r="AB457" s="3">
        <v>0</v>
      </c>
      <c r="AC457" s="3">
        <v>0</v>
      </c>
      <c r="AD457" s="2">
        <v>-8.1999999999999993</v>
      </c>
      <c r="AE457" s="2">
        <v>93.6</v>
      </c>
      <c r="AF457" s="2">
        <v>120.7</v>
      </c>
      <c r="AG457" s="2">
        <v>-27.1</v>
      </c>
      <c r="AH457" s="2">
        <v>12</v>
      </c>
      <c r="AI457" s="2">
        <v>1.42</v>
      </c>
      <c r="AJ457" s="2">
        <v>16</v>
      </c>
      <c r="AK457" s="2">
        <v>4</v>
      </c>
      <c r="AL457" s="2">
        <v>14.1</v>
      </c>
      <c r="AM457" s="2">
        <v>8.6</v>
      </c>
      <c r="AN457" s="2">
        <v>11.3</v>
      </c>
      <c r="AO457" s="2">
        <v>46.6</v>
      </c>
      <c r="AP457" s="2">
        <v>49.7</v>
      </c>
      <c r="AQ457" s="2">
        <v>15.5</v>
      </c>
      <c r="AR457" s="2">
        <v>100.58</v>
      </c>
      <c r="AS457" s="2">
        <v>7.4</v>
      </c>
      <c r="AT457" s="2">
        <v>502</v>
      </c>
      <c r="AU457" s="53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6"/>
    </row>
    <row r="458" spans="1:69" ht="13.2">
      <c r="A458" s="1" t="s">
        <v>940</v>
      </c>
      <c r="B458" s="1" t="s">
        <v>941</v>
      </c>
      <c r="C458" s="24" t="str">
        <f>VLOOKUP(B458,Equipe!$A$1:$B$31,2,FALSE)</f>
        <v>Philadelphia 76ers</v>
      </c>
      <c r="D458" s="2">
        <v>26</v>
      </c>
      <c r="E458" s="2">
        <v>15</v>
      </c>
      <c r="F458" s="2">
        <v>4</v>
      </c>
      <c r="G458" s="2">
        <v>11</v>
      </c>
      <c r="H458" s="2">
        <v>14.4</v>
      </c>
      <c r="I458" s="3">
        <v>77</v>
      </c>
      <c r="J458" s="4">
        <v>26</v>
      </c>
      <c r="K458" s="4">
        <v>54</v>
      </c>
      <c r="L458" s="3">
        <v>48.1</v>
      </c>
      <c r="M458" s="4">
        <v>15</v>
      </c>
      <c r="N458" s="4">
        <v>41</v>
      </c>
      <c r="O458" s="3">
        <v>36.6</v>
      </c>
      <c r="P458" s="3">
        <v>9</v>
      </c>
      <c r="Q458" s="3">
        <v>12</v>
      </c>
      <c r="R458" s="3">
        <v>75</v>
      </c>
      <c r="S458" s="4">
        <v>9</v>
      </c>
      <c r="T458" s="4">
        <v>38</v>
      </c>
      <c r="U458" s="4">
        <v>47</v>
      </c>
      <c r="V458" s="4">
        <v>5</v>
      </c>
      <c r="W458" s="4">
        <v>6</v>
      </c>
      <c r="X458" s="4">
        <v>11</v>
      </c>
      <c r="Y458" s="4">
        <v>11</v>
      </c>
      <c r="Z458" s="4">
        <v>21</v>
      </c>
      <c r="AA458" s="3">
        <v>192</v>
      </c>
      <c r="AB458" s="3">
        <v>0</v>
      </c>
      <c r="AC458" s="3">
        <v>0</v>
      </c>
      <c r="AD458" s="2">
        <v>1.3</v>
      </c>
      <c r="AE458" s="2">
        <v>117.3</v>
      </c>
      <c r="AF458" s="2">
        <v>111.8</v>
      </c>
      <c r="AG458" s="2">
        <v>5.5</v>
      </c>
      <c r="AH458" s="2">
        <v>2.2999999999999998</v>
      </c>
      <c r="AI458" s="2">
        <v>0.67</v>
      </c>
      <c r="AJ458" s="2">
        <v>5.8</v>
      </c>
      <c r="AK458" s="2">
        <v>4.0999999999999996</v>
      </c>
      <c r="AL458" s="2">
        <v>16.100000000000001</v>
      </c>
      <c r="AM458" s="2">
        <v>10.3</v>
      </c>
      <c r="AN458" s="2">
        <v>8.6999999999999993</v>
      </c>
      <c r="AO458" s="2">
        <v>62</v>
      </c>
      <c r="AP458" s="2">
        <v>64.099999999999994</v>
      </c>
      <c r="AQ458" s="2">
        <v>12.3</v>
      </c>
      <c r="AR458" s="2">
        <v>104.64</v>
      </c>
      <c r="AS458" s="2">
        <v>7.9</v>
      </c>
      <c r="AT458" s="2">
        <v>468</v>
      </c>
      <c r="AU458" s="53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6"/>
    </row>
    <row r="459" spans="1:69" ht="13.2">
      <c r="A459" s="1" t="s">
        <v>942</v>
      </c>
      <c r="B459" s="1" t="s">
        <v>943</v>
      </c>
      <c r="C459" s="24" t="str">
        <f>VLOOKUP(B459,Equipe!$A$1:$B$31,2,FALSE)</f>
        <v>Los Angeles Clippers</v>
      </c>
      <c r="D459" s="2">
        <v>25</v>
      </c>
      <c r="E459" s="2">
        <v>40</v>
      </c>
      <c r="F459" s="2">
        <v>25</v>
      </c>
      <c r="G459" s="2">
        <v>15</v>
      </c>
      <c r="H459" s="2">
        <v>6.8</v>
      </c>
      <c r="I459" s="3">
        <v>76</v>
      </c>
      <c r="J459" s="4">
        <v>32</v>
      </c>
      <c r="K459" s="4">
        <v>72</v>
      </c>
      <c r="L459" s="3">
        <v>45.8</v>
      </c>
      <c r="M459" s="4">
        <v>8</v>
      </c>
      <c r="N459" s="4">
        <v>28</v>
      </c>
      <c r="O459" s="3">
        <v>23.1</v>
      </c>
      <c r="P459" s="3">
        <v>4</v>
      </c>
      <c r="Q459" s="3">
        <v>8</v>
      </c>
      <c r="R459" s="3">
        <v>71.400000000000006</v>
      </c>
      <c r="S459" s="4">
        <v>20</v>
      </c>
      <c r="T459" s="4">
        <v>48</v>
      </c>
      <c r="U459" s="4">
        <v>64</v>
      </c>
      <c r="V459" s="4">
        <v>24</v>
      </c>
      <c r="W459" s="4">
        <v>12</v>
      </c>
      <c r="X459" s="4">
        <v>8</v>
      </c>
      <c r="Y459" s="4">
        <v>4</v>
      </c>
      <c r="Z459" s="4">
        <v>24</v>
      </c>
      <c r="AA459" s="3">
        <v>212</v>
      </c>
      <c r="AB459" s="3">
        <v>0</v>
      </c>
      <c r="AC459" s="3">
        <v>0</v>
      </c>
      <c r="AD459" s="2">
        <v>-1.3</v>
      </c>
      <c r="AE459" s="2">
        <v>105.9</v>
      </c>
      <c r="AF459" s="2">
        <v>114.7</v>
      </c>
      <c r="AG459" s="2">
        <v>-8.6999999999999993</v>
      </c>
      <c r="AH459" s="2">
        <v>13.7</v>
      </c>
      <c r="AI459" s="2">
        <v>2</v>
      </c>
      <c r="AJ459" s="2">
        <v>21.8</v>
      </c>
      <c r="AK459" s="2">
        <v>7</v>
      </c>
      <c r="AL459" s="2">
        <v>17.600000000000001</v>
      </c>
      <c r="AM459" s="2">
        <v>12.2</v>
      </c>
      <c r="AN459" s="2">
        <v>10.9</v>
      </c>
      <c r="AO459" s="2">
        <v>50</v>
      </c>
      <c r="AP459" s="2">
        <v>51.3</v>
      </c>
      <c r="AQ459" s="2">
        <v>13.4</v>
      </c>
      <c r="AR459" s="2">
        <v>98.21</v>
      </c>
      <c r="AS459" s="2">
        <v>8.3000000000000007</v>
      </c>
      <c r="AT459" s="2">
        <v>555</v>
      </c>
      <c r="AU459" s="53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6"/>
    </row>
    <row r="460" spans="1:69" ht="13.2">
      <c r="A460" s="1" t="s">
        <v>946</v>
      </c>
      <c r="B460" s="1" t="s">
        <v>947</v>
      </c>
      <c r="C460" s="24" t="str">
        <f>VLOOKUP(B460,Equipe!$A$1:$B$31,2,FALSE)</f>
        <v>Memphis Grizzlies</v>
      </c>
      <c r="D460" s="2">
        <v>27</v>
      </c>
      <c r="E460" s="2">
        <v>17</v>
      </c>
      <c r="F460" s="2">
        <v>7</v>
      </c>
      <c r="G460" s="2">
        <v>10</v>
      </c>
      <c r="H460" s="2">
        <v>9.1</v>
      </c>
      <c r="I460" s="3">
        <v>75</v>
      </c>
      <c r="J460" s="4">
        <v>29</v>
      </c>
      <c r="K460" s="4">
        <v>63</v>
      </c>
      <c r="L460" s="3">
        <v>46</v>
      </c>
      <c r="M460" s="4">
        <v>9</v>
      </c>
      <c r="N460" s="4">
        <v>27</v>
      </c>
      <c r="O460" s="3">
        <v>29.6</v>
      </c>
      <c r="P460" s="3">
        <v>9</v>
      </c>
      <c r="Q460" s="3">
        <v>10</v>
      </c>
      <c r="R460" s="3">
        <v>72.7</v>
      </c>
      <c r="S460" s="4">
        <v>3</v>
      </c>
      <c r="T460" s="4">
        <v>34</v>
      </c>
      <c r="U460" s="4">
        <v>37</v>
      </c>
      <c r="V460" s="4">
        <v>9</v>
      </c>
      <c r="W460" s="4">
        <v>10</v>
      </c>
      <c r="X460" s="4">
        <v>5</v>
      </c>
      <c r="Y460" s="4">
        <v>3</v>
      </c>
      <c r="Z460" s="4">
        <v>15</v>
      </c>
      <c r="AA460" s="3">
        <v>146</v>
      </c>
      <c r="AB460" s="3">
        <v>0</v>
      </c>
      <c r="AC460" s="3">
        <v>0</v>
      </c>
      <c r="AD460" s="2">
        <v>3.9</v>
      </c>
      <c r="AE460" s="2">
        <v>128.19999999999999</v>
      </c>
      <c r="AF460" s="2">
        <v>101.8</v>
      </c>
      <c r="AG460" s="2">
        <v>26.4</v>
      </c>
      <c r="AH460" s="2">
        <v>6.3</v>
      </c>
      <c r="AI460" s="2">
        <v>0.8</v>
      </c>
      <c r="AJ460" s="2">
        <v>9.3000000000000007</v>
      </c>
      <c r="AK460" s="2">
        <v>2.7</v>
      </c>
      <c r="AL460" s="2">
        <v>18.399999999999999</v>
      </c>
      <c r="AM460" s="2">
        <v>11.4</v>
      </c>
      <c r="AN460" s="2">
        <v>11.6</v>
      </c>
      <c r="AO460" s="2">
        <v>52.4</v>
      </c>
      <c r="AP460" s="2">
        <v>54.5</v>
      </c>
      <c r="AQ460" s="2">
        <v>21</v>
      </c>
      <c r="AR460" s="2">
        <v>102.46</v>
      </c>
      <c r="AS460" s="2">
        <v>9</v>
      </c>
      <c r="AT460" s="2">
        <v>323</v>
      </c>
      <c r="AU460" s="53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6"/>
    </row>
    <row r="461" spans="1:69" ht="13.2">
      <c r="A461" s="1" t="s">
        <v>944</v>
      </c>
      <c r="B461" s="1" t="s">
        <v>945</v>
      </c>
      <c r="C461" s="24" t="str">
        <f>VLOOKUP(B461,Equipe!$A$1:$B$31,2,FALSE)</f>
        <v>Dallas Mavericks</v>
      </c>
      <c r="D461" s="2">
        <v>25</v>
      </c>
      <c r="E461" s="2">
        <v>13</v>
      </c>
      <c r="F461" s="2">
        <v>5</v>
      </c>
      <c r="G461" s="2">
        <v>8</v>
      </c>
      <c r="H461" s="2">
        <v>9.1</v>
      </c>
      <c r="I461" s="3">
        <v>75</v>
      </c>
      <c r="J461" s="4">
        <v>34</v>
      </c>
      <c r="K461" s="4">
        <v>49</v>
      </c>
      <c r="L461" s="3">
        <v>69.400000000000006</v>
      </c>
      <c r="M461" s="3">
        <v>0</v>
      </c>
      <c r="N461" s="3">
        <v>0</v>
      </c>
      <c r="O461" s="3">
        <v>0</v>
      </c>
      <c r="P461" s="3">
        <v>8</v>
      </c>
      <c r="Q461" s="3">
        <v>10</v>
      </c>
      <c r="R461" s="3">
        <v>72.7</v>
      </c>
      <c r="S461" s="4">
        <v>12</v>
      </c>
      <c r="T461" s="4">
        <v>33</v>
      </c>
      <c r="U461" s="4">
        <v>44</v>
      </c>
      <c r="V461" s="4">
        <v>3</v>
      </c>
      <c r="W461" s="4">
        <v>10</v>
      </c>
      <c r="X461" s="4">
        <v>7</v>
      </c>
      <c r="Y461" s="4">
        <v>4</v>
      </c>
      <c r="Z461" s="4">
        <v>17</v>
      </c>
      <c r="AA461" s="3">
        <v>151</v>
      </c>
      <c r="AB461" s="3">
        <v>1</v>
      </c>
      <c r="AC461" s="3">
        <v>0</v>
      </c>
      <c r="AD461" s="2">
        <v>-1.1000000000000001</v>
      </c>
      <c r="AE461" s="2">
        <v>101.5</v>
      </c>
      <c r="AF461" s="2">
        <v>105.9</v>
      </c>
      <c r="AG461" s="2">
        <v>-4.4000000000000004</v>
      </c>
      <c r="AH461" s="2">
        <v>2.9</v>
      </c>
      <c r="AI461" s="2">
        <v>0.18</v>
      </c>
      <c r="AJ461" s="2">
        <v>3</v>
      </c>
      <c r="AK461" s="2">
        <v>9.8000000000000007</v>
      </c>
      <c r="AL461" s="2">
        <v>22.4</v>
      </c>
      <c r="AM461" s="2">
        <v>16.5</v>
      </c>
      <c r="AN461" s="2">
        <v>16.7</v>
      </c>
      <c r="AO461" s="2">
        <v>69.400000000000006</v>
      </c>
      <c r="AP461" s="2">
        <v>70.599999999999994</v>
      </c>
      <c r="AQ461" s="2">
        <v>21.6</v>
      </c>
      <c r="AR461" s="2">
        <v>108.49</v>
      </c>
      <c r="AS461" s="2">
        <v>15.4</v>
      </c>
      <c r="AT461" s="2">
        <v>267</v>
      </c>
      <c r="AU461" s="53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6"/>
    </row>
    <row r="462" spans="1:69" ht="13.2">
      <c r="A462" s="1" t="s">
        <v>948</v>
      </c>
      <c r="B462" s="1" t="s">
        <v>949</v>
      </c>
      <c r="C462" s="24" t="str">
        <f>VLOOKUP(B462,Equipe!$A$1:$B$31,2,FALSE)</f>
        <v>Los Angeles Lakers</v>
      </c>
      <c r="D462" s="2">
        <v>31</v>
      </c>
      <c r="E462" s="2">
        <v>46</v>
      </c>
      <c r="F462" s="2">
        <v>21</v>
      </c>
      <c r="G462" s="2">
        <v>25</v>
      </c>
      <c r="H462" s="2">
        <v>8.3000000000000007</v>
      </c>
      <c r="I462" s="3">
        <v>74</v>
      </c>
      <c r="J462" s="4">
        <v>32</v>
      </c>
      <c r="K462" s="4">
        <v>64</v>
      </c>
      <c r="L462" s="3">
        <v>50.8</v>
      </c>
      <c r="M462" s="3">
        <v>0</v>
      </c>
      <c r="N462" s="4">
        <v>9</v>
      </c>
      <c r="O462" s="3">
        <v>22.2</v>
      </c>
      <c r="P462" s="3">
        <v>9</v>
      </c>
      <c r="Q462" s="3">
        <v>18</v>
      </c>
      <c r="R462" s="3">
        <v>47.1</v>
      </c>
      <c r="S462" s="4">
        <v>37</v>
      </c>
      <c r="T462" s="4">
        <v>55</v>
      </c>
      <c r="U462" s="4">
        <v>97</v>
      </c>
      <c r="V462" s="4">
        <v>37</v>
      </c>
      <c r="W462" s="4">
        <v>18</v>
      </c>
      <c r="X462" s="4">
        <v>9</v>
      </c>
      <c r="Y462" s="4">
        <v>23</v>
      </c>
      <c r="Z462" s="4">
        <v>55</v>
      </c>
      <c r="AA462" s="3">
        <v>313</v>
      </c>
      <c r="AB462" s="3">
        <v>0</v>
      </c>
      <c r="AC462" s="3">
        <v>0</v>
      </c>
      <c r="AD462" s="2">
        <v>-3.3</v>
      </c>
      <c r="AE462" s="2">
        <v>101.4</v>
      </c>
      <c r="AF462" s="2">
        <v>118.9</v>
      </c>
      <c r="AG462" s="2">
        <v>-17.5</v>
      </c>
      <c r="AH462" s="2">
        <v>14.3</v>
      </c>
      <c r="AI462" s="2">
        <v>1.9</v>
      </c>
      <c r="AJ462" s="2">
        <v>29.5</v>
      </c>
      <c r="AK462" s="2">
        <v>9.4</v>
      </c>
      <c r="AL462" s="2">
        <v>14.2</v>
      </c>
      <c r="AM462" s="2">
        <v>11.8</v>
      </c>
      <c r="AN462" s="2">
        <v>15.5</v>
      </c>
      <c r="AO462" s="2">
        <v>52.4</v>
      </c>
      <c r="AP462" s="2">
        <v>52.5</v>
      </c>
      <c r="AQ462" s="2">
        <v>10.1</v>
      </c>
      <c r="AR462" s="2">
        <v>101.55</v>
      </c>
      <c r="AS462" s="2">
        <v>5.7</v>
      </c>
      <c r="AT462" s="2">
        <v>798</v>
      </c>
      <c r="AU462" s="53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6"/>
    </row>
    <row r="463" spans="1:69" ht="13.2">
      <c r="A463" s="1" t="s">
        <v>950</v>
      </c>
      <c r="B463" s="1" t="s">
        <v>951</v>
      </c>
      <c r="C463" s="24" t="str">
        <f>VLOOKUP(B463,Equipe!$A$1:$B$31,2,FALSE)</f>
        <v>Washington Wizards</v>
      </c>
      <c r="D463" s="2">
        <v>22</v>
      </c>
      <c r="E463" s="2">
        <v>20</v>
      </c>
      <c r="F463" s="2">
        <v>10</v>
      </c>
      <c r="G463" s="2">
        <v>10</v>
      </c>
      <c r="H463" s="2">
        <v>12.5</v>
      </c>
      <c r="I463" s="3">
        <v>72</v>
      </c>
      <c r="J463" s="4">
        <v>26</v>
      </c>
      <c r="K463" s="4">
        <v>60</v>
      </c>
      <c r="L463" s="3">
        <v>42.4</v>
      </c>
      <c r="M463" s="4">
        <v>6</v>
      </c>
      <c r="N463" s="4">
        <v>22</v>
      </c>
      <c r="O463" s="3">
        <v>28.6</v>
      </c>
      <c r="P463" s="3">
        <v>16</v>
      </c>
      <c r="Q463" s="3">
        <v>22</v>
      </c>
      <c r="R463" s="3">
        <v>68.2</v>
      </c>
      <c r="S463" s="4">
        <v>20</v>
      </c>
      <c r="T463" s="4">
        <v>28</v>
      </c>
      <c r="U463" s="4">
        <v>48</v>
      </c>
      <c r="V463" s="4">
        <v>6</v>
      </c>
      <c r="W463" s="4">
        <v>10</v>
      </c>
      <c r="X463" s="4">
        <v>8</v>
      </c>
      <c r="Y463" s="4">
        <v>10</v>
      </c>
      <c r="Z463" s="4">
        <v>18</v>
      </c>
      <c r="AA463" s="3">
        <v>180</v>
      </c>
      <c r="AB463" s="3">
        <v>0</v>
      </c>
      <c r="AC463" s="3">
        <v>0</v>
      </c>
      <c r="AD463" s="2">
        <v>-4.8</v>
      </c>
      <c r="AE463" s="2">
        <v>95.3</v>
      </c>
      <c r="AF463" s="2">
        <v>115.3</v>
      </c>
      <c r="AG463" s="2">
        <v>-20</v>
      </c>
      <c r="AH463" s="2">
        <v>4</v>
      </c>
      <c r="AI463" s="2">
        <v>0.67</v>
      </c>
      <c r="AJ463" s="2">
        <v>7.1</v>
      </c>
      <c r="AK463" s="2">
        <v>7</v>
      </c>
      <c r="AL463" s="2">
        <v>10.1</v>
      </c>
      <c r="AM463" s="2">
        <v>8.5</v>
      </c>
      <c r="AN463" s="2">
        <v>10.6</v>
      </c>
      <c r="AO463" s="2">
        <v>47.5</v>
      </c>
      <c r="AP463" s="2">
        <v>51.7</v>
      </c>
      <c r="AQ463" s="2">
        <v>13.2</v>
      </c>
      <c r="AR463" s="2">
        <v>98.57</v>
      </c>
      <c r="AS463" s="2">
        <v>6.5</v>
      </c>
      <c r="AT463" s="2">
        <v>515</v>
      </c>
      <c r="AU463" s="53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6"/>
    </row>
    <row r="464" spans="1:69" ht="13.2">
      <c r="A464" s="1" t="s">
        <v>952</v>
      </c>
      <c r="B464" s="1" t="s">
        <v>953</v>
      </c>
      <c r="C464" s="24" t="str">
        <f>VLOOKUP(B464,Equipe!$A$1:$B$31,2,FALSE)</f>
        <v>Cleveland Cavaliers</v>
      </c>
      <c r="D464" s="2">
        <v>34</v>
      </c>
      <c r="E464" s="2">
        <v>40</v>
      </c>
      <c r="F464" s="2">
        <v>31</v>
      </c>
      <c r="G464" s="2">
        <v>9</v>
      </c>
      <c r="H464" s="2">
        <v>8.1999999999999993</v>
      </c>
      <c r="I464" s="3">
        <v>68</v>
      </c>
      <c r="J464" s="4">
        <v>32</v>
      </c>
      <c r="K464" s="4">
        <v>72</v>
      </c>
      <c r="L464" s="3">
        <v>43.7</v>
      </c>
      <c r="M464" s="3">
        <v>0</v>
      </c>
      <c r="N464" s="4">
        <v>4</v>
      </c>
      <c r="O464" s="3">
        <v>0</v>
      </c>
      <c r="P464" s="3">
        <v>8</v>
      </c>
      <c r="Q464" s="3">
        <v>32</v>
      </c>
      <c r="R464" s="3">
        <v>23.3</v>
      </c>
      <c r="S464" s="4">
        <v>32</v>
      </c>
      <c r="T464" s="4">
        <v>104</v>
      </c>
      <c r="U464" s="4">
        <v>136</v>
      </c>
      <c r="V464" s="4">
        <v>24</v>
      </c>
      <c r="W464" s="4">
        <v>16</v>
      </c>
      <c r="X464" s="4">
        <v>4</v>
      </c>
      <c r="Y464" s="4">
        <v>12</v>
      </c>
      <c r="Z464" s="4">
        <v>36</v>
      </c>
      <c r="AA464" s="3">
        <v>292</v>
      </c>
      <c r="AB464" s="3">
        <v>0</v>
      </c>
      <c r="AC464" s="3">
        <v>0</v>
      </c>
      <c r="AD464" s="2">
        <v>-2.1</v>
      </c>
      <c r="AE464" s="2">
        <v>97.2</v>
      </c>
      <c r="AF464" s="2">
        <v>109.8</v>
      </c>
      <c r="AG464" s="2">
        <v>-12.5</v>
      </c>
      <c r="AH464" s="2">
        <v>10.9</v>
      </c>
      <c r="AI464" s="2">
        <v>1.71</v>
      </c>
      <c r="AJ464" s="2">
        <v>19.5</v>
      </c>
      <c r="AK464" s="2">
        <v>8.4</v>
      </c>
      <c r="AL464" s="2">
        <v>27.1</v>
      </c>
      <c r="AM464" s="2">
        <v>17.7</v>
      </c>
      <c r="AN464" s="2">
        <v>11.4</v>
      </c>
      <c r="AO464" s="2">
        <v>43.7</v>
      </c>
      <c r="AP464" s="2">
        <v>41</v>
      </c>
      <c r="AQ464" s="2">
        <v>12.3</v>
      </c>
      <c r="AR464" s="2">
        <v>100.56</v>
      </c>
      <c r="AS464" s="2">
        <v>8.3000000000000007</v>
      </c>
      <c r="AT464" s="2">
        <v>688</v>
      </c>
      <c r="AU464" s="53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6"/>
    </row>
    <row r="465" spans="1:69" ht="13.2">
      <c r="A465" s="1" t="s">
        <v>956</v>
      </c>
      <c r="B465" s="1" t="s">
        <v>957</v>
      </c>
      <c r="C465" s="24" t="str">
        <f>VLOOKUP(B465,Equipe!$A$1:$B$31,2,FALSE)</f>
        <v>New Orleans Pelicans</v>
      </c>
      <c r="D465" s="2">
        <v>25</v>
      </c>
      <c r="E465" s="2">
        <v>8</v>
      </c>
      <c r="F465" s="2">
        <v>1</v>
      </c>
      <c r="G465" s="2">
        <v>7</v>
      </c>
      <c r="H465" s="2">
        <v>21</v>
      </c>
      <c r="I465" s="3">
        <v>67</v>
      </c>
      <c r="J465" s="4">
        <v>26</v>
      </c>
      <c r="K465" s="4">
        <v>73</v>
      </c>
      <c r="L465" s="3">
        <v>35.6</v>
      </c>
      <c r="M465" s="4">
        <v>8</v>
      </c>
      <c r="N465" s="4">
        <v>27</v>
      </c>
      <c r="O465" s="3">
        <v>29.6</v>
      </c>
      <c r="P465" s="3">
        <v>7</v>
      </c>
      <c r="Q465" s="3">
        <v>11</v>
      </c>
      <c r="R465" s="3">
        <v>63.6</v>
      </c>
      <c r="S465" s="4">
        <v>6</v>
      </c>
      <c r="T465" s="4">
        <v>14</v>
      </c>
      <c r="U465" s="4">
        <v>20</v>
      </c>
      <c r="V465" s="4">
        <v>18</v>
      </c>
      <c r="W465" s="4">
        <v>8</v>
      </c>
      <c r="X465" s="4">
        <v>1</v>
      </c>
      <c r="Y465" s="4">
        <v>4</v>
      </c>
      <c r="Z465" s="4">
        <v>9</v>
      </c>
      <c r="AA465" s="3">
        <v>125</v>
      </c>
      <c r="AB465" s="3">
        <v>0</v>
      </c>
      <c r="AC465" s="3">
        <v>0</v>
      </c>
      <c r="AD465" s="2">
        <v>-5.3</v>
      </c>
      <c r="AE465" s="2">
        <v>100.9</v>
      </c>
      <c r="AF465" s="2">
        <v>114</v>
      </c>
      <c r="AG465" s="2">
        <v>-13.1</v>
      </c>
      <c r="AH465" s="2">
        <v>17.600000000000001</v>
      </c>
      <c r="AI465" s="2">
        <v>2.25</v>
      </c>
      <c r="AJ465" s="2">
        <v>17.3</v>
      </c>
      <c r="AK465" s="2">
        <v>3.2</v>
      </c>
      <c r="AL465" s="2">
        <v>8.6</v>
      </c>
      <c r="AM465" s="2">
        <v>5.8</v>
      </c>
      <c r="AN465" s="2">
        <v>7.7</v>
      </c>
      <c r="AO465" s="2">
        <v>41.1</v>
      </c>
      <c r="AP465" s="2">
        <v>43</v>
      </c>
      <c r="AQ465" s="2">
        <v>21.5</v>
      </c>
      <c r="AR465" s="2">
        <v>96.24</v>
      </c>
      <c r="AS465" s="2">
        <v>6</v>
      </c>
      <c r="AT465" s="2">
        <v>338</v>
      </c>
      <c r="AU465" s="53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6"/>
    </row>
    <row r="466" spans="1:69" ht="13.2">
      <c r="A466" s="1" t="s">
        <v>958</v>
      </c>
      <c r="B466" s="1" t="s">
        <v>959</v>
      </c>
      <c r="C466" s="24" t="str">
        <f>VLOOKUP(B466,Equipe!$A$1:$B$31,2,FALSE)</f>
        <v>Oklahoma City Thunder</v>
      </c>
      <c r="D466" s="2">
        <v>25</v>
      </c>
      <c r="E466" s="2">
        <v>37</v>
      </c>
      <c r="F466" s="2">
        <v>34</v>
      </c>
      <c r="G466" s="2">
        <v>3</v>
      </c>
      <c r="H466" s="2">
        <v>5.5</v>
      </c>
      <c r="I466" s="3">
        <v>67</v>
      </c>
      <c r="J466" s="4">
        <v>26</v>
      </c>
      <c r="K466" s="4">
        <v>96</v>
      </c>
      <c r="L466" s="3">
        <v>26</v>
      </c>
      <c r="M466" s="4">
        <v>15</v>
      </c>
      <c r="N466" s="4">
        <v>70</v>
      </c>
      <c r="O466" s="3">
        <v>19.399999999999999</v>
      </c>
      <c r="P466" s="3">
        <v>0</v>
      </c>
      <c r="Q466" s="3">
        <v>4</v>
      </c>
      <c r="R466" s="3">
        <v>50</v>
      </c>
      <c r="S466" s="4">
        <v>7</v>
      </c>
      <c r="T466" s="4">
        <v>19</v>
      </c>
      <c r="U466" s="4">
        <v>26</v>
      </c>
      <c r="V466" s="4">
        <v>11</v>
      </c>
      <c r="W466" s="4">
        <v>4</v>
      </c>
      <c r="X466" s="4">
        <v>7</v>
      </c>
      <c r="Y466" s="4">
        <v>4</v>
      </c>
      <c r="Z466" s="4">
        <v>15</v>
      </c>
      <c r="AA466" s="3">
        <v>144</v>
      </c>
      <c r="AB466" s="3">
        <v>0</v>
      </c>
      <c r="AC466" s="3">
        <v>0</v>
      </c>
      <c r="AD466" s="2">
        <v>0.2</v>
      </c>
      <c r="AE466" s="2">
        <v>99.1</v>
      </c>
      <c r="AF466" s="2">
        <v>96.7</v>
      </c>
      <c r="AG466" s="2">
        <v>2.2999999999999998</v>
      </c>
      <c r="AH466" s="2">
        <v>9.4</v>
      </c>
      <c r="AI466" s="2">
        <v>3</v>
      </c>
      <c r="AJ466" s="2">
        <v>10.6</v>
      </c>
      <c r="AK466" s="2">
        <v>2.9</v>
      </c>
      <c r="AL466" s="2">
        <v>8.6</v>
      </c>
      <c r="AM466" s="2">
        <v>5.7</v>
      </c>
      <c r="AN466" s="2">
        <v>3.5</v>
      </c>
      <c r="AO466" s="2">
        <v>33.299999999999997</v>
      </c>
      <c r="AP466" s="2">
        <v>33.5</v>
      </c>
      <c r="AQ466" s="2">
        <v>20.7</v>
      </c>
      <c r="AR466" s="2">
        <v>100.16</v>
      </c>
      <c r="AS466" s="2">
        <v>2.5</v>
      </c>
      <c r="AT466" s="2">
        <v>422</v>
      </c>
      <c r="AU466" s="53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6"/>
    </row>
    <row r="467" spans="1:69" ht="13.2">
      <c r="A467" s="1" t="s">
        <v>960</v>
      </c>
      <c r="B467" s="1" t="s">
        <v>961</v>
      </c>
      <c r="C467" s="24" t="str">
        <f>VLOOKUP(B467,Equipe!$A$1:$B$31,2,FALSE)</f>
        <v>Philadelphia 76ers</v>
      </c>
      <c r="D467" s="2">
        <v>23</v>
      </c>
      <c r="E467" s="2">
        <v>10</v>
      </c>
      <c r="F467" s="2">
        <v>1</v>
      </c>
      <c r="G467" s="2">
        <v>9</v>
      </c>
      <c r="H467" s="2">
        <v>25.3</v>
      </c>
      <c r="I467" s="3">
        <v>67</v>
      </c>
      <c r="J467" s="4">
        <v>27</v>
      </c>
      <c r="K467" s="4">
        <v>69</v>
      </c>
      <c r="L467" s="3">
        <v>39.1</v>
      </c>
      <c r="M467" s="4">
        <v>5</v>
      </c>
      <c r="N467" s="4">
        <v>32</v>
      </c>
      <c r="O467" s="3">
        <v>15.6</v>
      </c>
      <c r="P467" s="3">
        <v>8</v>
      </c>
      <c r="Q467" s="3">
        <v>10</v>
      </c>
      <c r="R467" s="3">
        <v>80</v>
      </c>
      <c r="S467" s="4">
        <v>23</v>
      </c>
      <c r="T467" s="4">
        <v>47</v>
      </c>
      <c r="U467" s="4">
        <v>70</v>
      </c>
      <c r="V467" s="4">
        <v>10</v>
      </c>
      <c r="W467" s="4">
        <v>7</v>
      </c>
      <c r="X467" s="4">
        <v>9</v>
      </c>
      <c r="Y467" s="4">
        <v>12</v>
      </c>
      <c r="Z467" s="4">
        <v>16</v>
      </c>
      <c r="AA467" s="3">
        <v>222</v>
      </c>
      <c r="AB467" s="3">
        <v>2</v>
      </c>
      <c r="AC467" s="3">
        <v>0</v>
      </c>
      <c r="AD467" s="2">
        <v>-8.4</v>
      </c>
      <c r="AE467" s="2">
        <v>101.1</v>
      </c>
      <c r="AF467" s="2">
        <v>117</v>
      </c>
      <c r="AG467" s="2">
        <v>-15.9</v>
      </c>
      <c r="AH467" s="2">
        <v>5.6</v>
      </c>
      <c r="AI467" s="2">
        <v>1.43</v>
      </c>
      <c r="AJ467" s="2">
        <v>11</v>
      </c>
      <c r="AK467" s="2">
        <v>7.8</v>
      </c>
      <c r="AL467" s="2">
        <v>17.5</v>
      </c>
      <c r="AM467" s="2">
        <v>12.4</v>
      </c>
      <c r="AN467" s="2">
        <v>7.7</v>
      </c>
      <c r="AO467" s="2">
        <v>42.8</v>
      </c>
      <c r="AP467" s="2">
        <v>45.6</v>
      </c>
      <c r="AQ467" s="2">
        <v>12.8</v>
      </c>
      <c r="AR467" s="2">
        <v>102.58</v>
      </c>
      <c r="AS467" s="2">
        <v>7.7</v>
      </c>
      <c r="AT467" s="2">
        <v>542</v>
      </c>
      <c r="AU467" s="53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6"/>
    </row>
    <row r="468" spans="1:69" ht="13.2">
      <c r="A468" s="1" t="s">
        <v>954</v>
      </c>
      <c r="B468" s="1" t="s">
        <v>955</v>
      </c>
      <c r="C468" s="24" t="str">
        <f>VLOOKUP(B468,Equipe!$A$1:$B$31,2,FALSE)</f>
        <v>Milwaukee Bucks</v>
      </c>
      <c r="D468" s="2">
        <v>20</v>
      </c>
      <c r="E468" s="2">
        <v>23</v>
      </c>
      <c r="F468" s="2">
        <v>12</v>
      </c>
      <c r="G468" s="2">
        <v>11</v>
      </c>
      <c r="H468" s="2">
        <v>5.3</v>
      </c>
      <c r="I468" s="3">
        <v>67</v>
      </c>
      <c r="J468" s="4">
        <v>23</v>
      </c>
      <c r="K468" s="4">
        <v>51</v>
      </c>
      <c r="L468" s="3">
        <v>48</v>
      </c>
      <c r="M468" s="4">
        <v>14</v>
      </c>
      <c r="N468" s="4">
        <v>30</v>
      </c>
      <c r="O468" s="3">
        <v>43.3</v>
      </c>
      <c r="P468" s="3">
        <v>7</v>
      </c>
      <c r="Q468" s="3">
        <v>7</v>
      </c>
      <c r="R468" s="3">
        <v>75</v>
      </c>
      <c r="S468" s="4">
        <v>7</v>
      </c>
      <c r="T468" s="4">
        <v>18</v>
      </c>
      <c r="U468" s="4">
        <v>25</v>
      </c>
      <c r="V468" s="4">
        <v>5</v>
      </c>
      <c r="W468" s="4">
        <v>7</v>
      </c>
      <c r="X468" s="4">
        <v>2</v>
      </c>
      <c r="Y468" s="4">
        <v>5</v>
      </c>
      <c r="Z468" s="4">
        <v>12</v>
      </c>
      <c r="AA468" s="3">
        <v>115</v>
      </c>
      <c r="AB468" s="3">
        <v>0</v>
      </c>
      <c r="AC468" s="3">
        <v>0</v>
      </c>
      <c r="AD468" s="2">
        <v>0.3</v>
      </c>
      <c r="AE468" s="2">
        <v>103.4</v>
      </c>
      <c r="AF468" s="2">
        <v>96.3</v>
      </c>
      <c r="AG468" s="2">
        <v>7.1</v>
      </c>
      <c r="AH468" s="2">
        <v>5.6</v>
      </c>
      <c r="AI468" s="2">
        <v>0.5</v>
      </c>
      <c r="AJ468" s="2">
        <v>6.2</v>
      </c>
      <c r="AK468" s="2">
        <v>5</v>
      </c>
      <c r="AL468" s="2">
        <v>14.3</v>
      </c>
      <c r="AM468" s="2">
        <v>9.8000000000000007</v>
      </c>
      <c r="AN468" s="2">
        <v>12.3</v>
      </c>
      <c r="AO468" s="2">
        <v>61</v>
      </c>
      <c r="AP468" s="2">
        <v>62.6</v>
      </c>
      <c r="AQ468" s="2">
        <v>20.5</v>
      </c>
      <c r="AR468" s="2">
        <v>105.22</v>
      </c>
      <c r="AS468" s="2">
        <v>12.3</v>
      </c>
      <c r="AT468" s="2">
        <v>261</v>
      </c>
      <c r="AU468" s="53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6"/>
    </row>
    <row r="469" spans="1:69" ht="13.2">
      <c r="A469" s="1" t="s">
        <v>962</v>
      </c>
      <c r="B469" s="1" t="s">
        <v>963</v>
      </c>
      <c r="C469" s="24" t="str">
        <f>VLOOKUP(B469,Equipe!$A$1:$B$31,2,FALSE)</f>
        <v>Houston Rockets</v>
      </c>
      <c r="D469" s="2">
        <v>26</v>
      </c>
      <c r="E469" s="2">
        <v>20</v>
      </c>
      <c r="F469" s="2">
        <v>14</v>
      </c>
      <c r="G469" s="2">
        <v>6</v>
      </c>
      <c r="H469" s="2">
        <v>7.3</v>
      </c>
      <c r="I469" s="3">
        <v>66</v>
      </c>
      <c r="J469" s="4">
        <v>28</v>
      </c>
      <c r="K469" s="4">
        <v>62</v>
      </c>
      <c r="L469" s="3">
        <v>43.5</v>
      </c>
      <c r="M469" s="4">
        <v>6</v>
      </c>
      <c r="N469" s="4">
        <v>26</v>
      </c>
      <c r="O469" s="3">
        <v>23.1</v>
      </c>
      <c r="P469" s="3">
        <v>6</v>
      </c>
      <c r="Q469" s="3">
        <v>8</v>
      </c>
      <c r="R469" s="3">
        <v>62.5</v>
      </c>
      <c r="S469" s="4">
        <v>6</v>
      </c>
      <c r="T469" s="4">
        <v>8</v>
      </c>
      <c r="U469" s="4">
        <v>14</v>
      </c>
      <c r="V469" s="4">
        <v>10</v>
      </c>
      <c r="W469" s="4">
        <v>14</v>
      </c>
      <c r="X469" s="4">
        <v>8</v>
      </c>
      <c r="Y469" s="4">
        <v>4</v>
      </c>
      <c r="Z469" s="4">
        <v>16</v>
      </c>
      <c r="AA469" s="3">
        <v>116</v>
      </c>
      <c r="AB469" s="3">
        <v>0</v>
      </c>
      <c r="AC469" s="3">
        <v>0</v>
      </c>
      <c r="AD469" s="2">
        <v>-1.2</v>
      </c>
      <c r="AE469" s="2">
        <v>110.6</v>
      </c>
      <c r="AF469" s="2">
        <v>116.8</v>
      </c>
      <c r="AG469" s="2">
        <v>-6.2</v>
      </c>
      <c r="AH469" s="2">
        <v>7.9</v>
      </c>
      <c r="AI469" s="2">
        <v>0.64</v>
      </c>
      <c r="AJ469" s="2">
        <v>10.1</v>
      </c>
      <c r="AK469" s="2">
        <v>3.3</v>
      </c>
      <c r="AL469" s="2">
        <v>5.3</v>
      </c>
      <c r="AM469" s="2">
        <v>4.3</v>
      </c>
      <c r="AN469" s="2">
        <v>15.7</v>
      </c>
      <c r="AO469" s="2">
        <v>48.4</v>
      </c>
      <c r="AP469" s="2">
        <v>49.6</v>
      </c>
      <c r="AQ469" s="2">
        <v>21.2</v>
      </c>
      <c r="AR469" s="2">
        <v>108.85</v>
      </c>
      <c r="AS469" s="2">
        <v>3.8</v>
      </c>
      <c r="AT469" s="2">
        <v>331</v>
      </c>
      <c r="AU469" s="53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6"/>
    </row>
    <row r="470" spans="1:69" ht="13.2">
      <c r="A470" s="1" t="s">
        <v>968</v>
      </c>
      <c r="B470" s="1" t="s">
        <v>969</v>
      </c>
      <c r="C470" s="24" t="str">
        <f>VLOOKUP(B470,Equipe!$A$1:$B$31,2,FALSE)</f>
        <v>Los Angeles Lakers</v>
      </c>
      <c r="D470" s="2">
        <v>20</v>
      </c>
      <c r="E470" s="2">
        <v>27</v>
      </c>
      <c r="F470" s="2">
        <v>17</v>
      </c>
      <c r="G470" s="2">
        <v>10</v>
      </c>
      <c r="H470" s="2">
        <v>6.7</v>
      </c>
      <c r="I470" s="3">
        <v>62</v>
      </c>
      <c r="J470" s="4">
        <v>22</v>
      </c>
      <c r="K470" s="4">
        <v>68</v>
      </c>
      <c r="L470" s="3">
        <v>31.3</v>
      </c>
      <c r="M470" s="4">
        <v>8</v>
      </c>
      <c r="N470" s="4">
        <v>32</v>
      </c>
      <c r="O470" s="3">
        <v>28.1</v>
      </c>
      <c r="P470" s="3">
        <v>11</v>
      </c>
      <c r="Q470" s="3">
        <v>14</v>
      </c>
      <c r="R470" s="3">
        <v>78.599999999999994</v>
      </c>
      <c r="S470" s="4">
        <v>3</v>
      </c>
      <c r="T470" s="4">
        <v>14</v>
      </c>
      <c r="U470" s="4">
        <v>19</v>
      </c>
      <c r="V470" s="4">
        <v>22</v>
      </c>
      <c r="W470" s="4">
        <v>14</v>
      </c>
      <c r="X470" s="4">
        <v>8</v>
      </c>
      <c r="Y470" s="4">
        <v>3</v>
      </c>
      <c r="Z470" s="4">
        <v>14</v>
      </c>
      <c r="AA470" s="3">
        <v>140</v>
      </c>
      <c r="AB470" s="3">
        <v>0</v>
      </c>
      <c r="AC470" s="3">
        <v>0</v>
      </c>
      <c r="AD470" s="2">
        <v>-2.6</v>
      </c>
      <c r="AE470" s="2">
        <v>95.5</v>
      </c>
      <c r="AF470" s="2">
        <v>114.1</v>
      </c>
      <c r="AG470" s="2">
        <v>-18.600000000000001</v>
      </c>
      <c r="AH470" s="2">
        <v>19.100000000000001</v>
      </c>
      <c r="AI470" s="2">
        <v>1.69</v>
      </c>
      <c r="AJ470" s="2">
        <v>20.399999999999999</v>
      </c>
      <c r="AK470" s="2">
        <v>2.1</v>
      </c>
      <c r="AL470" s="2">
        <v>7.6</v>
      </c>
      <c r="AM470" s="2">
        <v>4.8</v>
      </c>
      <c r="AN470" s="2">
        <v>12</v>
      </c>
      <c r="AO470" s="2">
        <v>38.1</v>
      </c>
      <c r="AP470" s="2">
        <v>42.4</v>
      </c>
      <c r="AQ470" s="2">
        <v>19.899999999999999</v>
      </c>
      <c r="AR470" s="2">
        <v>99.45</v>
      </c>
      <c r="AS470" s="2">
        <v>5</v>
      </c>
      <c r="AT470" s="2">
        <v>375</v>
      </c>
      <c r="AU470" s="53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6"/>
    </row>
    <row r="471" spans="1:69" ht="13.2">
      <c r="A471" s="1" t="s">
        <v>964</v>
      </c>
      <c r="B471" s="1" t="s">
        <v>965</v>
      </c>
      <c r="C471" s="24" t="str">
        <f>VLOOKUP(B471,Equipe!$A$1:$B$31,2,FALSE)</f>
        <v>Brooklyn Nets</v>
      </c>
      <c r="D471" s="2">
        <v>27</v>
      </c>
      <c r="E471" s="2">
        <v>6</v>
      </c>
      <c r="F471" s="2">
        <v>4</v>
      </c>
      <c r="G471" s="2">
        <v>2</v>
      </c>
      <c r="H471" s="2">
        <v>20.2</v>
      </c>
      <c r="I471" s="3">
        <v>62</v>
      </c>
      <c r="J471" s="4">
        <v>22</v>
      </c>
      <c r="K471" s="4">
        <v>54</v>
      </c>
      <c r="L471" s="3">
        <v>40.700000000000003</v>
      </c>
      <c r="M471" s="4">
        <v>13</v>
      </c>
      <c r="N471" s="4">
        <v>35</v>
      </c>
      <c r="O471" s="3">
        <v>37.1</v>
      </c>
      <c r="P471" s="3">
        <v>5</v>
      </c>
      <c r="Q471" s="3">
        <v>8</v>
      </c>
      <c r="R471" s="3">
        <v>62.5</v>
      </c>
      <c r="S471" s="4">
        <v>6</v>
      </c>
      <c r="T471" s="4">
        <v>14</v>
      </c>
      <c r="U471" s="4">
        <v>20</v>
      </c>
      <c r="V471" s="4">
        <v>17</v>
      </c>
      <c r="W471" s="4">
        <v>10</v>
      </c>
      <c r="X471" s="4">
        <v>7</v>
      </c>
      <c r="Y471" s="4">
        <v>2</v>
      </c>
      <c r="Z471" s="4">
        <v>18</v>
      </c>
      <c r="AA471" s="3">
        <v>128</v>
      </c>
      <c r="AB471" s="3">
        <v>1</v>
      </c>
      <c r="AC471" s="3">
        <v>0</v>
      </c>
      <c r="AD471" s="2">
        <v>4.5</v>
      </c>
      <c r="AE471" s="2">
        <v>108.3</v>
      </c>
      <c r="AF471" s="2">
        <v>97.4</v>
      </c>
      <c r="AG471" s="2">
        <v>10.9</v>
      </c>
      <c r="AH471" s="2">
        <v>20.5</v>
      </c>
      <c r="AI471" s="2">
        <v>1.7</v>
      </c>
      <c r="AJ471" s="2">
        <v>20</v>
      </c>
      <c r="AK471" s="2">
        <v>4.5999999999999996</v>
      </c>
      <c r="AL471" s="2">
        <v>10.4</v>
      </c>
      <c r="AM471" s="2">
        <v>7.5</v>
      </c>
      <c r="AN471" s="2">
        <v>11.8</v>
      </c>
      <c r="AO471" s="2">
        <v>52.8</v>
      </c>
      <c r="AP471" s="2">
        <v>53.9</v>
      </c>
      <c r="AQ471" s="2">
        <v>22.3</v>
      </c>
      <c r="AR471" s="2">
        <v>105.54</v>
      </c>
      <c r="AS471" s="2">
        <v>9.1</v>
      </c>
      <c r="AT471" s="2">
        <v>265</v>
      </c>
      <c r="AU471" s="53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6"/>
    </row>
    <row r="472" spans="1:69" ht="13.2">
      <c r="A472" s="1" t="s">
        <v>966</v>
      </c>
      <c r="B472" s="1" t="s">
        <v>967</v>
      </c>
      <c r="C472" s="24" t="str">
        <f>VLOOKUP(B472,Equipe!$A$1:$B$31,2,FALSE)</f>
        <v>Indiana Pacers</v>
      </c>
      <c r="D472" s="2">
        <v>27</v>
      </c>
      <c r="E472" s="2">
        <v>14</v>
      </c>
      <c r="F472" s="2">
        <v>11</v>
      </c>
      <c r="G472" s="2">
        <v>3</v>
      </c>
      <c r="H472" s="2">
        <v>8.1</v>
      </c>
      <c r="I472" s="3">
        <v>62</v>
      </c>
      <c r="J472" s="4">
        <v>29</v>
      </c>
      <c r="K472" s="4">
        <v>45</v>
      </c>
      <c r="L472" s="3">
        <v>64.400000000000006</v>
      </c>
      <c r="M472" s="4">
        <v>1</v>
      </c>
      <c r="N472" s="4">
        <v>3</v>
      </c>
      <c r="O472" s="3">
        <v>33.299999999999997</v>
      </c>
      <c r="P472" s="3">
        <v>1</v>
      </c>
      <c r="Q472" s="3">
        <v>6</v>
      </c>
      <c r="R472" s="3">
        <v>33.299999999999997</v>
      </c>
      <c r="S472" s="4">
        <v>18</v>
      </c>
      <c r="T472" s="4">
        <v>24</v>
      </c>
      <c r="U472" s="4">
        <v>42</v>
      </c>
      <c r="V472" s="4">
        <v>6</v>
      </c>
      <c r="W472" s="4">
        <v>6</v>
      </c>
      <c r="X472" s="4">
        <v>1</v>
      </c>
      <c r="Y472" s="4">
        <v>8</v>
      </c>
      <c r="Z472" s="4">
        <v>11</v>
      </c>
      <c r="AA472" s="3">
        <v>148</v>
      </c>
      <c r="AB472" s="3">
        <v>1</v>
      </c>
      <c r="AC472" s="3">
        <v>0</v>
      </c>
      <c r="AD472" s="2">
        <v>3.1</v>
      </c>
      <c r="AE472" s="2">
        <v>112.6</v>
      </c>
      <c r="AF472" s="2">
        <v>93.6</v>
      </c>
      <c r="AG472" s="2">
        <v>19</v>
      </c>
      <c r="AH472" s="2">
        <v>8</v>
      </c>
      <c r="AI472" s="2">
        <v>1.2</v>
      </c>
      <c r="AJ472" s="2">
        <v>10.199999999999999</v>
      </c>
      <c r="AK472" s="2">
        <v>15.1</v>
      </c>
      <c r="AL472" s="2">
        <v>19.2</v>
      </c>
      <c r="AM472" s="2">
        <v>17.2</v>
      </c>
      <c r="AN472" s="2">
        <v>8.5</v>
      </c>
      <c r="AO472" s="2">
        <v>65.599999999999994</v>
      </c>
      <c r="AP472" s="2">
        <v>64</v>
      </c>
      <c r="AQ472" s="2">
        <v>18.2</v>
      </c>
      <c r="AR472" s="2">
        <v>105.38</v>
      </c>
      <c r="AS472" s="2">
        <v>16</v>
      </c>
      <c r="AT472" s="2">
        <v>246</v>
      </c>
      <c r="AU472" s="53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6"/>
    </row>
    <row r="473" spans="1:69" ht="13.2">
      <c r="A473" s="1" t="s">
        <v>970</v>
      </c>
      <c r="B473" s="1" t="s">
        <v>971</v>
      </c>
      <c r="C473" s="24" t="str">
        <f>VLOOKUP(B473,Equipe!$A$1:$B$31,2,FALSE)</f>
        <v>Sacramento Kings</v>
      </c>
      <c r="D473" s="2">
        <v>27</v>
      </c>
      <c r="E473" s="2">
        <v>21</v>
      </c>
      <c r="F473" s="2">
        <v>9</v>
      </c>
      <c r="G473" s="2">
        <v>12</v>
      </c>
      <c r="H473" s="2">
        <v>8.8000000000000007</v>
      </c>
      <c r="I473" s="3">
        <v>61</v>
      </c>
      <c r="J473" s="4">
        <v>27</v>
      </c>
      <c r="K473" s="4">
        <v>67</v>
      </c>
      <c r="L473" s="3">
        <v>41.8</v>
      </c>
      <c r="M473" s="4">
        <v>4</v>
      </c>
      <c r="N473" s="4">
        <v>8</v>
      </c>
      <c r="O473" s="3">
        <v>50</v>
      </c>
      <c r="P473" s="3">
        <v>0</v>
      </c>
      <c r="Q473" s="3">
        <v>0</v>
      </c>
      <c r="R473" s="3">
        <v>100</v>
      </c>
      <c r="S473" s="4">
        <v>6</v>
      </c>
      <c r="T473" s="4">
        <v>15</v>
      </c>
      <c r="U473" s="4">
        <v>21</v>
      </c>
      <c r="V473" s="4">
        <v>27</v>
      </c>
      <c r="W473" s="4">
        <v>15</v>
      </c>
      <c r="X473" s="4">
        <v>11</v>
      </c>
      <c r="Y473" s="4">
        <v>2</v>
      </c>
      <c r="Z473" s="4">
        <v>13</v>
      </c>
      <c r="AA473" s="3">
        <v>147</v>
      </c>
      <c r="AB473" s="3">
        <v>0</v>
      </c>
      <c r="AC473" s="3">
        <v>0</v>
      </c>
      <c r="AD473" s="2">
        <v>0.2</v>
      </c>
      <c r="AE473" s="2">
        <v>109.3</v>
      </c>
      <c r="AF473" s="2">
        <v>105.7</v>
      </c>
      <c r="AG473" s="2">
        <v>3.6</v>
      </c>
      <c r="AH473" s="2">
        <v>20.8</v>
      </c>
      <c r="AI473" s="2">
        <v>1.8</v>
      </c>
      <c r="AJ473" s="2">
        <v>24.8</v>
      </c>
      <c r="AK473" s="2">
        <v>3.6</v>
      </c>
      <c r="AL473" s="2">
        <v>7.7</v>
      </c>
      <c r="AM473" s="2">
        <v>5.8</v>
      </c>
      <c r="AN473" s="2">
        <v>13.8</v>
      </c>
      <c r="AO473" s="2">
        <v>44.8</v>
      </c>
      <c r="AP473" s="2">
        <v>45.2</v>
      </c>
      <c r="AQ473" s="2">
        <v>19.600000000000001</v>
      </c>
      <c r="AR473" s="2">
        <v>99.36</v>
      </c>
      <c r="AS473" s="2">
        <v>6.5</v>
      </c>
      <c r="AT473" s="2">
        <v>377</v>
      </c>
      <c r="AU473" s="53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6"/>
    </row>
    <row r="474" spans="1:69" ht="13.2">
      <c r="A474" s="1" t="s">
        <v>972</v>
      </c>
      <c r="B474" s="1" t="s">
        <v>973</v>
      </c>
      <c r="C474" s="24" t="str">
        <f>VLOOKUP(B474,Equipe!$A$1:$B$31,2,FALSE)</f>
        <v>Toronto Raptors</v>
      </c>
      <c r="D474" s="2">
        <v>26</v>
      </c>
      <c r="E474" s="2">
        <v>10</v>
      </c>
      <c r="F474" s="2">
        <v>5</v>
      </c>
      <c r="G474" s="2">
        <v>5</v>
      </c>
      <c r="H474" s="2">
        <v>17</v>
      </c>
      <c r="I474" s="3">
        <v>59</v>
      </c>
      <c r="J474" s="4">
        <v>22</v>
      </c>
      <c r="K474" s="4">
        <v>63</v>
      </c>
      <c r="L474" s="3">
        <v>34.9</v>
      </c>
      <c r="M474" s="4">
        <v>15</v>
      </c>
      <c r="N474" s="4">
        <v>47</v>
      </c>
      <c r="O474" s="3">
        <v>31.9</v>
      </c>
      <c r="P474" s="3">
        <v>0</v>
      </c>
      <c r="Q474" s="3">
        <v>1</v>
      </c>
      <c r="R474" s="3">
        <v>0</v>
      </c>
      <c r="S474" s="4">
        <v>5</v>
      </c>
      <c r="T474" s="4">
        <v>22</v>
      </c>
      <c r="U474" s="4">
        <v>27</v>
      </c>
      <c r="V474" s="4">
        <v>3</v>
      </c>
      <c r="W474" s="4">
        <v>4</v>
      </c>
      <c r="X474" s="4">
        <v>4</v>
      </c>
      <c r="Y474" s="4">
        <v>2</v>
      </c>
      <c r="Z474" s="4">
        <v>12</v>
      </c>
      <c r="AA474" s="3">
        <v>110</v>
      </c>
      <c r="AB474" s="3">
        <v>0</v>
      </c>
      <c r="AC474" s="3">
        <v>0</v>
      </c>
      <c r="AD474" s="2">
        <v>5.4</v>
      </c>
      <c r="AE474" s="2">
        <v>114.2</v>
      </c>
      <c r="AF474" s="2">
        <v>100.5</v>
      </c>
      <c r="AG474" s="2">
        <v>13.7</v>
      </c>
      <c r="AH474" s="2">
        <v>2.2000000000000002</v>
      </c>
      <c r="AI474" s="2">
        <v>0.75</v>
      </c>
      <c r="AJ474" s="2">
        <v>4.3</v>
      </c>
      <c r="AK474" s="2">
        <v>2.6</v>
      </c>
      <c r="AL474" s="2">
        <v>11.9</v>
      </c>
      <c r="AM474" s="2">
        <v>7.2</v>
      </c>
      <c r="AN474" s="2">
        <v>5.7</v>
      </c>
      <c r="AO474" s="2">
        <v>46.8</v>
      </c>
      <c r="AP474" s="2">
        <v>46.5</v>
      </c>
      <c r="AQ474" s="2">
        <v>15.5</v>
      </c>
      <c r="AR474" s="2">
        <v>104.92</v>
      </c>
      <c r="AS474" s="2">
        <v>4.5999999999999996</v>
      </c>
      <c r="AT474" s="2">
        <v>372</v>
      </c>
      <c r="AU474" s="53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6"/>
    </row>
    <row r="475" spans="1:69" ht="13.2">
      <c r="A475" s="1" t="s">
        <v>974</v>
      </c>
      <c r="B475" s="1" t="s">
        <v>975</v>
      </c>
      <c r="C475" s="24" t="str">
        <f>VLOOKUP(B475,Equipe!$A$1:$B$31,2,FALSE)</f>
        <v>Toronto Raptors</v>
      </c>
      <c r="D475" s="2">
        <v>26</v>
      </c>
      <c r="E475" s="2">
        <v>17</v>
      </c>
      <c r="F475" s="2">
        <v>2</v>
      </c>
      <c r="G475" s="2">
        <v>15</v>
      </c>
      <c r="H475" s="2">
        <v>8.6</v>
      </c>
      <c r="I475" s="3">
        <v>58</v>
      </c>
      <c r="J475" s="4">
        <v>26</v>
      </c>
      <c r="K475" s="4">
        <v>49</v>
      </c>
      <c r="L475" s="3">
        <v>53.1</v>
      </c>
      <c r="M475" s="3">
        <v>0</v>
      </c>
      <c r="N475" s="3">
        <v>0</v>
      </c>
      <c r="O475" s="3">
        <v>0</v>
      </c>
      <c r="P475" s="3">
        <v>7</v>
      </c>
      <c r="Q475" s="3">
        <v>9</v>
      </c>
      <c r="R475" s="3">
        <v>75</v>
      </c>
      <c r="S475" s="4">
        <v>20</v>
      </c>
      <c r="T475" s="4">
        <v>31</v>
      </c>
      <c r="U475" s="4">
        <v>51</v>
      </c>
      <c r="V475" s="4">
        <v>19</v>
      </c>
      <c r="W475" s="4">
        <v>14</v>
      </c>
      <c r="X475" s="4">
        <v>3</v>
      </c>
      <c r="Y475" s="4">
        <v>9</v>
      </c>
      <c r="Z475" s="4">
        <v>27</v>
      </c>
      <c r="AA475" s="3">
        <v>172</v>
      </c>
      <c r="AB475" s="3">
        <v>0</v>
      </c>
      <c r="AC475" s="3">
        <v>0</v>
      </c>
      <c r="AD475" s="2">
        <v>-1.3</v>
      </c>
      <c r="AE475" s="2">
        <v>103.9</v>
      </c>
      <c r="AF475" s="2">
        <v>110.1</v>
      </c>
      <c r="AG475" s="2">
        <v>-6.1</v>
      </c>
      <c r="AH475" s="2">
        <v>19.399999999999999</v>
      </c>
      <c r="AI475" s="2">
        <v>1.29</v>
      </c>
      <c r="AJ475" s="2">
        <v>21.2</v>
      </c>
      <c r="AK475" s="2">
        <v>12.7</v>
      </c>
      <c r="AL475" s="2">
        <v>21</v>
      </c>
      <c r="AM475" s="2">
        <v>16.5</v>
      </c>
      <c r="AN475" s="2">
        <v>16.5</v>
      </c>
      <c r="AO475" s="2">
        <v>53.1</v>
      </c>
      <c r="AP475" s="2">
        <v>55.2</v>
      </c>
      <c r="AQ475" s="2">
        <v>18.2</v>
      </c>
      <c r="AR475" s="2">
        <v>100.37</v>
      </c>
      <c r="AS475" s="2">
        <v>10</v>
      </c>
      <c r="AT475" s="2">
        <v>305</v>
      </c>
      <c r="AU475" s="53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6"/>
    </row>
    <row r="476" spans="1:69" ht="13.2">
      <c r="A476" s="1" t="s">
        <v>976</v>
      </c>
      <c r="B476" s="1" t="s">
        <v>977</v>
      </c>
      <c r="C476" s="24" t="str">
        <f>VLOOKUP(B476,Equipe!$A$1:$B$31,2,FALSE)</f>
        <v>Denver Nuggets</v>
      </c>
      <c r="D476" s="2">
        <v>31</v>
      </c>
      <c r="E476" s="2">
        <v>16</v>
      </c>
      <c r="F476" s="2">
        <v>7</v>
      </c>
      <c r="G476" s="2">
        <v>9</v>
      </c>
      <c r="H476" s="2">
        <v>13.1</v>
      </c>
      <c r="I476" s="3">
        <v>56</v>
      </c>
      <c r="J476" s="4">
        <v>21</v>
      </c>
      <c r="K476" s="4">
        <v>58</v>
      </c>
      <c r="L476" s="3">
        <v>36.200000000000003</v>
      </c>
      <c r="M476" s="4">
        <v>6</v>
      </c>
      <c r="N476" s="4">
        <v>26</v>
      </c>
      <c r="O476" s="3">
        <v>26.9</v>
      </c>
      <c r="P476" s="3">
        <v>6</v>
      </c>
      <c r="Q476" s="3">
        <v>10</v>
      </c>
      <c r="R476" s="3">
        <v>70</v>
      </c>
      <c r="S476" s="4">
        <v>14</v>
      </c>
      <c r="T476" s="4">
        <v>37</v>
      </c>
      <c r="U476" s="4">
        <v>50</v>
      </c>
      <c r="V476" s="4">
        <v>22</v>
      </c>
      <c r="W476" s="4">
        <v>14</v>
      </c>
      <c r="X476" s="4">
        <v>6</v>
      </c>
      <c r="Y476" s="4">
        <v>2</v>
      </c>
      <c r="Z476" s="4">
        <v>19</v>
      </c>
      <c r="AA476" s="3">
        <v>160</v>
      </c>
      <c r="AB476" s="3">
        <v>1</v>
      </c>
      <c r="AC476" s="3">
        <v>0</v>
      </c>
      <c r="AD476" s="2">
        <v>-3.1</v>
      </c>
      <c r="AE476" s="2">
        <v>97.3</v>
      </c>
      <c r="AF476" s="2">
        <v>108.7</v>
      </c>
      <c r="AG476" s="2">
        <v>-11.5</v>
      </c>
      <c r="AH476" s="2">
        <v>17</v>
      </c>
      <c r="AI476" s="2">
        <v>1.53</v>
      </c>
      <c r="AJ476" s="2">
        <v>22.8</v>
      </c>
      <c r="AK476" s="2">
        <v>5.9</v>
      </c>
      <c r="AL476" s="2">
        <v>15.8</v>
      </c>
      <c r="AM476" s="2">
        <v>10.7</v>
      </c>
      <c r="AN476" s="2">
        <v>14.9</v>
      </c>
      <c r="AO476" s="2">
        <v>42.2</v>
      </c>
      <c r="AP476" s="2">
        <v>44.9</v>
      </c>
      <c r="AQ476" s="2">
        <v>15.7</v>
      </c>
      <c r="AR476" s="2">
        <v>99.59</v>
      </c>
      <c r="AS476" s="2">
        <v>6.7</v>
      </c>
      <c r="AT476" s="2">
        <v>437</v>
      </c>
      <c r="AU476" s="53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6"/>
    </row>
    <row r="477" spans="1:69" ht="13.2">
      <c r="A477" s="1" t="s">
        <v>978</v>
      </c>
      <c r="B477" s="1" t="s">
        <v>979</v>
      </c>
      <c r="C477" s="24" t="str">
        <f>VLOOKUP(B477,Equipe!$A$1:$B$31,2,FALSE)</f>
        <v>Los Angeles Lakers</v>
      </c>
      <c r="D477" s="2">
        <v>35</v>
      </c>
      <c r="E477" s="2">
        <v>15</v>
      </c>
      <c r="F477" s="2">
        <v>7</v>
      </c>
      <c r="G477" s="2">
        <v>8</v>
      </c>
      <c r="H477" s="2">
        <v>11</v>
      </c>
      <c r="I477" s="3">
        <v>56</v>
      </c>
      <c r="J477" s="4">
        <v>21</v>
      </c>
      <c r="K477" s="4">
        <v>71</v>
      </c>
      <c r="L477" s="3">
        <v>30</v>
      </c>
      <c r="M477" s="4">
        <v>9</v>
      </c>
      <c r="N477" s="4">
        <v>36</v>
      </c>
      <c r="O477" s="3">
        <v>25</v>
      </c>
      <c r="P477" s="3">
        <v>5</v>
      </c>
      <c r="Q477" s="3">
        <v>6</v>
      </c>
      <c r="R477" s="3">
        <v>83.3</v>
      </c>
      <c r="S477" s="4">
        <v>3</v>
      </c>
      <c r="T477" s="4">
        <v>20</v>
      </c>
      <c r="U477" s="4">
        <v>23</v>
      </c>
      <c r="V477" s="4">
        <v>21</v>
      </c>
      <c r="W477" s="4">
        <v>5</v>
      </c>
      <c r="X477" s="4">
        <v>2</v>
      </c>
      <c r="Y477" s="4">
        <v>3</v>
      </c>
      <c r="Z477" s="4">
        <v>17</v>
      </c>
      <c r="AA477" s="3">
        <v>125</v>
      </c>
      <c r="AB477" s="3">
        <v>0</v>
      </c>
      <c r="AC477" s="3">
        <v>0</v>
      </c>
      <c r="AD477" s="2">
        <v>-1.9</v>
      </c>
      <c r="AE477" s="2">
        <v>106.1</v>
      </c>
      <c r="AF477" s="2">
        <v>113.9</v>
      </c>
      <c r="AG477" s="2">
        <v>-7.8</v>
      </c>
      <c r="AH477" s="2">
        <v>19.100000000000001</v>
      </c>
      <c r="AI477" s="2">
        <v>4.2</v>
      </c>
      <c r="AJ477" s="2">
        <v>21.2</v>
      </c>
      <c r="AK477" s="2">
        <v>1.7</v>
      </c>
      <c r="AL477" s="2">
        <v>11.4</v>
      </c>
      <c r="AM477" s="2">
        <v>6.6</v>
      </c>
      <c r="AN477" s="2">
        <v>5.0999999999999996</v>
      </c>
      <c r="AO477" s="2">
        <v>36.4</v>
      </c>
      <c r="AP477" s="2">
        <v>38.5</v>
      </c>
      <c r="AQ477" s="2">
        <v>20.2</v>
      </c>
      <c r="AR477" s="2">
        <v>100.86</v>
      </c>
      <c r="AS477" s="2">
        <v>4.5</v>
      </c>
      <c r="AT477" s="2">
        <v>345</v>
      </c>
      <c r="AU477" s="53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6"/>
    </row>
    <row r="478" spans="1:69" ht="13.2">
      <c r="A478" s="1" t="s">
        <v>982</v>
      </c>
      <c r="B478" s="1" t="s">
        <v>983</v>
      </c>
      <c r="C478" s="24" t="str">
        <f>VLOOKUP(B478,Equipe!$A$1:$B$31,2,FALSE)</f>
        <v>Boston Celtics</v>
      </c>
      <c r="D478" s="2">
        <v>25</v>
      </c>
      <c r="E478" s="2">
        <v>25</v>
      </c>
      <c r="F478" s="2">
        <v>17</v>
      </c>
      <c r="G478" s="2">
        <v>8</v>
      </c>
      <c r="H478" s="2">
        <v>7.4</v>
      </c>
      <c r="I478" s="3">
        <v>55</v>
      </c>
      <c r="J478" s="4">
        <v>18</v>
      </c>
      <c r="K478" s="4">
        <v>40</v>
      </c>
      <c r="L478" s="3">
        <v>41.5</v>
      </c>
      <c r="M478" s="4">
        <v>13</v>
      </c>
      <c r="N478" s="4">
        <v>33</v>
      </c>
      <c r="O478" s="3">
        <v>39.4</v>
      </c>
      <c r="P478" s="3">
        <v>8</v>
      </c>
      <c r="Q478" s="3">
        <v>10</v>
      </c>
      <c r="R478" s="3">
        <v>77.8</v>
      </c>
      <c r="S478" s="4">
        <v>10</v>
      </c>
      <c r="T478" s="4">
        <v>30</v>
      </c>
      <c r="U478" s="4">
        <v>40</v>
      </c>
      <c r="V478" s="4">
        <v>13</v>
      </c>
      <c r="W478" s="4">
        <v>8</v>
      </c>
      <c r="X478" s="4">
        <v>5</v>
      </c>
      <c r="Y478" s="4">
        <v>3</v>
      </c>
      <c r="Z478" s="4">
        <v>18</v>
      </c>
      <c r="AA478" s="3">
        <v>135</v>
      </c>
      <c r="AB478" s="3">
        <v>0</v>
      </c>
      <c r="AC478" s="3">
        <v>0</v>
      </c>
      <c r="AD478" s="2">
        <v>1.8</v>
      </c>
      <c r="AE478" s="2">
        <v>115.7</v>
      </c>
      <c r="AF478" s="2">
        <v>102.9</v>
      </c>
      <c r="AG478" s="2">
        <v>12.8</v>
      </c>
      <c r="AH478" s="2">
        <v>9.5</v>
      </c>
      <c r="AI478" s="2">
        <v>1.63</v>
      </c>
      <c r="AJ478" s="2">
        <v>19.7</v>
      </c>
      <c r="AK478" s="2">
        <v>5.0999999999999996</v>
      </c>
      <c r="AL478" s="2">
        <v>16.100000000000001</v>
      </c>
      <c r="AM478" s="2">
        <v>10.8</v>
      </c>
      <c r="AN478" s="2">
        <v>12.1</v>
      </c>
      <c r="AO478" s="2">
        <v>57.3</v>
      </c>
      <c r="AP478" s="2">
        <v>60.1</v>
      </c>
      <c r="AQ478" s="2">
        <v>12.1</v>
      </c>
      <c r="AR478" s="2">
        <v>96.96</v>
      </c>
      <c r="AS478" s="2">
        <v>7.8</v>
      </c>
      <c r="AT478" s="2">
        <v>375</v>
      </c>
      <c r="AU478" s="53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6"/>
    </row>
    <row r="479" spans="1:69" ht="13.2">
      <c r="A479" s="1" t="s">
        <v>980</v>
      </c>
      <c r="B479" s="1" t="s">
        <v>981</v>
      </c>
      <c r="C479" s="24" t="str">
        <f>VLOOKUP(B479,Equipe!$A$1:$B$31,2,FALSE)</f>
        <v>Brooklyn Nets</v>
      </c>
      <c r="D479" s="2">
        <v>25</v>
      </c>
      <c r="E479" s="2">
        <v>7</v>
      </c>
      <c r="F479" s="2">
        <v>1</v>
      </c>
      <c r="G479" s="2">
        <v>6</v>
      </c>
      <c r="H479" s="2">
        <v>21.6</v>
      </c>
      <c r="I479" s="3">
        <v>55</v>
      </c>
      <c r="J479" s="4">
        <v>17</v>
      </c>
      <c r="K479" s="4">
        <v>52</v>
      </c>
      <c r="L479" s="3">
        <v>32.700000000000003</v>
      </c>
      <c r="M479" s="4">
        <v>13</v>
      </c>
      <c r="N479" s="4">
        <v>44</v>
      </c>
      <c r="O479" s="3">
        <v>29.5</v>
      </c>
      <c r="P479" s="3">
        <v>8</v>
      </c>
      <c r="Q479" s="3">
        <v>10</v>
      </c>
      <c r="R479" s="3">
        <v>80</v>
      </c>
      <c r="S479" s="4">
        <v>3</v>
      </c>
      <c r="T479" s="4">
        <v>6</v>
      </c>
      <c r="U479" s="4">
        <v>9</v>
      </c>
      <c r="V479" s="4">
        <v>12</v>
      </c>
      <c r="W479" s="4">
        <v>8</v>
      </c>
      <c r="X479" s="4">
        <v>3</v>
      </c>
      <c r="Y479" s="4">
        <v>1</v>
      </c>
      <c r="Z479" s="4">
        <v>17</v>
      </c>
      <c r="AA479" s="3">
        <v>88</v>
      </c>
      <c r="AB479" s="3">
        <v>0</v>
      </c>
      <c r="AC479" s="3">
        <v>0</v>
      </c>
      <c r="AD479" s="2">
        <v>-10</v>
      </c>
      <c r="AE479" s="2">
        <v>98.8</v>
      </c>
      <c r="AF479" s="2">
        <v>119.3</v>
      </c>
      <c r="AG479" s="2">
        <v>-20.5</v>
      </c>
      <c r="AH479" s="2">
        <v>12.6</v>
      </c>
      <c r="AI479" s="2">
        <v>1.5</v>
      </c>
      <c r="AJ479" s="2">
        <v>15.6</v>
      </c>
      <c r="AK479" s="2">
        <v>1.8</v>
      </c>
      <c r="AL479" s="2">
        <v>4.5999999999999996</v>
      </c>
      <c r="AM479" s="2">
        <v>3</v>
      </c>
      <c r="AN479" s="2">
        <v>10.4</v>
      </c>
      <c r="AO479" s="2">
        <v>45.2</v>
      </c>
      <c r="AP479" s="2">
        <v>48.8</v>
      </c>
      <c r="AQ479" s="2">
        <v>17.7</v>
      </c>
      <c r="AR479" s="2">
        <v>105.16</v>
      </c>
      <c r="AS479" s="2">
        <v>2.4</v>
      </c>
      <c r="AT479" s="2">
        <v>330</v>
      </c>
      <c r="AU479" s="53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6"/>
    </row>
    <row r="480" spans="1:69" ht="13.2">
      <c r="A480" s="1" t="s">
        <v>984</v>
      </c>
      <c r="B480" s="1" t="s">
        <v>985</v>
      </c>
      <c r="C480" s="24" t="str">
        <f>VLOOKUP(B480,Equipe!$A$1:$B$31,2,FALSE)</f>
        <v>Brooklyn Nets</v>
      </c>
      <c r="D480" s="2">
        <v>23</v>
      </c>
      <c r="E480" s="2">
        <v>6</v>
      </c>
      <c r="F480" s="2">
        <v>1</v>
      </c>
      <c r="G480" s="2">
        <v>5</v>
      </c>
      <c r="H480" s="2">
        <v>27.1</v>
      </c>
      <c r="I480" s="3">
        <v>54</v>
      </c>
      <c r="J480" s="4">
        <v>18</v>
      </c>
      <c r="K480" s="4">
        <v>43</v>
      </c>
      <c r="L480" s="3">
        <v>41.9</v>
      </c>
      <c r="M480" s="4">
        <v>8</v>
      </c>
      <c r="N480" s="4">
        <v>21</v>
      </c>
      <c r="O480" s="3">
        <v>38.1</v>
      </c>
      <c r="P480" s="3">
        <v>10</v>
      </c>
      <c r="Q480" s="3">
        <v>12</v>
      </c>
      <c r="R480" s="3">
        <v>83.3</v>
      </c>
      <c r="S480" s="4">
        <v>5</v>
      </c>
      <c r="T480" s="4">
        <v>13</v>
      </c>
      <c r="U480" s="4">
        <v>18</v>
      </c>
      <c r="V480" s="4">
        <v>31</v>
      </c>
      <c r="W480" s="4">
        <v>9</v>
      </c>
      <c r="X480" s="4">
        <v>4</v>
      </c>
      <c r="Y480" s="4">
        <v>4</v>
      </c>
      <c r="Z480" s="4">
        <v>13</v>
      </c>
      <c r="AA480" s="3">
        <v>137</v>
      </c>
      <c r="AB480" s="3">
        <v>0</v>
      </c>
      <c r="AC480" s="3">
        <v>0</v>
      </c>
      <c r="AD480" s="2">
        <v>-4</v>
      </c>
      <c r="AE480" s="2">
        <v>109.9</v>
      </c>
      <c r="AF480" s="2">
        <v>115.6</v>
      </c>
      <c r="AG480" s="2">
        <v>-5.7</v>
      </c>
      <c r="AH480" s="2">
        <v>27.4</v>
      </c>
      <c r="AI480" s="2">
        <v>3.44</v>
      </c>
      <c r="AJ480" s="2">
        <v>34.799999999999997</v>
      </c>
      <c r="AK480" s="2">
        <v>2.8</v>
      </c>
      <c r="AL480" s="2">
        <v>8.6999999999999993</v>
      </c>
      <c r="AM480" s="2">
        <v>5.5</v>
      </c>
      <c r="AN480" s="2">
        <v>10.1</v>
      </c>
      <c r="AO480" s="2">
        <v>51.2</v>
      </c>
      <c r="AP480" s="2">
        <v>55.9</v>
      </c>
      <c r="AQ480" s="2">
        <v>14.5</v>
      </c>
      <c r="AR480" s="2">
        <v>101.72</v>
      </c>
      <c r="AS480" s="2">
        <v>8.5</v>
      </c>
      <c r="AT480" s="2">
        <v>342</v>
      </c>
      <c r="AU480" s="53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6"/>
    </row>
    <row r="481" spans="1:69" ht="13.2">
      <c r="A481" s="1" t="s">
        <v>992</v>
      </c>
      <c r="B481" s="1" t="s">
        <v>993</v>
      </c>
      <c r="C481" s="24" t="str">
        <f>VLOOKUP(B481,Equipe!$A$1:$B$31,2,FALSE)</f>
        <v>Toronto Raptors</v>
      </c>
      <c r="D481" s="2">
        <v>39</v>
      </c>
      <c r="E481" s="2">
        <v>28</v>
      </c>
      <c r="F481" s="2">
        <v>11</v>
      </c>
      <c r="G481" s="2">
        <v>17</v>
      </c>
      <c r="H481" s="2">
        <v>8.1</v>
      </c>
      <c r="I481" s="3">
        <v>53</v>
      </c>
      <c r="J481" s="4">
        <v>17</v>
      </c>
      <c r="K481" s="4">
        <v>59</v>
      </c>
      <c r="L481" s="3">
        <v>30</v>
      </c>
      <c r="M481" s="4">
        <v>6</v>
      </c>
      <c r="N481" s="4">
        <v>28</v>
      </c>
      <c r="O481" s="3">
        <v>21.4</v>
      </c>
      <c r="P481" s="3">
        <v>11</v>
      </c>
      <c r="Q481" s="3">
        <v>11</v>
      </c>
      <c r="R481" s="3">
        <v>91.7</v>
      </c>
      <c r="S481" s="4">
        <v>8</v>
      </c>
      <c r="T481" s="4">
        <v>20</v>
      </c>
      <c r="U481" s="4">
        <v>28</v>
      </c>
      <c r="V481" s="4">
        <v>31</v>
      </c>
      <c r="W481" s="4">
        <v>11</v>
      </c>
      <c r="X481" s="4">
        <v>17</v>
      </c>
      <c r="Y481" s="4">
        <v>3</v>
      </c>
      <c r="Z481" s="4">
        <v>22</v>
      </c>
      <c r="AA481" s="3">
        <v>182</v>
      </c>
      <c r="AB481" s="3">
        <v>0</v>
      </c>
      <c r="AC481" s="3">
        <v>0</v>
      </c>
      <c r="AD481" s="2">
        <v>-1</v>
      </c>
      <c r="AE481" s="2">
        <v>106.6</v>
      </c>
      <c r="AF481" s="2">
        <v>111.1</v>
      </c>
      <c r="AG481" s="2">
        <v>-4.5</v>
      </c>
      <c r="AH481" s="2">
        <v>17.100000000000001</v>
      </c>
      <c r="AI481" s="2">
        <v>3.1</v>
      </c>
      <c r="AJ481" s="2">
        <v>29</v>
      </c>
      <c r="AK481" s="2">
        <v>3.6</v>
      </c>
      <c r="AL481" s="2">
        <v>9</v>
      </c>
      <c r="AM481" s="2">
        <v>6.1</v>
      </c>
      <c r="AN481" s="2">
        <v>9.3000000000000007</v>
      </c>
      <c r="AO481" s="2">
        <v>35</v>
      </c>
      <c r="AP481" s="2">
        <v>40.6</v>
      </c>
      <c r="AQ481" s="2">
        <v>12.9</v>
      </c>
      <c r="AR481" s="2">
        <v>105.94</v>
      </c>
      <c r="AS481" s="2">
        <v>5.0999999999999996</v>
      </c>
      <c r="AT481" s="2">
        <v>498</v>
      </c>
      <c r="AU481" s="53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6"/>
    </row>
    <row r="482" spans="1:69" ht="13.2">
      <c r="A482" s="1" t="s">
        <v>986</v>
      </c>
      <c r="B482" s="1" t="s">
        <v>987</v>
      </c>
      <c r="C482" s="24" t="str">
        <f>VLOOKUP(B482,Equipe!$A$1:$B$31,2,FALSE)</f>
        <v>Atlanta Hawks</v>
      </c>
      <c r="D482" s="2">
        <v>21</v>
      </c>
      <c r="E482" s="2">
        <v>10</v>
      </c>
      <c r="F482" s="2">
        <v>6</v>
      </c>
      <c r="G482" s="2">
        <v>4</v>
      </c>
      <c r="H482" s="2">
        <v>12.4</v>
      </c>
      <c r="I482" s="3">
        <v>53</v>
      </c>
      <c r="J482" s="4">
        <v>18</v>
      </c>
      <c r="K482" s="4">
        <v>47</v>
      </c>
      <c r="L482" s="3">
        <v>38.299999999999997</v>
      </c>
      <c r="M482" s="4">
        <v>4</v>
      </c>
      <c r="N482" s="4">
        <v>19</v>
      </c>
      <c r="O482" s="3">
        <v>21.1</v>
      </c>
      <c r="P482" s="3">
        <v>13</v>
      </c>
      <c r="Q482" s="3">
        <v>18</v>
      </c>
      <c r="R482" s="3">
        <v>72.2</v>
      </c>
      <c r="S482" s="4">
        <v>5</v>
      </c>
      <c r="T482" s="4">
        <v>16</v>
      </c>
      <c r="U482" s="4">
        <v>21</v>
      </c>
      <c r="V482" s="4">
        <v>17</v>
      </c>
      <c r="W482" s="4">
        <v>8</v>
      </c>
      <c r="X482" s="4">
        <v>3</v>
      </c>
      <c r="Y482" s="4">
        <v>2</v>
      </c>
      <c r="Z482" s="4">
        <v>9</v>
      </c>
      <c r="AA482" s="3">
        <v>111</v>
      </c>
      <c r="AB482" s="3">
        <v>0</v>
      </c>
      <c r="AC482" s="3">
        <v>0</v>
      </c>
      <c r="AD482" s="2">
        <v>-2.2999999999999998</v>
      </c>
      <c r="AE482" s="2">
        <v>95.3</v>
      </c>
      <c r="AF482" s="2">
        <v>103.3</v>
      </c>
      <c r="AG482" s="2">
        <v>-8</v>
      </c>
      <c r="AH482" s="2">
        <v>21.3</v>
      </c>
      <c r="AI482" s="2">
        <v>2.13</v>
      </c>
      <c r="AJ482" s="2">
        <v>21.3</v>
      </c>
      <c r="AK482" s="2">
        <v>3.5</v>
      </c>
      <c r="AL482" s="2">
        <v>12.3</v>
      </c>
      <c r="AM482" s="2">
        <v>7.7</v>
      </c>
      <c r="AN482" s="2">
        <v>10</v>
      </c>
      <c r="AO482" s="2">
        <v>42.6</v>
      </c>
      <c r="AP482" s="2">
        <v>48.3</v>
      </c>
      <c r="AQ482" s="2">
        <v>20.3</v>
      </c>
      <c r="AR482" s="2">
        <v>106.96</v>
      </c>
      <c r="AS482" s="2">
        <v>8.6</v>
      </c>
      <c r="AT482" s="2">
        <v>275</v>
      </c>
      <c r="AU482" s="53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6"/>
    </row>
    <row r="483" spans="1:69" ht="13.2">
      <c r="A483" s="1" t="s">
        <v>988</v>
      </c>
      <c r="B483" s="1" t="s">
        <v>989</v>
      </c>
      <c r="C483" s="24" t="str">
        <f>VLOOKUP(B483,Equipe!$A$1:$B$31,2,FALSE)</f>
        <v>Cleveland Cavaliers</v>
      </c>
      <c r="D483" s="2">
        <v>26</v>
      </c>
      <c r="E483" s="2">
        <v>9</v>
      </c>
      <c r="F483" s="2">
        <v>2</v>
      </c>
      <c r="G483" s="2">
        <v>7</v>
      </c>
      <c r="H483" s="2">
        <v>21.9</v>
      </c>
      <c r="I483" s="3">
        <v>53</v>
      </c>
      <c r="J483" s="4">
        <v>20</v>
      </c>
      <c r="K483" s="4">
        <v>40</v>
      </c>
      <c r="L483" s="3">
        <v>50</v>
      </c>
      <c r="M483" s="4">
        <v>11</v>
      </c>
      <c r="N483" s="4">
        <v>28</v>
      </c>
      <c r="O483" s="3">
        <v>39.299999999999997</v>
      </c>
      <c r="P483" s="3">
        <v>2</v>
      </c>
      <c r="Q483" s="3">
        <v>3</v>
      </c>
      <c r="R483" s="3">
        <v>66.7</v>
      </c>
      <c r="S483" s="4">
        <v>21</v>
      </c>
      <c r="T483" s="4">
        <v>26</v>
      </c>
      <c r="U483" s="4">
        <v>47</v>
      </c>
      <c r="V483" s="4">
        <v>15</v>
      </c>
      <c r="W483" s="4">
        <v>3</v>
      </c>
      <c r="X483" s="4">
        <v>5</v>
      </c>
      <c r="Y483" s="4">
        <v>4</v>
      </c>
      <c r="Z483" s="4">
        <v>5</v>
      </c>
      <c r="AA483" s="3">
        <v>156</v>
      </c>
      <c r="AB483" s="3">
        <v>1</v>
      </c>
      <c r="AC483" s="3">
        <v>0</v>
      </c>
      <c r="AD483" s="2">
        <v>-3.1</v>
      </c>
      <c r="AE483" s="2">
        <v>115.8</v>
      </c>
      <c r="AF483" s="2">
        <v>122.1</v>
      </c>
      <c r="AG483" s="2">
        <v>-6.3</v>
      </c>
      <c r="AH483" s="2">
        <v>10.1</v>
      </c>
      <c r="AI483" s="2">
        <v>5</v>
      </c>
      <c r="AJ483" s="2">
        <v>25.4</v>
      </c>
      <c r="AK483" s="2">
        <v>9.9</v>
      </c>
      <c r="AL483" s="2">
        <v>14.1</v>
      </c>
      <c r="AM483" s="2">
        <v>11.8</v>
      </c>
      <c r="AN483" s="2">
        <v>5.0999999999999996</v>
      </c>
      <c r="AO483" s="2">
        <v>63.8</v>
      </c>
      <c r="AP483" s="2">
        <v>64.099999999999994</v>
      </c>
      <c r="AQ483" s="2">
        <v>9.3000000000000007</v>
      </c>
      <c r="AR483" s="2">
        <v>99.08</v>
      </c>
      <c r="AS483" s="2">
        <v>8.9</v>
      </c>
      <c r="AT483" s="2">
        <v>405</v>
      </c>
      <c r="AU483" s="53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6"/>
    </row>
    <row r="484" spans="1:69" ht="13.2">
      <c r="A484" s="8" t="s">
        <v>990</v>
      </c>
      <c r="B484" s="1" t="s">
        <v>991</v>
      </c>
      <c r="C484" s="24" t="str">
        <f>VLOOKUP(B484,Equipe!$A$1:$B$31,2,FALSE)</f>
        <v>Los Angeles Clippers</v>
      </c>
      <c r="D484" s="2">
        <v>22</v>
      </c>
      <c r="E484" s="2">
        <v>24</v>
      </c>
      <c r="F484" s="2">
        <v>3</v>
      </c>
      <c r="G484" s="2">
        <v>21</v>
      </c>
      <c r="H484" s="2">
        <v>4.4000000000000004</v>
      </c>
      <c r="I484" s="3">
        <v>53</v>
      </c>
      <c r="J484" s="4">
        <v>19</v>
      </c>
      <c r="K484" s="4">
        <v>36</v>
      </c>
      <c r="L484" s="3">
        <v>54.3</v>
      </c>
      <c r="M484" s="4">
        <v>12</v>
      </c>
      <c r="N484" s="4">
        <v>24</v>
      </c>
      <c r="O484" s="3">
        <v>56.5</v>
      </c>
      <c r="P484" s="3">
        <v>2</v>
      </c>
      <c r="Q484" s="3">
        <v>5</v>
      </c>
      <c r="R484" s="3">
        <v>50</v>
      </c>
      <c r="S484" s="4">
        <v>5</v>
      </c>
      <c r="T484" s="4">
        <v>19</v>
      </c>
      <c r="U484" s="4">
        <v>24</v>
      </c>
      <c r="V484" s="4">
        <v>2</v>
      </c>
      <c r="W484" s="4">
        <v>5</v>
      </c>
      <c r="X484" s="4">
        <v>2</v>
      </c>
      <c r="Y484" s="4">
        <v>2</v>
      </c>
      <c r="Z484" s="4">
        <v>7</v>
      </c>
      <c r="AA484" s="3">
        <v>98</v>
      </c>
      <c r="AB484" s="3">
        <v>0</v>
      </c>
      <c r="AC484" s="3">
        <v>0</v>
      </c>
      <c r="AD484" s="2">
        <v>1.2</v>
      </c>
      <c r="AE484" s="2">
        <v>114.6</v>
      </c>
      <c r="AF484" s="2">
        <v>102.1</v>
      </c>
      <c r="AG484" s="2">
        <v>12.4</v>
      </c>
      <c r="AH484" s="2">
        <v>4.2</v>
      </c>
      <c r="AI484" s="2">
        <v>0.6</v>
      </c>
      <c r="AJ484" s="2">
        <v>6.7</v>
      </c>
      <c r="AK484" s="2">
        <v>3.8</v>
      </c>
      <c r="AL484" s="2">
        <v>18.899999999999999</v>
      </c>
      <c r="AM484" s="2">
        <v>10.5</v>
      </c>
      <c r="AN484" s="2">
        <v>11.1</v>
      </c>
      <c r="AO484" s="2">
        <v>72.900000000000006</v>
      </c>
      <c r="AP484" s="2">
        <v>72.099999999999994</v>
      </c>
      <c r="AQ484" s="2">
        <v>15.1</v>
      </c>
      <c r="AR484" s="2">
        <v>104.77</v>
      </c>
      <c r="AS484" s="2">
        <v>12.2</v>
      </c>
      <c r="AT484" s="2">
        <v>233</v>
      </c>
      <c r="AU484" s="53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6"/>
    </row>
    <row r="485" spans="1:69" ht="13.2">
      <c r="A485" s="1" t="s">
        <v>994</v>
      </c>
      <c r="B485" s="1" t="s">
        <v>995</v>
      </c>
      <c r="C485" s="24" t="str">
        <f>VLOOKUP(B485,Equipe!$A$1:$B$31,2,FALSE)</f>
        <v>Philadelphia 76ers</v>
      </c>
      <c r="D485" s="2">
        <v>26</v>
      </c>
      <c r="E485" s="2">
        <v>6</v>
      </c>
      <c r="F485" s="2">
        <v>1</v>
      </c>
      <c r="G485" s="2">
        <v>5</v>
      </c>
      <c r="H485" s="2">
        <v>23.7</v>
      </c>
      <c r="I485" s="3">
        <v>52</v>
      </c>
      <c r="J485" s="4">
        <v>19</v>
      </c>
      <c r="K485" s="4">
        <v>39</v>
      </c>
      <c r="L485" s="3">
        <v>48.7</v>
      </c>
      <c r="M485" s="4">
        <v>6</v>
      </c>
      <c r="N485" s="4">
        <v>18</v>
      </c>
      <c r="O485" s="3">
        <v>33.299999999999997</v>
      </c>
      <c r="P485" s="3">
        <v>8</v>
      </c>
      <c r="Q485" s="3">
        <v>14</v>
      </c>
      <c r="R485" s="3">
        <v>57.1</v>
      </c>
      <c r="S485" s="4">
        <v>7</v>
      </c>
      <c r="T485" s="4">
        <v>15</v>
      </c>
      <c r="U485" s="4">
        <v>22</v>
      </c>
      <c r="V485" s="4">
        <v>4</v>
      </c>
      <c r="W485" s="4">
        <v>8</v>
      </c>
      <c r="X485" s="4">
        <v>4</v>
      </c>
      <c r="Y485" s="4">
        <v>3</v>
      </c>
      <c r="Z485" s="4">
        <v>14</v>
      </c>
      <c r="AA485" s="3">
        <v>97</v>
      </c>
      <c r="AB485" s="3">
        <v>0</v>
      </c>
      <c r="AC485" s="3">
        <v>0</v>
      </c>
      <c r="AD485" s="2">
        <v>-5.2</v>
      </c>
      <c r="AE485" s="2">
        <v>113.6</v>
      </c>
      <c r="AF485" s="2">
        <v>124.3</v>
      </c>
      <c r="AG485" s="2">
        <v>-10.7</v>
      </c>
      <c r="AH485" s="2">
        <v>4</v>
      </c>
      <c r="AI485" s="2">
        <v>0.5</v>
      </c>
      <c r="AJ485" s="2">
        <v>7.1</v>
      </c>
      <c r="AK485" s="2">
        <v>4.7</v>
      </c>
      <c r="AL485" s="2">
        <v>11.5</v>
      </c>
      <c r="AM485" s="2">
        <v>7.9</v>
      </c>
      <c r="AN485" s="2">
        <v>14.3</v>
      </c>
      <c r="AO485" s="2">
        <v>56.4</v>
      </c>
      <c r="AP485" s="2">
        <v>57.6</v>
      </c>
      <c r="AQ485" s="2">
        <v>15.4</v>
      </c>
      <c r="AR485" s="2">
        <v>101.4</v>
      </c>
      <c r="AS485" s="2">
        <v>5</v>
      </c>
      <c r="AT485" s="2">
        <v>301</v>
      </c>
      <c r="AU485" s="53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6"/>
    </row>
    <row r="486" spans="1:69" ht="13.2">
      <c r="A486" s="1" t="s">
        <v>996</v>
      </c>
      <c r="B486" s="1" t="s">
        <v>997</v>
      </c>
      <c r="C486" s="24" t="str">
        <f>VLOOKUP(B486,Equipe!$A$1:$B$31,2,FALSE)</f>
        <v>New York Knicks</v>
      </c>
      <c r="D486" s="2">
        <v>23</v>
      </c>
      <c r="E486" s="2">
        <v>25</v>
      </c>
      <c r="F486" s="2">
        <v>17</v>
      </c>
      <c r="G486" s="2">
        <v>8</v>
      </c>
      <c r="H486" s="2">
        <v>8.6999999999999993</v>
      </c>
      <c r="I486" s="3">
        <v>48</v>
      </c>
      <c r="J486" s="4">
        <v>20</v>
      </c>
      <c r="K486" s="4">
        <v>30</v>
      </c>
      <c r="L486" s="3">
        <v>67.7</v>
      </c>
      <c r="M486" s="3">
        <v>0</v>
      </c>
      <c r="N486" s="3">
        <v>0</v>
      </c>
      <c r="O486" s="3">
        <v>0</v>
      </c>
      <c r="P486" s="3">
        <v>5</v>
      </c>
      <c r="Q486" s="3">
        <v>13</v>
      </c>
      <c r="R486" s="3">
        <v>46.2</v>
      </c>
      <c r="S486" s="4">
        <v>15</v>
      </c>
      <c r="T486" s="4">
        <v>38</v>
      </c>
      <c r="U486" s="4">
        <v>50</v>
      </c>
      <c r="V486" s="4">
        <v>10</v>
      </c>
      <c r="W486" s="4">
        <v>20</v>
      </c>
      <c r="X486" s="3">
        <v>0</v>
      </c>
      <c r="Y486" s="4">
        <v>15</v>
      </c>
      <c r="Z486" s="4">
        <v>33</v>
      </c>
      <c r="AA486" s="3">
        <v>153</v>
      </c>
      <c r="AB486" s="3">
        <v>0</v>
      </c>
      <c r="AC486" s="3">
        <v>0</v>
      </c>
      <c r="AD486" s="2">
        <v>-2.5</v>
      </c>
      <c r="AE486" s="2">
        <v>97.6</v>
      </c>
      <c r="AF486" s="2">
        <v>110.1</v>
      </c>
      <c r="AG486" s="2">
        <v>-12.4</v>
      </c>
      <c r="AH486" s="2">
        <v>7.5</v>
      </c>
      <c r="AI486" s="2">
        <v>0.52</v>
      </c>
      <c r="AJ486" s="2">
        <v>15.9</v>
      </c>
      <c r="AK486" s="2">
        <v>6.6</v>
      </c>
      <c r="AL486" s="2">
        <v>15.1</v>
      </c>
      <c r="AM486" s="2">
        <v>11.2</v>
      </c>
      <c r="AN486" s="2">
        <v>30.4</v>
      </c>
      <c r="AO486" s="2">
        <v>67.7</v>
      </c>
      <c r="AP486" s="2">
        <v>65.400000000000006</v>
      </c>
      <c r="AQ486" s="2">
        <v>11.3</v>
      </c>
      <c r="AR486" s="2">
        <v>102.57</v>
      </c>
      <c r="AS486" s="2">
        <v>4.8</v>
      </c>
      <c r="AT486" s="2">
        <v>462</v>
      </c>
      <c r="AU486" s="53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6"/>
    </row>
    <row r="487" spans="1:69" ht="13.2">
      <c r="A487" s="1" t="s">
        <v>1000</v>
      </c>
      <c r="B487" s="1" t="s">
        <v>1001</v>
      </c>
      <c r="C487" s="24" t="str">
        <f>VLOOKUP(B487,Equipe!$A$1:$B$31,2,FALSE)</f>
        <v>Indiana Pacers</v>
      </c>
      <c r="D487" s="2">
        <v>24</v>
      </c>
      <c r="E487" s="2">
        <v>22</v>
      </c>
      <c r="F487" s="2">
        <v>7</v>
      </c>
      <c r="G487" s="2">
        <v>15</v>
      </c>
      <c r="H487" s="2">
        <v>8.1999999999999993</v>
      </c>
      <c r="I487" s="3">
        <v>46</v>
      </c>
      <c r="J487" s="4">
        <v>15</v>
      </c>
      <c r="K487" s="4">
        <v>37</v>
      </c>
      <c r="L487" s="3">
        <v>43.2</v>
      </c>
      <c r="M487" s="3">
        <v>0</v>
      </c>
      <c r="N487" s="4">
        <v>11</v>
      </c>
      <c r="O487" s="3">
        <v>10</v>
      </c>
      <c r="P487" s="3">
        <v>13</v>
      </c>
      <c r="Q487" s="3">
        <v>20</v>
      </c>
      <c r="R487" s="3">
        <v>68.400000000000006</v>
      </c>
      <c r="S487" s="4">
        <v>11</v>
      </c>
      <c r="T487" s="4">
        <v>20</v>
      </c>
      <c r="U487" s="4">
        <v>31</v>
      </c>
      <c r="V487" s="4">
        <v>9</v>
      </c>
      <c r="W487" s="4">
        <v>7</v>
      </c>
      <c r="X487" s="4">
        <v>2</v>
      </c>
      <c r="Y487" s="4">
        <v>2</v>
      </c>
      <c r="Z487" s="4">
        <v>22</v>
      </c>
      <c r="AA487" s="3">
        <v>108</v>
      </c>
      <c r="AB487" s="3">
        <v>0</v>
      </c>
      <c r="AC487" s="3">
        <v>0</v>
      </c>
      <c r="AD487" s="2">
        <v>-0.9</v>
      </c>
      <c r="AE487" s="2">
        <v>104.4</v>
      </c>
      <c r="AF487" s="2">
        <v>110.7</v>
      </c>
      <c r="AG487" s="2">
        <v>-6.3</v>
      </c>
      <c r="AH487" s="2">
        <v>6.2</v>
      </c>
      <c r="AI487" s="2">
        <v>1.5</v>
      </c>
      <c r="AJ487" s="2">
        <v>15</v>
      </c>
      <c r="AK487" s="2">
        <v>5.4</v>
      </c>
      <c r="AL487" s="2">
        <v>10.6</v>
      </c>
      <c r="AM487" s="2">
        <v>7.8</v>
      </c>
      <c r="AN487" s="2">
        <v>10</v>
      </c>
      <c r="AO487" s="2">
        <v>44.6</v>
      </c>
      <c r="AP487" s="2">
        <v>50.7</v>
      </c>
      <c r="AQ487" s="2">
        <v>10.9</v>
      </c>
      <c r="AR487" s="2">
        <v>107.55</v>
      </c>
      <c r="AS487" s="2">
        <v>4</v>
      </c>
      <c r="AT487" s="2">
        <v>409</v>
      </c>
      <c r="AU487" s="53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6"/>
    </row>
    <row r="488" spans="1:69" ht="13.2">
      <c r="A488" s="1" t="s">
        <v>998</v>
      </c>
      <c r="B488" s="1" t="s">
        <v>999</v>
      </c>
      <c r="C488" s="24" t="str">
        <f>VLOOKUP(B488,Equipe!$A$1:$B$31,2,FALSE)</f>
        <v>Golden State Warriors</v>
      </c>
      <c r="D488" s="2">
        <v>25</v>
      </c>
      <c r="E488" s="2">
        <v>14</v>
      </c>
      <c r="F488" s="2">
        <v>11</v>
      </c>
      <c r="G488" s="2">
        <v>3</v>
      </c>
      <c r="H488" s="2">
        <v>6</v>
      </c>
      <c r="I488" s="3">
        <v>46</v>
      </c>
      <c r="J488" s="4">
        <v>18</v>
      </c>
      <c r="K488" s="4">
        <v>36</v>
      </c>
      <c r="L488" s="3">
        <v>50</v>
      </c>
      <c r="M488" s="4">
        <v>4</v>
      </c>
      <c r="N488" s="4">
        <v>15</v>
      </c>
      <c r="O488" s="3">
        <v>26.7</v>
      </c>
      <c r="P488" s="3">
        <v>6</v>
      </c>
      <c r="Q488" s="3">
        <v>8</v>
      </c>
      <c r="R488" s="3">
        <v>75</v>
      </c>
      <c r="S488" s="4">
        <v>7</v>
      </c>
      <c r="T488" s="4">
        <v>10</v>
      </c>
      <c r="U488" s="4">
        <v>17</v>
      </c>
      <c r="V488" s="4">
        <v>6</v>
      </c>
      <c r="W488" s="4">
        <v>4</v>
      </c>
      <c r="X488" s="4">
        <v>1</v>
      </c>
      <c r="Y488" s="4">
        <v>4</v>
      </c>
      <c r="Z488" s="4">
        <v>6</v>
      </c>
      <c r="AA488" s="3">
        <v>88</v>
      </c>
      <c r="AB488" s="3">
        <v>0</v>
      </c>
      <c r="AC488" s="3">
        <v>0</v>
      </c>
      <c r="AD488" s="2">
        <v>-0.2</v>
      </c>
      <c r="AE488" s="2">
        <v>112.7</v>
      </c>
      <c r="AF488" s="2">
        <v>115.6</v>
      </c>
      <c r="AG488" s="2">
        <v>-2.9</v>
      </c>
      <c r="AH488" s="2">
        <v>8.6</v>
      </c>
      <c r="AI488" s="2">
        <v>1.25</v>
      </c>
      <c r="AJ488" s="2">
        <v>10.199999999999999</v>
      </c>
      <c r="AK488" s="2">
        <v>6.9</v>
      </c>
      <c r="AL488" s="2">
        <v>14.9</v>
      </c>
      <c r="AM488" s="2">
        <v>10.1</v>
      </c>
      <c r="AN488" s="2">
        <v>8.1999999999999993</v>
      </c>
      <c r="AO488" s="2">
        <v>55.6</v>
      </c>
      <c r="AP488" s="2">
        <v>58.2</v>
      </c>
      <c r="AQ488" s="2">
        <v>20.2</v>
      </c>
      <c r="AR488" s="2">
        <v>103.28</v>
      </c>
      <c r="AS488" s="2">
        <v>10.4</v>
      </c>
      <c r="AT488" s="2">
        <v>181</v>
      </c>
      <c r="AU488" s="53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6"/>
    </row>
    <row r="489" spans="1:69" ht="13.2">
      <c r="A489" s="1" t="s">
        <v>1004</v>
      </c>
      <c r="B489" s="1" t="s">
        <v>1005</v>
      </c>
      <c r="C489" s="24" t="str">
        <f>VLOOKUP(B489,Equipe!$A$1:$B$31,2,FALSE)</f>
        <v>Miami Heat</v>
      </c>
      <c r="D489" s="2">
        <v>23</v>
      </c>
      <c r="E489" s="2">
        <v>16</v>
      </c>
      <c r="F489" s="2">
        <v>10</v>
      </c>
      <c r="G489" s="2">
        <v>6</v>
      </c>
      <c r="H489" s="2">
        <v>6.1</v>
      </c>
      <c r="I489" s="3">
        <v>43</v>
      </c>
      <c r="J489" s="4">
        <v>18</v>
      </c>
      <c r="K489" s="4">
        <v>26</v>
      </c>
      <c r="L489" s="3">
        <v>69.2</v>
      </c>
      <c r="M489" s="4">
        <v>3</v>
      </c>
      <c r="N489" s="4">
        <v>6</v>
      </c>
      <c r="O489" s="3">
        <v>42.9</v>
      </c>
      <c r="P489" s="3">
        <v>5</v>
      </c>
      <c r="Q489" s="3">
        <v>10</v>
      </c>
      <c r="R489" s="3">
        <v>44.4</v>
      </c>
      <c r="S489" s="4">
        <v>6</v>
      </c>
      <c r="T489" s="4">
        <v>22</v>
      </c>
      <c r="U489" s="4">
        <v>29</v>
      </c>
      <c r="V489" s="4">
        <v>5</v>
      </c>
      <c r="W489" s="4">
        <v>5</v>
      </c>
      <c r="X489" s="4">
        <v>5</v>
      </c>
      <c r="Y489" s="4">
        <v>5</v>
      </c>
      <c r="Z489" s="4">
        <v>11</v>
      </c>
      <c r="AA489" s="3">
        <v>106</v>
      </c>
      <c r="AB489" s="3">
        <v>0</v>
      </c>
      <c r="AC489" s="3">
        <v>0</v>
      </c>
      <c r="AD489" s="2">
        <v>0.3</v>
      </c>
      <c r="AE489" s="2">
        <v>105.5</v>
      </c>
      <c r="AF489" s="2">
        <v>104.1</v>
      </c>
      <c r="AG489" s="2">
        <v>1.3</v>
      </c>
      <c r="AH489" s="2">
        <v>5.8</v>
      </c>
      <c r="AI489" s="2">
        <v>1</v>
      </c>
      <c r="AJ489" s="2">
        <v>10.5</v>
      </c>
      <c r="AK489" s="2">
        <v>6.7</v>
      </c>
      <c r="AL489" s="2">
        <v>18.8</v>
      </c>
      <c r="AM489" s="2">
        <v>13.6</v>
      </c>
      <c r="AN489" s="2">
        <v>10.5</v>
      </c>
      <c r="AO489" s="2">
        <v>75</v>
      </c>
      <c r="AP489" s="2">
        <v>71.8</v>
      </c>
      <c r="AQ489" s="2">
        <v>14.5</v>
      </c>
      <c r="AR489" s="2">
        <v>106.64</v>
      </c>
      <c r="AS489" s="2">
        <v>11.4</v>
      </c>
      <c r="AT489" s="2">
        <v>219</v>
      </c>
      <c r="AU489" s="53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6"/>
    </row>
    <row r="490" spans="1:69" ht="13.2">
      <c r="A490" s="1" t="s">
        <v>1002</v>
      </c>
      <c r="B490" s="1" t="s">
        <v>1003</v>
      </c>
      <c r="C490" s="24" t="str">
        <f>VLOOKUP(B490,Equipe!$A$1:$B$31,2,FALSE)</f>
        <v>Atlanta Hawks</v>
      </c>
      <c r="D490" s="2">
        <v>26</v>
      </c>
      <c r="E490" s="2">
        <v>6</v>
      </c>
      <c r="F490" s="2">
        <v>3</v>
      </c>
      <c r="G490" s="2">
        <v>3</v>
      </c>
      <c r="H490" s="2">
        <v>11.9</v>
      </c>
      <c r="I490" s="3">
        <v>43</v>
      </c>
      <c r="J490" s="4">
        <v>16</v>
      </c>
      <c r="K490" s="4">
        <v>25</v>
      </c>
      <c r="L490" s="3">
        <v>64</v>
      </c>
      <c r="M490" s="4">
        <v>9</v>
      </c>
      <c r="N490" s="4">
        <v>17</v>
      </c>
      <c r="O490" s="3">
        <v>52.9</v>
      </c>
      <c r="P490" s="3">
        <v>2</v>
      </c>
      <c r="Q490" s="3">
        <v>2</v>
      </c>
      <c r="R490" s="3">
        <v>100</v>
      </c>
      <c r="S490" s="4">
        <v>4</v>
      </c>
      <c r="T490" s="4">
        <v>7</v>
      </c>
      <c r="U490" s="4">
        <v>11</v>
      </c>
      <c r="V490" s="4">
        <v>2</v>
      </c>
      <c r="W490" s="4">
        <v>4</v>
      </c>
      <c r="X490" s="3">
        <v>0</v>
      </c>
      <c r="Y490" s="3">
        <v>0</v>
      </c>
      <c r="Z490" s="4">
        <v>10</v>
      </c>
      <c r="AA490" s="3">
        <v>55</v>
      </c>
      <c r="AB490" s="3">
        <v>0</v>
      </c>
      <c r="AC490" s="3">
        <v>0</v>
      </c>
      <c r="AD490" s="2">
        <v>4.8</v>
      </c>
      <c r="AE490" s="2">
        <v>104</v>
      </c>
      <c r="AF490" s="2">
        <v>84.2</v>
      </c>
      <c r="AG490" s="2">
        <v>19.8</v>
      </c>
      <c r="AH490" s="2">
        <v>4.7</v>
      </c>
      <c r="AI490" s="2">
        <v>0.5</v>
      </c>
      <c r="AJ490" s="2">
        <v>6.3</v>
      </c>
      <c r="AK490" s="2">
        <v>5.7</v>
      </c>
      <c r="AL490" s="2">
        <v>9.3000000000000007</v>
      </c>
      <c r="AM490" s="2">
        <v>7.6</v>
      </c>
      <c r="AN490" s="2">
        <v>12.5</v>
      </c>
      <c r="AO490" s="2">
        <v>82</v>
      </c>
      <c r="AP490" s="2">
        <v>83.1</v>
      </c>
      <c r="AQ490" s="2">
        <v>18.100000000000001</v>
      </c>
      <c r="AR490" s="2">
        <v>101.64</v>
      </c>
      <c r="AS490" s="2">
        <v>12.2</v>
      </c>
      <c r="AT490" s="2">
        <v>151</v>
      </c>
      <c r="AU490" s="53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6"/>
    </row>
    <row r="491" spans="1:69" ht="13.2">
      <c r="A491" s="1" t="s">
        <v>1006</v>
      </c>
      <c r="B491" s="1" t="s">
        <v>1007</v>
      </c>
      <c r="C491" s="24" t="str">
        <f>VLOOKUP(B491,Equipe!$A$1:$B$31,2,FALSE)</f>
        <v>Charlotte Hornets</v>
      </c>
      <c r="D491" s="2">
        <v>26</v>
      </c>
      <c r="E491" s="2">
        <v>6</v>
      </c>
      <c r="F491" s="2">
        <v>0</v>
      </c>
      <c r="G491" s="2">
        <v>6</v>
      </c>
      <c r="H491" s="2">
        <v>18.600000000000001</v>
      </c>
      <c r="I491" s="3">
        <v>42</v>
      </c>
      <c r="J491" s="4">
        <v>12</v>
      </c>
      <c r="K491" s="4">
        <v>28</v>
      </c>
      <c r="L491" s="3">
        <v>42.9</v>
      </c>
      <c r="M491" s="4">
        <v>6</v>
      </c>
      <c r="N491" s="4">
        <v>15</v>
      </c>
      <c r="O491" s="3">
        <v>40</v>
      </c>
      <c r="P491" s="3">
        <v>12</v>
      </c>
      <c r="Q491" s="3">
        <v>15</v>
      </c>
      <c r="R491" s="3">
        <v>80</v>
      </c>
      <c r="S491" s="4">
        <v>3</v>
      </c>
      <c r="T491" s="4">
        <v>3</v>
      </c>
      <c r="U491" s="4">
        <v>6</v>
      </c>
      <c r="V491" s="4">
        <v>12</v>
      </c>
      <c r="W491" s="4">
        <v>8</v>
      </c>
      <c r="X491" s="4">
        <v>3</v>
      </c>
      <c r="Y491" s="4">
        <v>1</v>
      </c>
      <c r="Z491" s="4">
        <v>10</v>
      </c>
      <c r="AA491" s="3">
        <v>71</v>
      </c>
      <c r="AB491" s="3">
        <v>0</v>
      </c>
      <c r="AC491" s="3">
        <v>0</v>
      </c>
      <c r="AD491" s="2">
        <v>-7.8</v>
      </c>
      <c r="AE491" s="2">
        <v>100.4</v>
      </c>
      <c r="AF491" s="2">
        <v>120.4</v>
      </c>
      <c r="AG491" s="2">
        <v>-20</v>
      </c>
      <c r="AH491" s="2">
        <v>17.600000000000001</v>
      </c>
      <c r="AI491" s="2">
        <v>1.5</v>
      </c>
      <c r="AJ491" s="2">
        <v>21.8</v>
      </c>
      <c r="AK491" s="2">
        <v>2.5</v>
      </c>
      <c r="AL491" s="2">
        <v>2.5</v>
      </c>
      <c r="AM491" s="2">
        <v>2.5</v>
      </c>
      <c r="AN491" s="2">
        <v>14.5</v>
      </c>
      <c r="AO491" s="2">
        <v>53.6</v>
      </c>
      <c r="AP491" s="2">
        <v>60.7</v>
      </c>
      <c r="AQ491" s="2">
        <v>15.9</v>
      </c>
      <c r="AR491" s="2">
        <v>100.89</v>
      </c>
      <c r="AS491" s="2">
        <v>5.7</v>
      </c>
      <c r="AT491" s="2">
        <v>235</v>
      </c>
      <c r="AU491" s="53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6"/>
    </row>
    <row r="492" spans="1:69" ht="13.2">
      <c r="A492" s="1" t="s">
        <v>1008</v>
      </c>
      <c r="B492" s="1" t="s">
        <v>1009</v>
      </c>
      <c r="C492" s="24" t="str">
        <f>VLOOKUP(B492,Equipe!$A$1:$B$31,2,FALSE)</f>
        <v>Milwaukee Bucks</v>
      </c>
      <c r="D492" s="2">
        <v>25</v>
      </c>
      <c r="E492" s="2">
        <v>13</v>
      </c>
      <c r="F492" s="2">
        <v>8</v>
      </c>
      <c r="G492" s="2">
        <v>5</v>
      </c>
      <c r="H492" s="2">
        <v>10.6</v>
      </c>
      <c r="I492" s="3">
        <v>38</v>
      </c>
      <c r="J492" s="4">
        <v>14</v>
      </c>
      <c r="K492" s="4">
        <v>33</v>
      </c>
      <c r="L492" s="3">
        <v>43.8</v>
      </c>
      <c r="M492" s="4">
        <v>9</v>
      </c>
      <c r="N492" s="4">
        <v>23</v>
      </c>
      <c r="O492" s="3">
        <v>37.5</v>
      </c>
      <c r="P492" s="3">
        <v>1</v>
      </c>
      <c r="Q492" s="3">
        <v>3</v>
      </c>
      <c r="R492" s="3">
        <v>50</v>
      </c>
      <c r="S492" s="4">
        <v>5</v>
      </c>
      <c r="T492" s="4">
        <v>16</v>
      </c>
      <c r="U492" s="4">
        <v>21</v>
      </c>
      <c r="V492" s="4">
        <v>10</v>
      </c>
      <c r="W492" s="4">
        <v>4</v>
      </c>
      <c r="X492" s="4">
        <v>3</v>
      </c>
      <c r="Y492" s="4">
        <v>3</v>
      </c>
      <c r="Z492" s="4">
        <v>17</v>
      </c>
      <c r="AA492" s="3">
        <v>86</v>
      </c>
      <c r="AB492" s="3">
        <v>0</v>
      </c>
      <c r="AC492" s="3">
        <v>0</v>
      </c>
      <c r="AD492" s="2">
        <v>-1.1000000000000001</v>
      </c>
      <c r="AE492" s="2">
        <v>107.8</v>
      </c>
      <c r="AF492" s="2">
        <v>114.8</v>
      </c>
      <c r="AG492" s="2">
        <v>-7</v>
      </c>
      <c r="AH492" s="2">
        <v>10.6</v>
      </c>
      <c r="AI492" s="2">
        <v>2.5</v>
      </c>
      <c r="AJ492" s="2">
        <v>21.3</v>
      </c>
      <c r="AK492" s="2">
        <v>3.6</v>
      </c>
      <c r="AL492" s="2">
        <v>11.5</v>
      </c>
      <c r="AM492" s="2">
        <v>7.6</v>
      </c>
      <c r="AN492" s="2">
        <v>8.5</v>
      </c>
      <c r="AO492" s="2">
        <v>57.8</v>
      </c>
      <c r="AP492" s="2">
        <v>57.8</v>
      </c>
      <c r="AQ492" s="2">
        <v>11.6</v>
      </c>
      <c r="AR492" s="2">
        <v>97.1</v>
      </c>
      <c r="AS492" s="2">
        <v>5.4</v>
      </c>
      <c r="AT492" s="2">
        <v>282</v>
      </c>
      <c r="AU492" s="53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6"/>
    </row>
    <row r="493" spans="1:69" ht="13.2">
      <c r="A493" s="1" t="s">
        <v>1010</v>
      </c>
      <c r="B493" s="1" t="s">
        <v>1011</v>
      </c>
      <c r="C493" s="24" t="str">
        <f>VLOOKUP(B493,Equipe!$A$1:$B$31,2,FALSE)</f>
        <v>Cleveland Cavaliers</v>
      </c>
      <c r="D493" s="2">
        <v>21</v>
      </c>
      <c r="E493" s="2">
        <v>10</v>
      </c>
      <c r="F493" s="2">
        <v>9</v>
      </c>
      <c r="G493" s="2">
        <v>1</v>
      </c>
      <c r="H493" s="2">
        <v>7.5</v>
      </c>
      <c r="I493" s="3">
        <v>37</v>
      </c>
      <c r="J493" s="4">
        <v>13</v>
      </c>
      <c r="K493" s="4">
        <v>38</v>
      </c>
      <c r="L493" s="3">
        <v>34.200000000000003</v>
      </c>
      <c r="M493" s="4">
        <v>11</v>
      </c>
      <c r="N493" s="4">
        <v>30</v>
      </c>
      <c r="O493" s="3">
        <v>36.700000000000003</v>
      </c>
      <c r="P493" s="3">
        <v>0</v>
      </c>
      <c r="Q493" s="3">
        <v>0</v>
      </c>
      <c r="R493" s="3">
        <v>0</v>
      </c>
      <c r="S493" s="3">
        <v>0</v>
      </c>
      <c r="T493" s="4">
        <v>7</v>
      </c>
      <c r="U493" s="4">
        <v>7</v>
      </c>
      <c r="V493" s="4">
        <v>8</v>
      </c>
      <c r="W493" s="4">
        <v>2</v>
      </c>
      <c r="X493" s="4">
        <v>1</v>
      </c>
      <c r="Y493" s="4">
        <v>1</v>
      </c>
      <c r="Z493" s="4">
        <v>4</v>
      </c>
      <c r="AA493" s="3">
        <v>61</v>
      </c>
      <c r="AB493" s="3">
        <v>0</v>
      </c>
      <c r="AC493" s="3">
        <v>0</v>
      </c>
      <c r="AD493" s="2">
        <v>-3.4</v>
      </c>
      <c r="AE493" s="11">
        <v>89</v>
      </c>
      <c r="AF493" s="11">
        <v>110.5</v>
      </c>
      <c r="AG493" s="11">
        <v>-21.5</v>
      </c>
      <c r="AH493" s="11">
        <v>20</v>
      </c>
      <c r="AI493" s="11">
        <v>4</v>
      </c>
      <c r="AJ493" s="11">
        <v>16.7</v>
      </c>
      <c r="AK493" s="11">
        <v>0</v>
      </c>
      <c r="AL493" s="11">
        <v>7.5</v>
      </c>
      <c r="AM493" s="11">
        <v>3.6</v>
      </c>
      <c r="AN493" s="11">
        <v>4.2</v>
      </c>
      <c r="AO493" s="11">
        <v>48.7</v>
      </c>
      <c r="AP493" s="11">
        <v>48.7</v>
      </c>
      <c r="AQ493" s="11">
        <v>20.100000000000001</v>
      </c>
      <c r="AR493" s="11">
        <v>104.3</v>
      </c>
      <c r="AS493" s="11">
        <v>8</v>
      </c>
      <c r="AT493" s="11">
        <v>163</v>
      </c>
      <c r="AU493" s="53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6"/>
    </row>
    <row r="494" spans="1:69" ht="13.2">
      <c r="A494" s="1" t="s">
        <v>1012</v>
      </c>
      <c r="B494" s="1" t="s">
        <v>1013</v>
      </c>
      <c r="C494" s="24" t="str">
        <f>VLOOKUP(B494,Equipe!$A$1:$B$31,2,FALSE)</f>
        <v>Chicago Bulls</v>
      </c>
      <c r="D494" s="2">
        <v>27</v>
      </c>
      <c r="E494" s="2">
        <v>17</v>
      </c>
      <c r="F494" s="2">
        <v>4</v>
      </c>
      <c r="G494" s="2">
        <v>13</v>
      </c>
      <c r="H494" s="2">
        <v>4.4000000000000004</v>
      </c>
      <c r="I494" s="3">
        <v>36</v>
      </c>
      <c r="J494" s="4">
        <v>12</v>
      </c>
      <c r="K494" s="4">
        <v>26</v>
      </c>
      <c r="L494" s="3">
        <v>46.2</v>
      </c>
      <c r="M494" s="4">
        <v>7</v>
      </c>
      <c r="N494" s="4">
        <v>15</v>
      </c>
      <c r="O494" s="3">
        <v>40</v>
      </c>
      <c r="P494" s="3">
        <v>7</v>
      </c>
      <c r="Q494" s="3">
        <v>9</v>
      </c>
      <c r="R494" s="3">
        <v>75</v>
      </c>
      <c r="S494" s="4">
        <v>5</v>
      </c>
      <c r="T494" s="4">
        <v>15</v>
      </c>
      <c r="U494" s="4">
        <v>20</v>
      </c>
      <c r="V494" s="4">
        <v>9</v>
      </c>
      <c r="W494" s="4">
        <v>2</v>
      </c>
      <c r="X494" s="3">
        <v>0</v>
      </c>
      <c r="Y494" s="3">
        <v>0</v>
      </c>
      <c r="Z494" s="4">
        <v>7</v>
      </c>
      <c r="AA494" s="3">
        <v>73</v>
      </c>
      <c r="AB494" s="3">
        <v>0</v>
      </c>
      <c r="AC494" s="3">
        <v>0</v>
      </c>
      <c r="AD494" s="2">
        <v>0.7</v>
      </c>
      <c r="AE494" s="2">
        <v>105.2</v>
      </c>
      <c r="AF494" s="2">
        <v>102.4</v>
      </c>
      <c r="AG494" s="2">
        <v>2.8</v>
      </c>
      <c r="AH494" s="2">
        <v>17.3</v>
      </c>
      <c r="AI494" s="2">
        <v>9</v>
      </c>
      <c r="AJ494" s="2">
        <v>23.1</v>
      </c>
      <c r="AK494" s="2">
        <v>6</v>
      </c>
      <c r="AL494" s="2">
        <v>16.5</v>
      </c>
      <c r="AM494" s="2">
        <v>11.5</v>
      </c>
      <c r="AN494" s="2">
        <v>2.6</v>
      </c>
      <c r="AO494" s="2">
        <v>57.7</v>
      </c>
      <c r="AP494" s="2">
        <v>61</v>
      </c>
      <c r="AQ494" s="2">
        <v>15.1</v>
      </c>
      <c r="AR494" s="2">
        <v>108.61</v>
      </c>
      <c r="AS494" s="2">
        <v>12.7</v>
      </c>
      <c r="AT494" s="2">
        <v>172</v>
      </c>
      <c r="AU494" s="53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6"/>
    </row>
    <row r="495" spans="1:69" ht="13.2">
      <c r="A495" s="1" t="s">
        <v>1016</v>
      </c>
      <c r="B495" s="1" t="s">
        <v>1017</v>
      </c>
      <c r="C495" s="24" t="str">
        <f>VLOOKUP(B495,Equipe!$A$1:$B$31,2,FALSE)</f>
        <v>Oklahoma City Thunder</v>
      </c>
      <c r="D495" s="2">
        <v>24</v>
      </c>
      <c r="E495" s="2">
        <v>21</v>
      </c>
      <c r="F495" s="2">
        <v>20</v>
      </c>
      <c r="G495" s="2">
        <v>1</v>
      </c>
      <c r="H495" s="2">
        <v>6</v>
      </c>
      <c r="I495" s="3">
        <v>36</v>
      </c>
      <c r="J495" s="4">
        <v>13</v>
      </c>
      <c r="K495" s="4">
        <v>29</v>
      </c>
      <c r="L495" s="3">
        <v>40</v>
      </c>
      <c r="M495" s="4">
        <v>11</v>
      </c>
      <c r="N495" s="4">
        <v>21</v>
      </c>
      <c r="O495" s="3">
        <v>47.6</v>
      </c>
      <c r="P495" s="3">
        <v>2</v>
      </c>
      <c r="Q495" s="3">
        <v>2</v>
      </c>
      <c r="R495" s="3">
        <v>100</v>
      </c>
      <c r="S495" s="4">
        <v>8</v>
      </c>
      <c r="T495" s="4">
        <v>17</v>
      </c>
      <c r="U495" s="4">
        <v>25</v>
      </c>
      <c r="V495" s="4">
        <v>4</v>
      </c>
      <c r="W495" s="4">
        <v>4</v>
      </c>
      <c r="X495" s="4">
        <v>4</v>
      </c>
      <c r="Y495" s="3">
        <v>0</v>
      </c>
      <c r="Z495" s="4">
        <v>13</v>
      </c>
      <c r="AA495" s="3">
        <v>86</v>
      </c>
      <c r="AB495" s="3">
        <v>0</v>
      </c>
      <c r="AC495" s="3">
        <v>0</v>
      </c>
      <c r="AD495" s="2">
        <v>-1</v>
      </c>
      <c r="AE495" s="2">
        <v>99.6</v>
      </c>
      <c r="AF495" s="2">
        <v>106.3</v>
      </c>
      <c r="AG495" s="2">
        <v>-6.7</v>
      </c>
      <c r="AH495" s="2">
        <v>5.8</v>
      </c>
      <c r="AI495" s="2">
        <v>1.25</v>
      </c>
      <c r="AJ495" s="2">
        <v>12.5</v>
      </c>
      <c r="AK495" s="2">
        <v>6</v>
      </c>
      <c r="AL495" s="2">
        <v>11.9</v>
      </c>
      <c r="AM495" s="2">
        <v>8.8000000000000007</v>
      </c>
      <c r="AN495" s="2">
        <v>10</v>
      </c>
      <c r="AO495" s="2">
        <v>56.7</v>
      </c>
      <c r="AP495" s="2">
        <v>58.3</v>
      </c>
      <c r="AQ495" s="2">
        <v>11.5</v>
      </c>
      <c r="AR495" s="2">
        <v>102.63</v>
      </c>
      <c r="AS495" s="2">
        <v>6.5</v>
      </c>
      <c r="AT495" s="2">
        <v>266</v>
      </c>
      <c r="AU495" s="53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6"/>
    </row>
    <row r="496" spans="1:69" ht="13.2">
      <c r="A496" s="1" t="s">
        <v>1014</v>
      </c>
      <c r="B496" s="1" t="s">
        <v>1015</v>
      </c>
      <c r="C496" s="24" t="str">
        <f>VLOOKUP(B496,Equipe!$A$1:$B$31,2,FALSE)</f>
        <v>Cleveland Cavaliers</v>
      </c>
      <c r="D496" s="2">
        <v>24</v>
      </c>
      <c r="E496" s="2">
        <v>5</v>
      </c>
      <c r="F496" s="2">
        <v>4</v>
      </c>
      <c r="G496" s="2">
        <v>1</v>
      </c>
      <c r="H496" s="2">
        <v>12.7</v>
      </c>
      <c r="I496" s="3">
        <v>36</v>
      </c>
      <c r="J496" s="4">
        <v>13</v>
      </c>
      <c r="K496" s="4">
        <v>32</v>
      </c>
      <c r="L496" s="3">
        <v>40.6</v>
      </c>
      <c r="M496" s="4">
        <v>2</v>
      </c>
      <c r="N496" s="4">
        <v>10</v>
      </c>
      <c r="O496" s="3">
        <v>20</v>
      </c>
      <c r="P496" s="3">
        <v>8</v>
      </c>
      <c r="Q496" s="3">
        <v>11</v>
      </c>
      <c r="R496" s="3">
        <v>72.7</v>
      </c>
      <c r="S496" s="4">
        <v>9</v>
      </c>
      <c r="T496" s="4">
        <v>12</v>
      </c>
      <c r="U496" s="4">
        <v>21</v>
      </c>
      <c r="V496" s="4">
        <v>2</v>
      </c>
      <c r="W496" s="4">
        <v>2</v>
      </c>
      <c r="X496" s="3">
        <v>0</v>
      </c>
      <c r="Y496" s="4">
        <v>1</v>
      </c>
      <c r="Z496" s="4">
        <v>9</v>
      </c>
      <c r="AA496" s="3">
        <v>65</v>
      </c>
      <c r="AB496" s="3">
        <v>1</v>
      </c>
      <c r="AC496" s="3">
        <v>0</v>
      </c>
      <c r="AD496" s="2">
        <v>1.4</v>
      </c>
      <c r="AE496" s="2">
        <v>96.4</v>
      </c>
      <c r="AF496" s="2">
        <v>92</v>
      </c>
      <c r="AG496" s="2">
        <v>4.4000000000000004</v>
      </c>
      <c r="AH496" s="2">
        <v>5.3</v>
      </c>
      <c r="AI496" s="2">
        <v>1</v>
      </c>
      <c r="AJ496" s="2">
        <v>5</v>
      </c>
      <c r="AK496" s="2">
        <v>11.7</v>
      </c>
      <c r="AL496" s="2">
        <v>14.5</v>
      </c>
      <c r="AM496" s="2">
        <v>13.1</v>
      </c>
      <c r="AN496" s="2">
        <v>5</v>
      </c>
      <c r="AO496" s="2">
        <v>43.8</v>
      </c>
      <c r="AP496" s="2">
        <v>48.9</v>
      </c>
      <c r="AQ496" s="2">
        <v>23</v>
      </c>
      <c r="AR496" s="2">
        <v>104.1</v>
      </c>
      <c r="AS496" s="2">
        <v>9.6</v>
      </c>
      <c r="AT496" s="2">
        <v>138</v>
      </c>
      <c r="AU496" s="53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6"/>
    </row>
    <row r="497" spans="1:69" ht="13.2">
      <c r="A497" s="1" t="s">
        <v>1020</v>
      </c>
      <c r="B497" s="1" t="s">
        <v>1021</v>
      </c>
      <c r="C497" s="24" t="str">
        <f>VLOOKUP(B497,Equipe!$A$1:$B$31,2,FALSE)</f>
        <v>Memphis Grizzlies</v>
      </c>
      <c r="D497" s="2">
        <v>24</v>
      </c>
      <c r="E497" s="2">
        <v>22</v>
      </c>
      <c r="F497" s="2">
        <v>17</v>
      </c>
      <c r="G497" s="2">
        <v>5</v>
      </c>
      <c r="H497" s="2">
        <v>4.2</v>
      </c>
      <c r="I497" s="3">
        <v>35</v>
      </c>
      <c r="J497" s="4">
        <v>11</v>
      </c>
      <c r="K497" s="4">
        <v>31</v>
      </c>
      <c r="L497" s="3">
        <v>36.700000000000003</v>
      </c>
      <c r="M497" s="4">
        <v>7</v>
      </c>
      <c r="N497" s="4">
        <v>22</v>
      </c>
      <c r="O497" s="3">
        <v>30.4</v>
      </c>
      <c r="P497" s="3">
        <v>7</v>
      </c>
      <c r="Q497" s="3">
        <v>9</v>
      </c>
      <c r="R497" s="3">
        <v>77.8</v>
      </c>
      <c r="S497" s="3">
        <v>0</v>
      </c>
      <c r="T497" s="4">
        <v>11</v>
      </c>
      <c r="U497" s="4">
        <v>11</v>
      </c>
      <c r="V497" s="4">
        <v>20</v>
      </c>
      <c r="W497" s="4">
        <v>4</v>
      </c>
      <c r="X497" s="4">
        <v>2</v>
      </c>
      <c r="Y497" s="3">
        <v>0</v>
      </c>
      <c r="Z497" s="4">
        <v>9</v>
      </c>
      <c r="AA497" s="3">
        <v>79</v>
      </c>
      <c r="AB497" s="3">
        <v>0</v>
      </c>
      <c r="AC497" s="3">
        <v>0</v>
      </c>
      <c r="AD497" s="2">
        <v>1.2</v>
      </c>
      <c r="AE497" s="2">
        <v>114.6</v>
      </c>
      <c r="AF497" s="2">
        <v>102.5</v>
      </c>
      <c r="AG497" s="2">
        <v>12.1</v>
      </c>
      <c r="AH497" s="2">
        <v>25.7</v>
      </c>
      <c r="AI497" s="2">
        <v>3.8</v>
      </c>
      <c r="AJ497" s="2">
        <v>32.799999999999997</v>
      </c>
      <c r="AK497" s="2">
        <v>0</v>
      </c>
      <c r="AL497" s="2">
        <v>11.4</v>
      </c>
      <c r="AM497" s="2">
        <v>6.3</v>
      </c>
      <c r="AN497" s="2">
        <v>8.6</v>
      </c>
      <c r="AO497" s="2">
        <v>48.3</v>
      </c>
      <c r="AP497" s="2">
        <v>53</v>
      </c>
      <c r="AQ497" s="2">
        <v>16.7</v>
      </c>
      <c r="AR497" s="2">
        <v>106.19</v>
      </c>
      <c r="AS497" s="2">
        <v>8.6</v>
      </c>
      <c r="AT497" s="2">
        <v>206</v>
      </c>
      <c r="AU497" s="53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6"/>
    </row>
    <row r="498" spans="1:69" ht="13.2">
      <c r="A498" s="8" t="s">
        <v>1022</v>
      </c>
      <c r="B498" s="1" t="s">
        <v>1023</v>
      </c>
      <c r="C498" s="24" t="str">
        <f>VLOOKUP(B498,Equipe!$A$1:$B$31,2,FALSE)</f>
        <v>Phoenix Suns</v>
      </c>
      <c r="D498" s="2">
        <v>23</v>
      </c>
      <c r="E498" s="2">
        <v>16</v>
      </c>
      <c r="F498" s="2">
        <v>4</v>
      </c>
      <c r="G498" s="2">
        <v>12</v>
      </c>
      <c r="H498" s="2">
        <v>7.4</v>
      </c>
      <c r="I498" s="3">
        <v>35</v>
      </c>
      <c r="J498" s="4">
        <v>14</v>
      </c>
      <c r="K498" s="4">
        <v>45</v>
      </c>
      <c r="L498" s="3">
        <v>31.1</v>
      </c>
      <c r="M498" s="4">
        <v>5</v>
      </c>
      <c r="N498" s="4">
        <v>21</v>
      </c>
      <c r="O498" s="3">
        <v>19</v>
      </c>
      <c r="P498" s="3">
        <v>3</v>
      </c>
      <c r="Q498" s="3">
        <v>6</v>
      </c>
      <c r="R498" s="3">
        <v>50</v>
      </c>
      <c r="S498" s="4">
        <v>5</v>
      </c>
      <c r="T498" s="4">
        <v>10</v>
      </c>
      <c r="U498" s="4">
        <v>13</v>
      </c>
      <c r="V498" s="4">
        <v>16</v>
      </c>
      <c r="W498" s="4">
        <v>3</v>
      </c>
      <c r="X498" s="4">
        <v>3</v>
      </c>
      <c r="Y498" s="3">
        <v>0</v>
      </c>
      <c r="Z498" s="4">
        <v>5</v>
      </c>
      <c r="AA498" s="3">
        <v>80</v>
      </c>
      <c r="AB498" s="3">
        <v>0</v>
      </c>
      <c r="AC498" s="3">
        <v>0</v>
      </c>
      <c r="AD498" s="2">
        <v>0.1</v>
      </c>
      <c r="AE498" s="2">
        <v>109.2</v>
      </c>
      <c r="AF498" s="2">
        <v>105.7</v>
      </c>
      <c r="AG498" s="2">
        <v>3.5</v>
      </c>
      <c r="AH498" s="2">
        <v>18.8</v>
      </c>
      <c r="AI498" s="2">
        <v>5.33</v>
      </c>
      <c r="AJ498" s="2">
        <v>23.9</v>
      </c>
      <c r="AK498" s="2">
        <v>3.1</v>
      </c>
      <c r="AL498" s="2">
        <v>7</v>
      </c>
      <c r="AM498" s="2">
        <v>5</v>
      </c>
      <c r="AN498" s="2">
        <v>4.5</v>
      </c>
      <c r="AO498" s="2">
        <v>35.6</v>
      </c>
      <c r="AP498" s="2">
        <v>36.700000000000003</v>
      </c>
      <c r="AQ498" s="2">
        <v>18.7</v>
      </c>
      <c r="AR498" s="2">
        <v>98.56</v>
      </c>
      <c r="AS498" s="2">
        <v>4.9000000000000004</v>
      </c>
      <c r="AT498" s="2">
        <v>240</v>
      </c>
      <c r="AU498" s="53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6"/>
    </row>
    <row r="499" spans="1:69" ht="13.2">
      <c r="A499" s="1" t="s">
        <v>1018</v>
      </c>
      <c r="B499" s="1" t="s">
        <v>1019</v>
      </c>
      <c r="C499" s="24" t="str">
        <f>VLOOKUP(B499,Equipe!$A$1:$B$31,2,FALSE)</f>
        <v>Indiana Pacers</v>
      </c>
      <c r="D499" s="2">
        <v>23</v>
      </c>
      <c r="E499" s="2">
        <v>5</v>
      </c>
      <c r="F499" s="2">
        <v>1</v>
      </c>
      <c r="G499" s="2">
        <v>4</v>
      </c>
      <c r="H499" s="2">
        <v>16.8</v>
      </c>
      <c r="I499" s="3">
        <v>35</v>
      </c>
      <c r="J499" s="4">
        <v>14</v>
      </c>
      <c r="K499" s="4">
        <v>23</v>
      </c>
      <c r="L499" s="3">
        <v>60.9</v>
      </c>
      <c r="M499" s="3">
        <v>0</v>
      </c>
      <c r="N499" s="3">
        <v>0</v>
      </c>
      <c r="O499" s="3">
        <v>0</v>
      </c>
      <c r="P499" s="3">
        <v>7</v>
      </c>
      <c r="Q499" s="3">
        <v>14</v>
      </c>
      <c r="R499" s="3">
        <v>50</v>
      </c>
      <c r="S499" s="4">
        <v>11</v>
      </c>
      <c r="T499" s="4">
        <v>17</v>
      </c>
      <c r="U499" s="4">
        <v>28</v>
      </c>
      <c r="V499" s="4">
        <v>5</v>
      </c>
      <c r="W499" s="4">
        <v>5</v>
      </c>
      <c r="X499" s="4">
        <v>3</v>
      </c>
      <c r="Y499" s="4">
        <v>8</v>
      </c>
      <c r="Z499" s="4">
        <v>14</v>
      </c>
      <c r="AA499" s="3">
        <v>104</v>
      </c>
      <c r="AB499" s="3">
        <v>0</v>
      </c>
      <c r="AC499" s="3">
        <v>0</v>
      </c>
      <c r="AD499" s="2">
        <v>2</v>
      </c>
      <c r="AE499" s="2">
        <v>112.5</v>
      </c>
      <c r="AF499" s="2">
        <v>107.1</v>
      </c>
      <c r="AG499" s="2">
        <v>5.4</v>
      </c>
      <c r="AH499" s="2">
        <v>7.9</v>
      </c>
      <c r="AI499" s="2">
        <v>1</v>
      </c>
      <c r="AJ499" s="2">
        <v>12.5</v>
      </c>
      <c r="AK499" s="2">
        <v>12.6</v>
      </c>
      <c r="AL499" s="2">
        <v>16.8</v>
      </c>
      <c r="AM499" s="2">
        <v>14.9</v>
      </c>
      <c r="AN499" s="2">
        <v>12.5</v>
      </c>
      <c r="AO499" s="2">
        <v>60.9</v>
      </c>
      <c r="AP499" s="2">
        <v>60</v>
      </c>
      <c r="AQ499" s="2">
        <v>16.399999999999999</v>
      </c>
      <c r="AR499" s="2">
        <v>105.29</v>
      </c>
      <c r="AS499" s="2">
        <v>9.5</v>
      </c>
      <c r="AT499" s="2">
        <v>184</v>
      </c>
      <c r="AU499" s="53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6"/>
    </row>
    <row r="500" spans="1:69" ht="13.2">
      <c r="A500" s="1" t="s">
        <v>1024</v>
      </c>
      <c r="B500" s="1" t="s">
        <v>1025</v>
      </c>
      <c r="C500" s="24" t="str">
        <f>VLOOKUP(B500,Equipe!$A$1:$B$31,2,FALSE)</f>
        <v>Boston Celtics</v>
      </c>
      <c r="D500" s="2">
        <v>22</v>
      </c>
      <c r="E500" s="2">
        <v>16</v>
      </c>
      <c r="F500" s="2">
        <v>13</v>
      </c>
      <c r="G500" s="2">
        <v>3</v>
      </c>
      <c r="H500" s="2">
        <v>5.8</v>
      </c>
      <c r="I500" s="3">
        <v>34</v>
      </c>
      <c r="J500" s="4">
        <v>13</v>
      </c>
      <c r="K500" s="4">
        <v>34</v>
      </c>
      <c r="L500" s="3">
        <v>35.299999999999997</v>
      </c>
      <c r="M500" s="4">
        <v>5</v>
      </c>
      <c r="N500" s="4">
        <v>18</v>
      </c>
      <c r="O500" s="3">
        <v>22.2</v>
      </c>
      <c r="P500" s="3">
        <v>5</v>
      </c>
      <c r="Q500" s="3">
        <v>6</v>
      </c>
      <c r="R500" s="3">
        <v>71.400000000000006</v>
      </c>
      <c r="S500" s="4">
        <v>2</v>
      </c>
      <c r="T500" s="4">
        <v>11</v>
      </c>
      <c r="U500" s="4">
        <v>13</v>
      </c>
      <c r="V500" s="4">
        <v>13</v>
      </c>
      <c r="W500" s="4">
        <v>13</v>
      </c>
      <c r="X500" s="4">
        <v>5</v>
      </c>
      <c r="Y500" s="4">
        <v>2</v>
      </c>
      <c r="Z500" s="4">
        <v>2</v>
      </c>
      <c r="AA500" s="3">
        <v>74</v>
      </c>
      <c r="AB500" s="3">
        <v>0</v>
      </c>
      <c r="AC500" s="3">
        <v>0</v>
      </c>
      <c r="AD500" s="2">
        <v>-1.8</v>
      </c>
      <c r="AE500" s="2">
        <v>91.7</v>
      </c>
      <c r="AF500" s="2">
        <v>105.4</v>
      </c>
      <c r="AG500" s="2">
        <v>-13.7</v>
      </c>
      <c r="AH500" s="2">
        <v>27.7</v>
      </c>
      <c r="AI500" s="2">
        <v>1</v>
      </c>
      <c r="AJ500" s="2">
        <v>20.6</v>
      </c>
      <c r="AK500" s="2">
        <v>2</v>
      </c>
      <c r="AL500" s="2">
        <v>11.8</v>
      </c>
      <c r="AM500" s="2">
        <v>6.7</v>
      </c>
      <c r="AN500" s="2">
        <v>20.6</v>
      </c>
      <c r="AO500" s="2">
        <v>41.2</v>
      </c>
      <c r="AP500" s="2">
        <v>44.5</v>
      </c>
      <c r="AQ500" s="2">
        <v>22.8</v>
      </c>
      <c r="AR500" s="2">
        <v>94.28</v>
      </c>
      <c r="AS500" s="2">
        <v>7.9</v>
      </c>
      <c r="AT500" s="2">
        <v>181</v>
      </c>
      <c r="AU500" s="53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6"/>
    </row>
    <row r="501" spans="1:69" ht="13.2">
      <c r="A501" s="1" t="s">
        <v>1026</v>
      </c>
      <c r="B501" s="1" t="s">
        <v>1027</v>
      </c>
      <c r="C501" s="24" t="str">
        <f>VLOOKUP(B501,Equipe!$A$1:$B$31,2,FALSE)</f>
        <v>New Orleans Pelicans</v>
      </c>
      <c r="D501" s="2">
        <v>27</v>
      </c>
      <c r="E501" s="2">
        <v>11</v>
      </c>
      <c r="F501" s="2">
        <v>3</v>
      </c>
      <c r="G501" s="2">
        <v>8</v>
      </c>
      <c r="H501" s="2">
        <v>11.5</v>
      </c>
      <c r="I501" s="3">
        <v>34</v>
      </c>
      <c r="J501" s="4">
        <v>14</v>
      </c>
      <c r="K501" s="4">
        <v>22</v>
      </c>
      <c r="L501" s="3">
        <v>63.6</v>
      </c>
      <c r="M501" s="3">
        <v>0</v>
      </c>
      <c r="N501" s="3">
        <v>0</v>
      </c>
      <c r="O501" s="3">
        <v>0</v>
      </c>
      <c r="P501" s="3">
        <v>6</v>
      </c>
      <c r="Q501" s="3">
        <v>10</v>
      </c>
      <c r="R501" s="3">
        <v>60</v>
      </c>
      <c r="S501" s="4">
        <v>12</v>
      </c>
      <c r="T501" s="4">
        <v>28</v>
      </c>
      <c r="U501" s="4">
        <v>39</v>
      </c>
      <c r="V501" s="4">
        <v>6</v>
      </c>
      <c r="W501" s="4">
        <v>4</v>
      </c>
      <c r="X501" s="4">
        <v>1</v>
      </c>
      <c r="Y501" s="4">
        <v>3</v>
      </c>
      <c r="Z501" s="4">
        <v>15</v>
      </c>
      <c r="AA501" s="3">
        <v>97</v>
      </c>
      <c r="AB501" s="3">
        <v>1</v>
      </c>
      <c r="AC501" s="3">
        <v>0</v>
      </c>
      <c r="AD501" s="2">
        <v>-6.8</v>
      </c>
      <c r="AE501" s="2">
        <v>101.4</v>
      </c>
      <c r="AF501" s="2">
        <v>130.5</v>
      </c>
      <c r="AG501" s="2">
        <v>-29.1</v>
      </c>
      <c r="AH501" s="2">
        <v>5.6</v>
      </c>
      <c r="AI501" s="2">
        <v>1.25</v>
      </c>
      <c r="AJ501" s="2">
        <v>13.9</v>
      </c>
      <c r="AK501" s="2">
        <v>7.9</v>
      </c>
      <c r="AL501" s="2">
        <v>19.399999999999999</v>
      </c>
      <c r="AM501" s="2">
        <v>13.4</v>
      </c>
      <c r="AN501" s="2">
        <v>11.1</v>
      </c>
      <c r="AO501" s="2">
        <v>63.6</v>
      </c>
      <c r="AP501" s="2">
        <v>64.400000000000006</v>
      </c>
      <c r="AQ501" s="2">
        <v>9.6999999999999993</v>
      </c>
      <c r="AR501" s="2">
        <v>104.42</v>
      </c>
      <c r="AS501" s="2">
        <v>7.2</v>
      </c>
      <c r="AT501" s="2">
        <v>276</v>
      </c>
      <c r="AU501" s="53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6"/>
    </row>
    <row r="502" spans="1:69" ht="13.2">
      <c r="A502" s="1" t="s">
        <v>1030</v>
      </c>
      <c r="B502" s="1" t="s">
        <v>1031</v>
      </c>
      <c r="C502" s="24" t="str">
        <f>VLOOKUP(B502,Equipe!$A$1:$B$31,2,FALSE)</f>
        <v>Portland Trail Blazers</v>
      </c>
      <c r="D502" s="2">
        <v>21</v>
      </c>
      <c r="E502" s="2">
        <v>22</v>
      </c>
      <c r="F502" s="2">
        <v>11</v>
      </c>
      <c r="G502" s="2">
        <v>11</v>
      </c>
      <c r="H502" s="2">
        <v>5.2</v>
      </c>
      <c r="I502" s="3">
        <v>33</v>
      </c>
      <c r="J502" s="4">
        <v>13</v>
      </c>
      <c r="K502" s="4">
        <v>31</v>
      </c>
      <c r="L502" s="3">
        <v>43.3</v>
      </c>
      <c r="M502" s="4">
        <v>2</v>
      </c>
      <c r="N502" s="4">
        <v>13</v>
      </c>
      <c r="O502" s="3">
        <v>23.1</v>
      </c>
      <c r="P502" s="3">
        <v>2</v>
      </c>
      <c r="Q502" s="3">
        <v>9</v>
      </c>
      <c r="R502" s="3">
        <v>33.299999999999997</v>
      </c>
      <c r="S502" s="4">
        <v>9</v>
      </c>
      <c r="T502" s="4">
        <v>13</v>
      </c>
      <c r="U502" s="4">
        <v>22</v>
      </c>
      <c r="V502" s="4">
        <v>15</v>
      </c>
      <c r="W502" s="4">
        <v>11</v>
      </c>
      <c r="X502" s="4">
        <v>2</v>
      </c>
      <c r="Y502" s="3">
        <v>0</v>
      </c>
      <c r="Z502" s="4">
        <v>11</v>
      </c>
      <c r="AA502" s="3">
        <v>77</v>
      </c>
      <c r="AB502" s="3">
        <v>0</v>
      </c>
      <c r="AC502" s="3">
        <v>0</v>
      </c>
      <c r="AD502" s="2">
        <v>0.4</v>
      </c>
      <c r="AE502" s="2">
        <v>91.2</v>
      </c>
      <c r="AF502" s="2">
        <v>89</v>
      </c>
      <c r="AG502" s="2">
        <v>2.1</v>
      </c>
      <c r="AH502" s="2">
        <v>19.7</v>
      </c>
      <c r="AI502" s="2">
        <v>1.36</v>
      </c>
      <c r="AJ502" s="2">
        <v>25.4</v>
      </c>
      <c r="AK502" s="2">
        <v>6.8</v>
      </c>
      <c r="AL502" s="2">
        <v>10</v>
      </c>
      <c r="AM502" s="2">
        <v>8.5</v>
      </c>
      <c r="AN502" s="2">
        <v>18.600000000000001</v>
      </c>
      <c r="AO502" s="2">
        <v>48.3</v>
      </c>
      <c r="AP502" s="2">
        <v>47.1</v>
      </c>
      <c r="AQ502" s="2">
        <v>15.6</v>
      </c>
      <c r="AR502" s="2">
        <v>103.79</v>
      </c>
      <c r="AS502" s="2">
        <v>5.7</v>
      </c>
      <c r="AT502" s="2">
        <v>249</v>
      </c>
      <c r="AU502" s="53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6"/>
    </row>
    <row r="503" spans="1:69" ht="13.2">
      <c r="A503" s="1" t="s">
        <v>1028</v>
      </c>
      <c r="B503" s="1" t="s">
        <v>1029</v>
      </c>
      <c r="C503" s="24" t="str">
        <f>VLOOKUP(B503,Equipe!$A$1:$B$31,2,FALSE)</f>
        <v>Boston Celtics</v>
      </c>
      <c r="D503" s="2">
        <v>26</v>
      </c>
      <c r="E503" s="2">
        <v>33</v>
      </c>
      <c r="F503" s="2">
        <v>26</v>
      </c>
      <c r="G503" s="2">
        <v>7</v>
      </c>
      <c r="H503" s="2">
        <v>7</v>
      </c>
      <c r="I503" s="3">
        <v>33</v>
      </c>
      <c r="J503" s="4">
        <v>13</v>
      </c>
      <c r="K503" s="4">
        <v>53</v>
      </c>
      <c r="L503" s="3">
        <v>24.5</v>
      </c>
      <c r="M503" s="4">
        <v>7</v>
      </c>
      <c r="N503" s="4">
        <v>33</v>
      </c>
      <c r="O503" s="3">
        <v>15.6</v>
      </c>
      <c r="P503" s="3">
        <v>3</v>
      </c>
      <c r="Q503" s="3">
        <v>3</v>
      </c>
      <c r="R503" s="3">
        <v>75</v>
      </c>
      <c r="S503" s="4">
        <v>10</v>
      </c>
      <c r="T503" s="4">
        <v>33</v>
      </c>
      <c r="U503" s="4">
        <v>43</v>
      </c>
      <c r="V503" s="4">
        <v>7</v>
      </c>
      <c r="W503" s="4">
        <v>13</v>
      </c>
      <c r="X503" s="4">
        <v>10</v>
      </c>
      <c r="Y503" s="4">
        <v>7</v>
      </c>
      <c r="Z503" s="4">
        <v>17</v>
      </c>
      <c r="AA503" s="3">
        <v>129</v>
      </c>
      <c r="AB503" s="3">
        <v>0</v>
      </c>
      <c r="AC503" s="3">
        <v>0</v>
      </c>
      <c r="AD503" s="2">
        <v>-0.4</v>
      </c>
      <c r="AE503" s="2">
        <v>106.6</v>
      </c>
      <c r="AF503" s="2">
        <v>108.9</v>
      </c>
      <c r="AG503" s="2">
        <v>-2.2999999999999998</v>
      </c>
      <c r="AH503" s="2">
        <v>4.3</v>
      </c>
      <c r="AI503" s="2">
        <v>0.5</v>
      </c>
      <c r="AJ503" s="2">
        <v>9.3000000000000007</v>
      </c>
      <c r="AK503" s="2">
        <v>4.0999999999999996</v>
      </c>
      <c r="AL503" s="2">
        <v>14.6</v>
      </c>
      <c r="AM503" s="2">
        <v>9.1</v>
      </c>
      <c r="AN503" s="2">
        <v>18.7</v>
      </c>
      <c r="AO503" s="2">
        <v>29.2</v>
      </c>
      <c r="AP503" s="2">
        <v>31</v>
      </c>
      <c r="AQ503" s="2">
        <v>12.5</v>
      </c>
      <c r="AR503" s="2">
        <v>97.6</v>
      </c>
      <c r="AS503" s="2">
        <v>2.2000000000000002</v>
      </c>
      <c r="AT503" s="2">
        <v>469</v>
      </c>
      <c r="AU503" s="53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6"/>
    </row>
    <row r="504" spans="1:69" ht="13.2">
      <c r="A504" s="1" t="s">
        <v>1034</v>
      </c>
      <c r="B504" s="1" t="s">
        <v>1035</v>
      </c>
      <c r="C504" s="24" t="str">
        <f>VLOOKUP(B504,Equipe!$A$1:$B$31,2,FALSE)</f>
        <v>Miami Heat</v>
      </c>
      <c r="D504" s="2">
        <v>31</v>
      </c>
      <c r="E504" s="2">
        <v>8</v>
      </c>
      <c r="F504" s="2">
        <v>4</v>
      </c>
      <c r="G504" s="2">
        <v>4</v>
      </c>
      <c r="H504" s="2">
        <v>18.7</v>
      </c>
      <c r="I504" s="3">
        <v>32</v>
      </c>
      <c r="J504" s="4">
        <v>11</v>
      </c>
      <c r="K504" s="4">
        <v>38</v>
      </c>
      <c r="L504" s="3">
        <v>28.9</v>
      </c>
      <c r="M504" s="4">
        <v>6</v>
      </c>
      <c r="N504" s="4">
        <v>22</v>
      </c>
      <c r="O504" s="3">
        <v>27.3</v>
      </c>
      <c r="P504" s="3">
        <v>4</v>
      </c>
      <c r="Q504" s="3">
        <v>4</v>
      </c>
      <c r="R504" s="3">
        <v>100</v>
      </c>
      <c r="S504" s="4">
        <v>6</v>
      </c>
      <c r="T504" s="4">
        <v>6</v>
      </c>
      <c r="U504" s="4">
        <v>12</v>
      </c>
      <c r="V504" s="4">
        <v>12</v>
      </c>
      <c r="W504" s="4">
        <v>8</v>
      </c>
      <c r="X504" s="4">
        <v>8</v>
      </c>
      <c r="Y504" s="4">
        <v>1</v>
      </c>
      <c r="Z504" s="4">
        <v>17</v>
      </c>
      <c r="AA504" s="3">
        <v>83</v>
      </c>
      <c r="AB504" s="3">
        <v>0</v>
      </c>
      <c r="AC504" s="3">
        <v>0</v>
      </c>
      <c r="AD504" s="2">
        <v>-3.9</v>
      </c>
      <c r="AE504" s="2">
        <v>104.1</v>
      </c>
      <c r="AF504" s="2">
        <v>114.7</v>
      </c>
      <c r="AG504" s="2">
        <v>-10.6</v>
      </c>
      <c r="AH504" s="2">
        <v>11.7</v>
      </c>
      <c r="AI504" s="2">
        <v>1.5</v>
      </c>
      <c r="AJ504" s="2">
        <v>20</v>
      </c>
      <c r="AK504" s="2">
        <v>3.8</v>
      </c>
      <c r="AL504" s="2">
        <v>4.8</v>
      </c>
      <c r="AM504" s="2">
        <v>4.2</v>
      </c>
      <c r="AN504" s="2">
        <v>13.3</v>
      </c>
      <c r="AO504" s="2">
        <v>36.799999999999997</v>
      </c>
      <c r="AP504" s="2">
        <v>40.200000000000003</v>
      </c>
      <c r="AQ504" s="2">
        <v>13.4</v>
      </c>
      <c r="AR504" s="2">
        <v>100.82</v>
      </c>
      <c r="AS504" s="2">
        <v>1.5</v>
      </c>
      <c r="AT504" s="2">
        <v>315</v>
      </c>
      <c r="AU504" s="53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6"/>
    </row>
    <row r="505" spans="1:69" ht="13.2">
      <c r="A505" s="1" t="s">
        <v>1036</v>
      </c>
      <c r="B505" s="1" t="s">
        <v>1037</v>
      </c>
      <c r="C505" s="24" t="str">
        <f>VLOOKUP(B505,Equipe!$A$1:$B$31,2,FALSE)</f>
        <v>Utah Jazz</v>
      </c>
      <c r="D505" s="2">
        <v>25</v>
      </c>
      <c r="E505" s="2">
        <v>10</v>
      </c>
      <c r="F505" s="2">
        <v>1</v>
      </c>
      <c r="G505" s="2">
        <v>9</v>
      </c>
      <c r="H505" s="2">
        <v>13.8</v>
      </c>
      <c r="I505" s="3">
        <v>32</v>
      </c>
      <c r="J505" s="4">
        <v>11</v>
      </c>
      <c r="K505" s="4">
        <v>35</v>
      </c>
      <c r="L505" s="3">
        <v>31.4</v>
      </c>
      <c r="M505" s="4">
        <v>7</v>
      </c>
      <c r="N505" s="4">
        <v>25</v>
      </c>
      <c r="O505" s="3">
        <v>28</v>
      </c>
      <c r="P505" s="3">
        <v>3</v>
      </c>
      <c r="Q505" s="3">
        <v>6</v>
      </c>
      <c r="R505" s="3">
        <v>50</v>
      </c>
      <c r="S505" s="4">
        <v>9</v>
      </c>
      <c r="T505" s="4">
        <v>12</v>
      </c>
      <c r="U505" s="4">
        <v>21</v>
      </c>
      <c r="V505" s="4">
        <v>8</v>
      </c>
      <c r="W505" s="4">
        <v>3</v>
      </c>
      <c r="X505" s="4">
        <v>10</v>
      </c>
      <c r="Y505" s="4">
        <v>1</v>
      </c>
      <c r="Z505" s="4">
        <v>18</v>
      </c>
      <c r="AA505" s="3">
        <v>99</v>
      </c>
      <c r="AB505" s="3">
        <v>0</v>
      </c>
      <c r="AC505" s="3">
        <v>0</v>
      </c>
      <c r="AD505" s="2">
        <v>3.1</v>
      </c>
      <c r="AE505" s="2">
        <v>113.2</v>
      </c>
      <c r="AF505" s="2">
        <v>103.5</v>
      </c>
      <c r="AG505" s="2">
        <v>9.6999999999999993</v>
      </c>
      <c r="AH505" s="2">
        <v>7.3</v>
      </c>
      <c r="AI505" s="2">
        <v>2.67</v>
      </c>
      <c r="AJ505" s="2">
        <v>16.3</v>
      </c>
      <c r="AK505" s="2">
        <v>5.8</v>
      </c>
      <c r="AL505" s="2">
        <v>9.1999999999999993</v>
      </c>
      <c r="AM505" s="2">
        <v>7.4</v>
      </c>
      <c r="AN505" s="2">
        <v>6.1</v>
      </c>
      <c r="AO505" s="2">
        <v>41.4</v>
      </c>
      <c r="AP505" s="2">
        <v>42.5</v>
      </c>
      <c r="AQ505" s="2">
        <v>12</v>
      </c>
      <c r="AR505" s="2">
        <v>99.3</v>
      </c>
      <c r="AS505" s="2">
        <v>3.7</v>
      </c>
      <c r="AT505" s="2">
        <v>287</v>
      </c>
      <c r="AU505" s="53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6"/>
    </row>
    <row r="506" spans="1:69" ht="13.2">
      <c r="A506" s="1" t="s">
        <v>1032</v>
      </c>
      <c r="B506" s="1" t="s">
        <v>1033</v>
      </c>
      <c r="C506" s="24" t="str">
        <f>VLOOKUP(B506,Equipe!$A$1:$B$31,2,FALSE)</f>
        <v>Denver Nuggets</v>
      </c>
      <c r="D506" s="2">
        <v>23</v>
      </c>
      <c r="E506" s="2">
        <v>19</v>
      </c>
      <c r="F506" s="2">
        <v>12</v>
      </c>
      <c r="G506" s="2">
        <v>7</v>
      </c>
      <c r="H506" s="2">
        <v>3.5</v>
      </c>
      <c r="I506" s="3">
        <v>32</v>
      </c>
      <c r="J506" s="4">
        <v>13</v>
      </c>
      <c r="K506" s="4">
        <v>25</v>
      </c>
      <c r="L506" s="3">
        <v>58.3</v>
      </c>
      <c r="M506" s="4">
        <v>2</v>
      </c>
      <c r="N506" s="4">
        <v>8</v>
      </c>
      <c r="O506" s="3">
        <v>25</v>
      </c>
      <c r="P506" s="3">
        <v>4</v>
      </c>
      <c r="Q506" s="3">
        <v>4</v>
      </c>
      <c r="R506" s="3">
        <v>75</v>
      </c>
      <c r="S506" s="4">
        <v>6</v>
      </c>
      <c r="T506" s="4">
        <v>15</v>
      </c>
      <c r="U506" s="4">
        <v>23</v>
      </c>
      <c r="V506" s="4">
        <v>4</v>
      </c>
      <c r="W506" s="4">
        <v>2</v>
      </c>
      <c r="X506" s="3">
        <v>0</v>
      </c>
      <c r="Y506" s="4">
        <v>4</v>
      </c>
      <c r="Z506" s="4">
        <v>11</v>
      </c>
      <c r="AA506" s="3">
        <v>76</v>
      </c>
      <c r="AB506" s="3">
        <v>0</v>
      </c>
      <c r="AC506" s="3">
        <v>0</v>
      </c>
      <c r="AD506" s="2">
        <v>-0.1</v>
      </c>
      <c r="AE506" s="2">
        <v>91.9</v>
      </c>
      <c r="AF506" s="2">
        <v>91.3</v>
      </c>
      <c r="AG506" s="2">
        <v>0.5</v>
      </c>
      <c r="AH506" s="2">
        <v>11.8</v>
      </c>
      <c r="AI506" s="2">
        <v>2</v>
      </c>
      <c r="AJ506" s="2">
        <v>12.5</v>
      </c>
      <c r="AK506" s="2">
        <v>7.9</v>
      </c>
      <c r="AL506" s="2">
        <v>21.9</v>
      </c>
      <c r="AM506" s="2">
        <v>14.8</v>
      </c>
      <c r="AN506" s="2">
        <v>6.3</v>
      </c>
      <c r="AO506" s="2">
        <v>62.5</v>
      </c>
      <c r="AP506" s="2">
        <v>64.099999999999994</v>
      </c>
      <c r="AQ506" s="2">
        <v>17.600000000000001</v>
      </c>
      <c r="AR506" s="2">
        <v>99</v>
      </c>
      <c r="AS506" s="2">
        <v>16.8</v>
      </c>
      <c r="AT506" s="2">
        <v>135</v>
      </c>
      <c r="AU506" s="53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6"/>
    </row>
    <row r="507" spans="1:69" ht="13.2">
      <c r="A507" s="1" t="s">
        <v>1038</v>
      </c>
      <c r="B507" s="1" t="s">
        <v>1039</v>
      </c>
      <c r="C507" s="24" t="str">
        <f>VLOOKUP(B507,Equipe!$A$1:$B$31,2,FALSE)</f>
        <v>Denver Nuggets</v>
      </c>
      <c r="D507" s="2">
        <v>22</v>
      </c>
      <c r="E507" s="2">
        <v>24</v>
      </c>
      <c r="F507" s="2">
        <v>14</v>
      </c>
      <c r="G507" s="2">
        <v>10</v>
      </c>
      <c r="H507" s="2">
        <v>4.9000000000000004</v>
      </c>
      <c r="I507" s="3">
        <v>31</v>
      </c>
      <c r="J507" s="4">
        <v>12</v>
      </c>
      <c r="K507" s="4">
        <v>41</v>
      </c>
      <c r="L507" s="3">
        <v>31.7</v>
      </c>
      <c r="M507" s="4">
        <v>2</v>
      </c>
      <c r="N507" s="4">
        <v>17</v>
      </c>
      <c r="O507" s="3">
        <v>17.600000000000001</v>
      </c>
      <c r="P507" s="3">
        <v>2</v>
      </c>
      <c r="Q507" s="3">
        <v>5</v>
      </c>
      <c r="R507" s="3">
        <v>75</v>
      </c>
      <c r="S507" s="3">
        <v>0</v>
      </c>
      <c r="T507" s="4">
        <v>12</v>
      </c>
      <c r="U507" s="4">
        <v>12</v>
      </c>
      <c r="V507" s="4">
        <v>12</v>
      </c>
      <c r="W507" s="4">
        <v>5</v>
      </c>
      <c r="X507" s="4">
        <v>2</v>
      </c>
      <c r="Y507" s="3">
        <v>0</v>
      </c>
      <c r="Z507" s="4">
        <v>10</v>
      </c>
      <c r="AA507" s="3">
        <v>67</v>
      </c>
      <c r="AB507" s="3">
        <v>0</v>
      </c>
      <c r="AC507" s="3">
        <v>0</v>
      </c>
      <c r="AD507" s="2">
        <v>-1</v>
      </c>
      <c r="AE507" s="2">
        <v>94.2</v>
      </c>
      <c r="AF507" s="2">
        <v>105.1</v>
      </c>
      <c r="AG507" s="2">
        <v>-10.9</v>
      </c>
      <c r="AH507" s="2">
        <v>13.6</v>
      </c>
      <c r="AI507" s="2">
        <v>2.2000000000000002</v>
      </c>
      <c r="AJ507" s="2">
        <v>18.600000000000001</v>
      </c>
      <c r="AK507" s="2">
        <v>0.8</v>
      </c>
      <c r="AL507" s="2">
        <v>8.6999999999999993</v>
      </c>
      <c r="AM507" s="2">
        <v>4.7</v>
      </c>
      <c r="AN507" s="2">
        <v>8.5</v>
      </c>
      <c r="AO507" s="2">
        <v>35.4</v>
      </c>
      <c r="AP507" s="2">
        <v>37.4</v>
      </c>
      <c r="AQ507" s="2">
        <v>16.5</v>
      </c>
      <c r="AR507" s="2">
        <v>105.44</v>
      </c>
      <c r="AS507" s="2">
        <v>2.9</v>
      </c>
      <c r="AT507" s="2">
        <v>259</v>
      </c>
      <c r="AU507" s="53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6"/>
    </row>
    <row r="508" spans="1:69" ht="13.2">
      <c r="A508" s="1" t="s">
        <v>1040</v>
      </c>
      <c r="B508" s="1" t="s">
        <v>1041</v>
      </c>
      <c r="C508" s="24" t="str">
        <f>VLOOKUP(B508,Equipe!$A$1:$B$31,2,FALSE)</f>
        <v>New York Knicks</v>
      </c>
      <c r="D508" s="2">
        <v>19</v>
      </c>
      <c r="E508" s="2">
        <v>18</v>
      </c>
      <c r="F508" s="2">
        <v>14</v>
      </c>
      <c r="G508" s="2">
        <v>4</v>
      </c>
      <c r="H508" s="2">
        <v>6.2</v>
      </c>
      <c r="I508" s="3">
        <v>31</v>
      </c>
      <c r="J508" s="4">
        <v>11</v>
      </c>
      <c r="K508" s="4">
        <v>31</v>
      </c>
      <c r="L508" s="3">
        <v>32.299999999999997</v>
      </c>
      <c r="M508" s="4">
        <v>5</v>
      </c>
      <c r="N508" s="4">
        <v>20</v>
      </c>
      <c r="O508" s="3">
        <v>31.6</v>
      </c>
      <c r="P508" s="3">
        <v>4</v>
      </c>
      <c r="Q508" s="3">
        <v>5</v>
      </c>
      <c r="R508" s="3">
        <v>66.7</v>
      </c>
      <c r="S508" s="4">
        <v>4</v>
      </c>
      <c r="T508" s="4">
        <v>14</v>
      </c>
      <c r="U508" s="4">
        <v>18</v>
      </c>
      <c r="V508" s="4">
        <v>5</v>
      </c>
      <c r="W508" s="4">
        <v>4</v>
      </c>
      <c r="X508" s="4">
        <v>4</v>
      </c>
      <c r="Y508" s="4">
        <v>2</v>
      </c>
      <c r="Z508" s="4">
        <v>7</v>
      </c>
      <c r="AA508" s="3">
        <v>70</v>
      </c>
      <c r="AB508" s="3">
        <v>0</v>
      </c>
      <c r="AC508" s="3">
        <v>0</v>
      </c>
      <c r="AD508" s="2">
        <v>-0.9</v>
      </c>
      <c r="AE508" s="2">
        <v>103.8</v>
      </c>
      <c r="AF508" s="2">
        <v>113</v>
      </c>
      <c r="AG508" s="2">
        <v>-9.1999999999999993</v>
      </c>
      <c r="AH508" s="2">
        <v>6.3</v>
      </c>
      <c r="AI508" s="2">
        <v>1.25</v>
      </c>
      <c r="AJ508" s="2">
        <v>11.9</v>
      </c>
      <c r="AK508" s="2">
        <v>2.8</v>
      </c>
      <c r="AL508" s="2">
        <v>12.8</v>
      </c>
      <c r="AM508" s="2">
        <v>8</v>
      </c>
      <c r="AN508" s="2">
        <v>9.5</v>
      </c>
      <c r="AO508" s="2">
        <v>41.9</v>
      </c>
      <c r="AP508" s="2">
        <v>44.6</v>
      </c>
      <c r="AQ508" s="2">
        <v>14.2</v>
      </c>
      <c r="AR508" s="2">
        <v>100.38</v>
      </c>
      <c r="AS508" s="2">
        <v>4.7</v>
      </c>
      <c r="AT508" s="2">
        <v>235</v>
      </c>
      <c r="AU508" s="53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6"/>
    </row>
    <row r="509" spans="1:69" ht="13.2">
      <c r="A509" s="1" t="s">
        <v>1042</v>
      </c>
      <c r="B509" s="1" t="s">
        <v>1043</v>
      </c>
      <c r="C509" s="24" t="str">
        <f>VLOOKUP(B509,Equipe!$A$1:$B$31,2,FALSE)</f>
        <v>Indiana Pacers</v>
      </c>
      <c r="D509" s="2">
        <v>24</v>
      </c>
      <c r="E509" s="2">
        <v>11</v>
      </c>
      <c r="F509" s="2">
        <v>7</v>
      </c>
      <c r="G509" s="2">
        <v>4</v>
      </c>
      <c r="H509" s="2">
        <v>6.4</v>
      </c>
      <c r="I509" s="3">
        <v>30</v>
      </c>
      <c r="J509" s="4">
        <v>11</v>
      </c>
      <c r="K509" s="4">
        <v>33</v>
      </c>
      <c r="L509" s="3">
        <v>33.299999999999997</v>
      </c>
      <c r="M509" s="4">
        <v>6</v>
      </c>
      <c r="N509" s="4">
        <v>21</v>
      </c>
      <c r="O509" s="3">
        <v>28.6</v>
      </c>
      <c r="P509" s="3">
        <v>2</v>
      </c>
      <c r="Q509" s="3">
        <v>2</v>
      </c>
      <c r="R509" s="3">
        <v>100</v>
      </c>
      <c r="S509" s="4">
        <v>2</v>
      </c>
      <c r="T509" s="4">
        <v>10</v>
      </c>
      <c r="U509" s="4">
        <v>12</v>
      </c>
      <c r="V509" s="4">
        <v>14</v>
      </c>
      <c r="W509" s="4">
        <v>6</v>
      </c>
      <c r="X509" s="4">
        <v>7</v>
      </c>
      <c r="Y509" s="4">
        <v>2</v>
      </c>
      <c r="Z509" s="4">
        <v>7</v>
      </c>
      <c r="AA509" s="3">
        <v>87</v>
      </c>
      <c r="AB509" s="3">
        <v>0</v>
      </c>
      <c r="AC509" s="3">
        <v>0</v>
      </c>
      <c r="AD509" s="2">
        <v>4</v>
      </c>
      <c r="AE509" s="2">
        <v>113.5</v>
      </c>
      <c r="AF509" s="2">
        <v>86.3</v>
      </c>
      <c r="AG509" s="2">
        <v>27.3</v>
      </c>
      <c r="AH509" s="2">
        <v>25.5</v>
      </c>
      <c r="AI509" s="2">
        <v>2.8</v>
      </c>
      <c r="AJ509" s="2">
        <v>26.4</v>
      </c>
      <c r="AK509" s="2">
        <v>2.5</v>
      </c>
      <c r="AL509" s="2">
        <v>11.6</v>
      </c>
      <c r="AM509" s="2">
        <v>7.3</v>
      </c>
      <c r="AN509" s="2">
        <v>9.4</v>
      </c>
      <c r="AO509" s="2">
        <v>42.4</v>
      </c>
      <c r="AP509" s="2">
        <v>44.3</v>
      </c>
      <c r="AQ509" s="2">
        <v>21.2</v>
      </c>
      <c r="AR509" s="2">
        <v>105.02</v>
      </c>
      <c r="AS509" s="2">
        <v>11</v>
      </c>
      <c r="AT509" s="2">
        <v>155</v>
      </c>
      <c r="AU509" s="53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6"/>
    </row>
    <row r="510" spans="1:69" ht="13.2">
      <c r="A510" s="1" t="s">
        <v>1044</v>
      </c>
      <c r="B510" s="1" t="s">
        <v>1045</v>
      </c>
      <c r="C510" s="24" t="str">
        <f>VLOOKUP(B510,Equipe!$A$1:$B$31,2,FALSE)</f>
        <v>Milwaukee Bucks</v>
      </c>
      <c r="D510" s="2">
        <v>21</v>
      </c>
      <c r="E510" s="2">
        <v>21</v>
      </c>
      <c r="F510" s="2">
        <v>15</v>
      </c>
      <c r="G510" s="2">
        <v>6</v>
      </c>
      <c r="H510" s="2">
        <v>5</v>
      </c>
      <c r="I510" s="3">
        <v>29</v>
      </c>
      <c r="J510" s="4">
        <v>8</v>
      </c>
      <c r="K510" s="4">
        <v>27</v>
      </c>
      <c r="L510" s="3">
        <v>33.299999999999997</v>
      </c>
      <c r="M510" s="3">
        <v>0</v>
      </c>
      <c r="N510" s="4">
        <v>8</v>
      </c>
      <c r="O510" s="3">
        <v>0</v>
      </c>
      <c r="P510" s="3">
        <v>13</v>
      </c>
      <c r="Q510" s="3">
        <v>17</v>
      </c>
      <c r="R510" s="3">
        <v>75</v>
      </c>
      <c r="S510" s="4">
        <v>11</v>
      </c>
      <c r="T510" s="4">
        <v>25</v>
      </c>
      <c r="U510" s="4">
        <v>36</v>
      </c>
      <c r="V510" s="4">
        <v>4</v>
      </c>
      <c r="W510" s="4">
        <v>6</v>
      </c>
      <c r="X510" s="4">
        <v>4</v>
      </c>
      <c r="Y510" s="3">
        <v>0</v>
      </c>
      <c r="Z510" s="4">
        <v>8</v>
      </c>
      <c r="AA510" s="3">
        <v>88</v>
      </c>
      <c r="AB510" s="3">
        <v>0</v>
      </c>
      <c r="AC510" s="3">
        <v>0</v>
      </c>
      <c r="AD510" s="2">
        <v>-1.4</v>
      </c>
      <c r="AE510" s="2">
        <v>89.6</v>
      </c>
      <c r="AF510" s="2">
        <v>102.2</v>
      </c>
      <c r="AG510" s="2">
        <v>-12.6</v>
      </c>
      <c r="AH510" s="2">
        <v>7.8</v>
      </c>
      <c r="AI510" s="2">
        <v>0.83</v>
      </c>
      <c r="AJ510" s="2">
        <v>11.1</v>
      </c>
      <c r="AK510" s="2">
        <v>9.1</v>
      </c>
      <c r="AL510" s="2">
        <v>19.8</v>
      </c>
      <c r="AM510" s="2">
        <v>14.8</v>
      </c>
      <c r="AN510" s="2">
        <v>13.3</v>
      </c>
      <c r="AO510" s="2">
        <v>33.299999999999997</v>
      </c>
      <c r="AP510" s="2">
        <v>44.1</v>
      </c>
      <c r="AQ510" s="2">
        <v>15</v>
      </c>
      <c r="AR510" s="2">
        <v>104.34</v>
      </c>
      <c r="AS510" s="2">
        <v>9.9</v>
      </c>
      <c r="AT510" s="2">
        <v>230</v>
      </c>
      <c r="AU510" s="53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6"/>
    </row>
    <row r="511" spans="1:69" ht="13.2">
      <c r="A511" s="1" t="s">
        <v>1046</v>
      </c>
      <c r="B511" s="1" t="s">
        <v>1047</v>
      </c>
      <c r="C511" s="24" t="str">
        <f>VLOOKUP(B511,Equipe!$A$1:$B$31,2,FALSE)</f>
        <v>New York Knicks</v>
      </c>
      <c r="D511" s="2">
        <v>28</v>
      </c>
      <c r="E511" s="2">
        <v>19</v>
      </c>
      <c r="F511" s="2">
        <v>14</v>
      </c>
      <c r="G511" s="2">
        <v>5</v>
      </c>
      <c r="H511" s="2">
        <v>3.6</v>
      </c>
      <c r="I511" s="3">
        <v>29</v>
      </c>
      <c r="J511" s="4">
        <v>10</v>
      </c>
      <c r="K511" s="4">
        <v>30</v>
      </c>
      <c r="L511" s="3">
        <v>32.299999999999997</v>
      </c>
      <c r="M511" s="4">
        <v>6</v>
      </c>
      <c r="N511" s="4">
        <v>19</v>
      </c>
      <c r="O511" s="3">
        <v>31.6</v>
      </c>
      <c r="P511" s="3">
        <v>2</v>
      </c>
      <c r="Q511" s="3">
        <v>2</v>
      </c>
      <c r="R511" s="3">
        <v>100</v>
      </c>
      <c r="S511" s="3">
        <v>0</v>
      </c>
      <c r="T511" s="4">
        <v>8</v>
      </c>
      <c r="U511" s="4">
        <v>8</v>
      </c>
      <c r="V511" s="4">
        <v>4</v>
      </c>
      <c r="W511" s="4">
        <v>4</v>
      </c>
      <c r="X511" s="4">
        <v>2</v>
      </c>
      <c r="Y511" s="3">
        <v>0</v>
      </c>
      <c r="Z511" s="4">
        <v>2</v>
      </c>
      <c r="AA511" s="3">
        <v>46</v>
      </c>
      <c r="AB511" s="3">
        <v>0</v>
      </c>
      <c r="AC511" s="3">
        <v>0</v>
      </c>
      <c r="AD511" s="2">
        <v>-2.1</v>
      </c>
      <c r="AE511" s="2">
        <v>80.5</v>
      </c>
      <c r="AF511" s="2">
        <v>108.8</v>
      </c>
      <c r="AG511" s="2">
        <v>-28.3</v>
      </c>
      <c r="AH511" s="2">
        <v>8.3000000000000007</v>
      </c>
      <c r="AI511" s="2">
        <v>1</v>
      </c>
      <c r="AJ511" s="2">
        <v>7.9</v>
      </c>
      <c r="AK511" s="2">
        <v>0</v>
      </c>
      <c r="AL511" s="2">
        <v>11.3</v>
      </c>
      <c r="AM511" s="2">
        <v>5.6</v>
      </c>
      <c r="AN511" s="2">
        <v>7.9</v>
      </c>
      <c r="AO511" s="2">
        <v>41.9</v>
      </c>
      <c r="AP511" s="2">
        <v>43.9</v>
      </c>
      <c r="AQ511" s="2">
        <v>20.8</v>
      </c>
      <c r="AR511" s="2">
        <v>104.75</v>
      </c>
      <c r="AS511" s="2">
        <v>6.2</v>
      </c>
      <c r="AT511" s="2">
        <v>149</v>
      </c>
      <c r="AU511" s="53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6"/>
    </row>
    <row r="512" spans="1:69" ht="13.2">
      <c r="A512" s="1" t="s">
        <v>1048</v>
      </c>
      <c r="B512" s="1" t="s">
        <v>1049</v>
      </c>
      <c r="C512" s="24" t="str">
        <f>VLOOKUP(B512,Equipe!$A$1:$B$31,2,FALSE)</f>
        <v>Charlotte Hornets</v>
      </c>
      <c r="D512" s="2">
        <v>26</v>
      </c>
      <c r="E512" s="2">
        <v>4</v>
      </c>
      <c r="F512" s="2">
        <v>1</v>
      </c>
      <c r="G512" s="2">
        <v>3</v>
      </c>
      <c r="H512" s="2">
        <v>19.8</v>
      </c>
      <c r="I512" s="3">
        <v>28</v>
      </c>
      <c r="J512" s="4">
        <v>11</v>
      </c>
      <c r="K512" s="4">
        <v>27</v>
      </c>
      <c r="L512" s="3">
        <v>40.700000000000003</v>
      </c>
      <c r="M512" s="4">
        <v>3</v>
      </c>
      <c r="N512" s="4">
        <v>8</v>
      </c>
      <c r="O512" s="3">
        <v>37.5</v>
      </c>
      <c r="P512" s="3">
        <v>3</v>
      </c>
      <c r="Q512" s="3">
        <v>4</v>
      </c>
      <c r="R512" s="3">
        <v>75</v>
      </c>
      <c r="S512" s="4">
        <v>1</v>
      </c>
      <c r="T512" s="4">
        <v>5</v>
      </c>
      <c r="U512" s="4">
        <v>6</v>
      </c>
      <c r="V512" s="4">
        <v>13</v>
      </c>
      <c r="W512" s="4">
        <v>6</v>
      </c>
      <c r="X512" s="4">
        <v>3</v>
      </c>
      <c r="Y512" s="4">
        <v>2</v>
      </c>
      <c r="Z512" s="4">
        <v>10</v>
      </c>
      <c r="AA512" s="3">
        <v>64</v>
      </c>
      <c r="AB512" s="3">
        <v>0</v>
      </c>
      <c r="AC512" s="3">
        <v>0</v>
      </c>
      <c r="AD512" s="2">
        <v>-9.8000000000000007</v>
      </c>
      <c r="AE512" s="2">
        <v>95.6</v>
      </c>
      <c r="AF512" s="2">
        <v>119.3</v>
      </c>
      <c r="AG512" s="2">
        <v>-23.6</v>
      </c>
      <c r="AH512" s="2">
        <v>25.5</v>
      </c>
      <c r="AI512" s="2">
        <v>2.17</v>
      </c>
      <c r="AJ512" s="2">
        <v>27.1</v>
      </c>
      <c r="AK512" s="2">
        <v>1.3</v>
      </c>
      <c r="AL512" s="2">
        <v>5.7</v>
      </c>
      <c r="AM512" s="2">
        <v>3.6</v>
      </c>
      <c r="AN512" s="2">
        <v>12.5</v>
      </c>
      <c r="AO512" s="2">
        <v>46.3</v>
      </c>
      <c r="AP512" s="2">
        <v>48.7</v>
      </c>
      <c r="AQ512" s="2">
        <v>19.3</v>
      </c>
      <c r="AR512" s="2">
        <v>97.05</v>
      </c>
      <c r="AS512" s="2">
        <v>5.7</v>
      </c>
      <c r="AT512" s="2">
        <v>160</v>
      </c>
      <c r="AU512" s="53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6"/>
    </row>
    <row r="513" spans="1:69" ht="13.2">
      <c r="A513" s="1" t="s">
        <v>1050</v>
      </c>
      <c r="B513" s="1" t="s">
        <v>1051</v>
      </c>
      <c r="C513" s="24" t="str">
        <f>VLOOKUP(B513,Equipe!$A$1:$B$31,2,FALSE)</f>
        <v>Miami Heat</v>
      </c>
      <c r="D513" s="2">
        <v>23</v>
      </c>
      <c r="E513" s="2">
        <v>14</v>
      </c>
      <c r="F513" s="2">
        <v>9</v>
      </c>
      <c r="G513" s="2">
        <v>5</v>
      </c>
      <c r="H513" s="2">
        <v>5</v>
      </c>
      <c r="I513" s="3">
        <v>28</v>
      </c>
      <c r="J513" s="4">
        <v>11</v>
      </c>
      <c r="K513" s="4">
        <v>31</v>
      </c>
      <c r="L513" s="3">
        <v>35.5</v>
      </c>
      <c r="M513" s="4">
        <v>1</v>
      </c>
      <c r="N513" s="4">
        <v>11</v>
      </c>
      <c r="O513" s="3">
        <v>18.2</v>
      </c>
      <c r="P513" s="3">
        <v>4</v>
      </c>
      <c r="Q513" s="3">
        <v>6</v>
      </c>
      <c r="R513" s="3">
        <v>66.7</v>
      </c>
      <c r="S513" s="3">
        <v>0</v>
      </c>
      <c r="T513" s="4">
        <v>8</v>
      </c>
      <c r="U513" s="4">
        <v>8</v>
      </c>
      <c r="V513" s="4">
        <v>8</v>
      </c>
      <c r="W513" s="4">
        <v>6</v>
      </c>
      <c r="X513" s="4">
        <v>6</v>
      </c>
      <c r="Y513" s="4">
        <v>3</v>
      </c>
      <c r="Z513" s="4">
        <v>1</v>
      </c>
      <c r="AA513" s="3">
        <v>69</v>
      </c>
      <c r="AB513" s="3">
        <v>0</v>
      </c>
      <c r="AC513" s="3">
        <v>0</v>
      </c>
      <c r="AD513" s="2">
        <v>-0.4</v>
      </c>
      <c r="AE513" s="2">
        <v>105.7</v>
      </c>
      <c r="AF513" s="2">
        <v>108.2</v>
      </c>
      <c r="AG513" s="2">
        <v>-2.5</v>
      </c>
      <c r="AH513" s="2">
        <v>14.5</v>
      </c>
      <c r="AI513" s="2">
        <v>1.33</v>
      </c>
      <c r="AJ513" s="2">
        <v>16.7</v>
      </c>
      <c r="AK513" s="2">
        <v>0</v>
      </c>
      <c r="AL513" s="2">
        <v>11.5</v>
      </c>
      <c r="AM513" s="2">
        <v>6.3</v>
      </c>
      <c r="AN513" s="2">
        <v>12.5</v>
      </c>
      <c r="AO513" s="2">
        <v>38.700000000000003</v>
      </c>
      <c r="AP513" s="2">
        <v>41.6</v>
      </c>
      <c r="AQ513" s="2">
        <v>23.5</v>
      </c>
      <c r="AR513" s="2">
        <v>109.7</v>
      </c>
      <c r="AS513" s="2">
        <v>6.3</v>
      </c>
      <c r="AT513" s="2">
        <v>158</v>
      </c>
      <c r="AU513" s="53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6"/>
    </row>
    <row r="514" spans="1:69" ht="13.2">
      <c r="A514" s="1" t="s">
        <v>1052</v>
      </c>
      <c r="B514" s="1" t="s">
        <v>1053</v>
      </c>
      <c r="C514" s="24" t="str">
        <f>VLOOKUP(B514,Equipe!$A$1:$B$31,2,FALSE)</f>
        <v>Denver Nuggets</v>
      </c>
      <c r="D514" s="2">
        <v>23</v>
      </c>
      <c r="E514" s="2">
        <v>20</v>
      </c>
      <c r="F514" s="2">
        <v>13</v>
      </c>
      <c r="G514" s="2">
        <v>7</v>
      </c>
      <c r="H514" s="2">
        <v>6.2</v>
      </c>
      <c r="I514" s="3">
        <v>26</v>
      </c>
      <c r="J514" s="4">
        <v>12</v>
      </c>
      <c r="K514" s="4">
        <v>34</v>
      </c>
      <c r="L514" s="3">
        <v>32.4</v>
      </c>
      <c r="M514" s="4">
        <v>2</v>
      </c>
      <c r="N514" s="4">
        <v>18</v>
      </c>
      <c r="O514" s="3">
        <v>5.9</v>
      </c>
      <c r="P514" s="3">
        <v>4</v>
      </c>
      <c r="Q514" s="3">
        <v>4</v>
      </c>
      <c r="R514" s="3">
        <v>100</v>
      </c>
      <c r="S514" s="4">
        <v>8</v>
      </c>
      <c r="T514" s="4">
        <v>10</v>
      </c>
      <c r="U514" s="4">
        <v>18</v>
      </c>
      <c r="V514" s="4">
        <v>6</v>
      </c>
      <c r="W514" s="4">
        <v>6</v>
      </c>
      <c r="X514" s="4">
        <v>6</v>
      </c>
      <c r="Y514" s="4">
        <v>6</v>
      </c>
      <c r="Z514" s="4">
        <v>18</v>
      </c>
      <c r="AA514" s="3">
        <v>78</v>
      </c>
      <c r="AB514" s="3">
        <v>0</v>
      </c>
      <c r="AC514" s="3">
        <v>0</v>
      </c>
      <c r="AD514" s="2">
        <v>-2.2999999999999998</v>
      </c>
      <c r="AE514" s="2">
        <v>89.4</v>
      </c>
      <c r="AF514" s="2">
        <v>107.4</v>
      </c>
      <c r="AG514" s="2">
        <v>-18</v>
      </c>
      <c r="AH514" s="2">
        <v>6</v>
      </c>
      <c r="AI514" s="2">
        <v>1</v>
      </c>
      <c r="AJ514" s="2">
        <v>11.1</v>
      </c>
      <c r="AK514" s="2">
        <v>5.7</v>
      </c>
      <c r="AL514" s="2">
        <v>6.7</v>
      </c>
      <c r="AM514" s="2">
        <v>6.2</v>
      </c>
      <c r="AN514" s="2">
        <v>11.1</v>
      </c>
      <c r="AO514" s="2">
        <v>33.799999999999997</v>
      </c>
      <c r="AP514" s="2">
        <v>36.799999999999997</v>
      </c>
      <c r="AQ514" s="2">
        <v>12.8</v>
      </c>
      <c r="AR514" s="2">
        <v>104.76</v>
      </c>
      <c r="AS514" s="2">
        <v>1.3</v>
      </c>
      <c r="AT514" s="2">
        <v>274</v>
      </c>
      <c r="AU514" s="53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6"/>
    </row>
    <row r="515" spans="1:69" ht="13.2">
      <c r="A515" s="1" t="s">
        <v>1054</v>
      </c>
      <c r="B515" s="1" t="s">
        <v>1055</v>
      </c>
      <c r="C515" s="24" t="str">
        <f>VLOOKUP(B515,Equipe!$A$1:$B$31,2,FALSE)</f>
        <v>Atlanta Hawks</v>
      </c>
      <c r="D515" s="2">
        <v>25</v>
      </c>
      <c r="E515" s="2">
        <v>17</v>
      </c>
      <c r="F515" s="2">
        <v>13</v>
      </c>
      <c r="G515" s="2">
        <v>4</v>
      </c>
      <c r="H515" s="2">
        <v>4.4000000000000004</v>
      </c>
      <c r="I515" s="3">
        <v>24</v>
      </c>
      <c r="J515" s="4">
        <v>9</v>
      </c>
      <c r="K515" s="4">
        <v>22</v>
      </c>
      <c r="L515" s="3">
        <v>40.9</v>
      </c>
      <c r="M515" s="4">
        <v>5</v>
      </c>
      <c r="N515" s="4">
        <v>10</v>
      </c>
      <c r="O515" s="3">
        <v>50</v>
      </c>
      <c r="P515" s="3">
        <v>0</v>
      </c>
      <c r="Q515" s="3">
        <v>0</v>
      </c>
      <c r="R515" s="3">
        <v>0</v>
      </c>
      <c r="S515" s="4">
        <v>3</v>
      </c>
      <c r="T515" s="4">
        <v>12</v>
      </c>
      <c r="U515" s="4">
        <v>15</v>
      </c>
      <c r="V515" s="4">
        <v>7</v>
      </c>
      <c r="W515" s="4">
        <v>3</v>
      </c>
      <c r="X515" s="4">
        <v>2</v>
      </c>
      <c r="Y515" s="3">
        <v>0</v>
      </c>
      <c r="Z515" s="4">
        <v>3</v>
      </c>
      <c r="AA515" s="3">
        <v>53</v>
      </c>
      <c r="AB515" s="3">
        <v>0</v>
      </c>
      <c r="AC515" s="3">
        <v>0</v>
      </c>
      <c r="AD515" s="2">
        <v>-1.5</v>
      </c>
      <c r="AE515" s="2">
        <v>89.9</v>
      </c>
      <c r="AF515" s="2">
        <v>104.4</v>
      </c>
      <c r="AG515" s="2">
        <v>-14.5</v>
      </c>
      <c r="AH515" s="2">
        <v>13.3</v>
      </c>
      <c r="AI515" s="2">
        <v>2</v>
      </c>
      <c r="AJ515" s="2">
        <v>19.399999999999999</v>
      </c>
      <c r="AK515" s="2">
        <v>4.0999999999999996</v>
      </c>
      <c r="AL515" s="2">
        <v>14.8</v>
      </c>
      <c r="AM515" s="2">
        <v>9.6999999999999993</v>
      </c>
      <c r="AN515" s="2">
        <v>9.6999999999999993</v>
      </c>
      <c r="AO515" s="2">
        <v>52.3</v>
      </c>
      <c r="AP515" s="2">
        <v>52.3</v>
      </c>
      <c r="AQ515" s="2">
        <v>14</v>
      </c>
      <c r="AR515" s="2">
        <v>101.56</v>
      </c>
      <c r="AS515" s="2">
        <v>9</v>
      </c>
      <c r="AT515" s="2">
        <v>158</v>
      </c>
      <c r="AU515" s="53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6"/>
    </row>
    <row r="516" spans="1:69" ht="13.2">
      <c r="A516" s="1" t="s">
        <v>1056</v>
      </c>
      <c r="B516" s="1" t="s">
        <v>1057</v>
      </c>
      <c r="C516" s="24" t="str">
        <f>VLOOKUP(B516,Equipe!$A$1:$B$31,2,FALSE)</f>
        <v>Dallas Mavericks</v>
      </c>
      <c r="D516" s="2">
        <v>22</v>
      </c>
      <c r="E516" s="2">
        <v>16</v>
      </c>
      <c r="F516" s="2">
        <v>8</v>
      </c>
      <c r="G516" s="2">
        <v>8</v>
      </c>
      <c r="H516" s="2">
        <v>3.5</v>
      </c>
      <c r="I516" s="3">
        <v>24</v>
      </c>
      <c r="J516" s="4">
        <v>10</v>
      </c>
      <c r="K516" s="4">
        <v>22</v>
      </c>
      <c r="L516" s="3">
        <v>39.1</v>
      </c>
      <c r="M516" s="4">
        <v>5</v>
      </c>
      <c r="N516" s="4">
        <v>11</v>
      </c>
      <c r="O516" s="3">
        <v>36.4</v>
      </c>
      <c r="P516" s="3">
        <v>2</v>
      </c>
      <c r="Q516" s="3">
        <v>5</v>
      </c>
      <c r="R516" s="3">
        <v>50</v>
      </c>
      <c r="S516" s="4">
        <v>2</v>
      </c>
      <c r="T516" s="4">
        <v>5</v>
      </c>
      <c r="U516" s="4">
        <v>5</v>
      </c>
      <c r="V516" s="4">
        <v>6</v>
      </c>
      <c r="W516" s="4">
        <v>5</v>
      </c>
      <c r="X516" s="4">
        <v>2</v>
      </c>
      <c r="Y516" s="4">
        <v>2</v>
      </c>
      <c r="Z516" s="4">
        <v>10</v>
      </c>
      <c r="AA516" s="3">
        <v>43</v>
      </c>
      <c r="AB516" s="3">
        <v>0</v>
      </c>
      <c r="AC516" s="3">
        <v>0</v>
      </c>
      <c r="AD516" s="2">
        <v>0.7</v>
      </c>
      <c r="AE516" s="2">
        <v>103.8</v>
      </c>
      <c r="AF516" s="2">
        <v>99.2</v>
      </c>
      <c r="AG516" s="2">
        <v>4.5999999999999996</v>
      </c>
      <c r="AH516" s="2">
        <v>15.4</v>
      </c>
      <c r="AI516" s="2">
        <v>1.2</v>
      </c>
      <c r="AJ516" s="2">
        <v>17.100000000000001</v>
      </c>
      <c r="AK516" s="2">
        <v>1.6</v>
      </c>
      <c r="AL516" s="2">
        <v>6.5</v>
      </c>
      <c r="AM516" s="2">
        <v>4</v>
      </c>
      <c r="AN516" s="2">
        <v>14.3</v>
      </c>
      <c r="AO516" s="2">
        <v>47.8</v>
      </c>
      <c r="AP516" s="2">
        <v>48.5</v>
      </c>
      <c r="AQ516" s="2">
        <v>19.5</v>
      </c>
      <c r="AR516" s="2">
        <v>109.79</v>
      </c>
      <c r="AS516" s="2">
        <v>3.1</v>
      </c>
      <c r="AT516" s="2">
        <v>132</v>
      </c>
      <c r="AU516" s="53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6"/>
    </row>
    <row r="517" spans="1:69" ht="13.2">
      <c r="A517" s="1" t="s">
        <v>1058</v>
      </c>
      <c r="B517" s="1" t="s">
        <v>1059</v>
      </c>
      <c r="C517" s="24" t="str">
        <f>VLOOKUP(B517,Equipe!$A$1:$B$31,2,FALSE)</f>
        <v>Houston Rockets</v>
      </c>
      <c r="D517" s="2">
        <v>23</v>
      </c>
      <c r="E517" s="2">
        <v>4</v>
      </c>
      <c r="F517" s="2">
        <v>0</v>
      </c>
      <c r="G517" s="2">
        <v>4</v>
      </c>
      <c r="H517" s="2">
        <v>12.7</v>
      </c>
      <c r="I517" s="3">
        <v>24</v>
      </c>
      <c r="J517" s="4">
        <v>10</v>
      </c>
      <c r="K517" s="4">
        <v>13</v>
      </c>
      <c r="L517" s="3">
        <v>76.900000000000006</v>
      </c>
      <c r="M517" s="3">
        <v>0</v>
      </c>
      <c r="N517" s="3">
        <v>0</v>
      </c>
      <c r="O517" s="3">
        <v>0</v>
      </c>
      <c r="P517" s="3">
        <v>4</v>
      </c>
      <c r="Q517" s="3">
        <v>5</v>
      </c>
      <c r="R517" s="3">
        <v>80</v>
      </c>
      <c r="S517" s="4">
        <v>6</v>
      </c>
      <c r="T517" s="4">
        <v>15</v>
      </c>
      <c r="U517" s="4">
        <v>21</v>
      </c>
      <c r="V517" s="4">
        <v>2</v>
      </c>
      <c r="W517" s="4">
        <v>2</v>
      </c>
      <c r="X517" s="4">
        <v>1</v>
      </c>
      <c r="Y517" s="4">
        <v>5</v>
      </c>
      <c r="Z517" s="4">
        <v>9</v>
      </c>
      <c r="AA517" s="3">
        <v>68</v>
      </c>
      <c r="AB517" s="3">
        <v>0</v>
      </c>
      <c r="AC517" s="3">
        <v>0</v>
      </c>
      <c r="AD517" s="2">
        <v>-2.8</v>
      </c>
      <c r="AE517" s="2">
        <v>114.9</v>
      </c>
      <c r="AF517" s="2">
        <v>123.5</v>
      </c>
      <c r="AG517" s="2">
        <v>-8.6</v>
      </c>
      <c r="AH517" s="2">
        <v>5</v>
      </c>
      <c r="AI517" s="2">
        <v>1</v>
      </c>
      <c r="AJ517" s="2">
        <v>10.5</v>
      </c>
      <c r="AK517" s="2">
        <v>12.2</v>
      </c>
      <c r="AL517" s="2">
        <v>26.8</v>
      </c>
      <c r="AM517" s="2">
        <v>20</v>
      </c>
      <c r="AN517" s="2">
        <v>10.5</v>
      </c>
      <c r="AO517" s="2">
        <v>76.900000000000006</v>
      </c>
      <c r="AP517" s="2">
        <v>78.900000000000006</v>
      </c>
      <c r="AQ517" s="2">
        <v>13.3</v>
      </c>
      <c r="AR517" s="2">
        <v>108.58</v>
      </c>
      <c r="AS517" s="2">
        <v>12.5</v>
      </c>
      <c r="AT517" s="2">
        <v>114</v>
      </c>
      <c r="AU517" s="53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6"/>
    </row>
    <row r="518" spans="1:69" ht="13.2">
      <c r="A518" s="1" t="s">
        <v>1064</v>
      </c>
      <c r="B518" s="1" t="s">
        <v>1065</v>
      </c>
      <c r="C518" s="24" t="str">
        <f>VLOOKUP(B518,Equipe!$A$1:$B$31,2,FALSE)</f>
        <v>Sacramento Kings</v>
      </c>
      <c r="D518" s="2">
        <v>26</v>
      </c>
      <c r="E518" s="2">
        <v>10</v>
      </c>
      <c r="F518" s="2">
        <v>4</v>
      </c>
      <c r="G518" s="2">
        <v>6</v>
      </c>
      <c r="H518" s="2">
        <v>4.5</v>
      </c>
      <c r="I518" s="3">
        <v>23</v>
      </c>
      <c r="J518" s="4">
        <v>9</v>
      </c>
      <c r="K518" s="4">
        <v>18</v>
      </c>
      <c r="L518" s="3">
        <v>50</v>
      </c>
      <c r="M518" s="4">
        <v>1</v>
      </c>
      <c r="N518" s="4">
        <v>8</v>
      </c>
      <c r="O518" s="3">
        <v>12.5</v>
      </c>
      <c r="P518" s="3">
        <v>4</v>
      </c>
      <c r="Q518" s="3">
        <v>5</v>
      </c>
      <c r="R518" s="3">
        <v>80</v>
      </c>
      <c r="S518" s="4">
        <v>2</v>
      </c>
      <c r="T518" s="4">
        <v>7</v>
      </c>
      <c r="U518" s="4">
        <v>9</v>
      </c>
      <c r="V518" s="4">
        <v>11</v>
      </c>
      <c r="W518" s="4">
        <v>1</v>
      </c>
      <c r="X518" s="3">
        <v>0</v>
      </c>
      <c r="Y518" s="4">
        <v>1</v>
      </c>
      <c r="Z518" s="4">
        <v>3</v>
      </c>
      <c r="AA518" s="3">
        <v>52</v>
      </c>
      <c r="AB518" s="3">
        <v>0</v>
      </c>
      <c r="AC518" s="3">
        <v>0</v>
      </c>
      <c r="AD518" s="2">
        <v>0.1</v>
      </c>
      <c r="AE518" s="2">
        <v>107.4</v>
      </c>
      <c r="AF518" s="2">
        <v>105.3</v>
      </c>
      <c r="AG518" s="2">
        <v>2.2000000000000002</v>
      </c>
      <c r="AH518" s="2">
        <v>37.9</v>
      </c>
      <c r="AI518" s="2">
        <v>11</v>
      </c>
      <c r="AJ518" s="2">
        <v>34.4</v>
      </c>
      <c r="AK518" s="2">
        <v>4.5</v>
      </c>
      <c r="AL518" s="2">
        <v>14.9</v>
      </c>
      <c r="AM518" s="2">
        <v>9.9</v>
      </c>
      <c r="AN518" s="2">
        <v>3.1</v>
      </c>
      <c r="AO518" s="2">
        <v>52.8</v>
      </c>
      <c r="AP518" s="2">
        <v>56.9</v>
      </c>
      <c r="AQ518" s="2">
        <v>19.3</v>
      </c>
      <c r="AR518" s="2">
        <v>99.93</v>
      </c>
      <c r="AS518" s="2">
        <v>15.9</v>
      </c>
      <c r="AT518" s="2">
        <v>94</v>
      </c>
      <c r="AU518" s="53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6"/>
    </row>
    <row r="519" spans="1:69" ht="13.2">
      <c r="A519" s="1" t="s">
        <v>1060</v>
      </c>
      <c r="B519" s="1" t="s">
        <v>1061</v>
      </c>
      <c r="C519" s="24" t="str">
        <f>VLOOKUP(B519,Equipe!$A$1:$B$31,2,FALSE)</f>
        <v>Denver Nuggets</v>
      </c>
      <c r="D519" s="2">
        <v>28</v>
      </c>
      <c r="E519" s="2">
        <v>13</v>
      </c>
      <c r="F519" s="2">
        <v>2</v>
      </c>
      <c r="G519" s="2">
        <v>11</v>
      </c>
      <c r="H519" s="2">
        <v>10.4</v>
      </c>
      <c r="I519" s="3">
        <v>23</v>
      </c>
      <c r="J519" s="4">
        <v>10</v>
      </c>
      <c r="K519" s="4">
        <v>26</v>
      </c>
      <c r="L519" s="3">
        <v>38.5</v>
      </c>
      <c r="M519" s="4">
        <v>4</v>
      </c>
      <c r="N519" s="4">
        <v>16</v>
      </c>
      <c r="O519" s="3">
        <v>26.7</v>
      </c>
      <c r="P519" s="3">
        <v>0</v>
      </c>
      <c r="Q519" s="3">
        <v>0</v>
      </c>
      <c r="R519" s="3">
        <v>0</v>
      </c>
      <c r="S519" s="4">
        <v>7</v>
      </c>
      <c r="T519" s="4">
        <v>26</v>
      </c>
      <c r="U519" s="4">
        <v>33</v>
      </c>
      <c r="V519" s="4">
        <v>9</v>
      </c>
      <c r="W519" s="4">
        <v>10</v>
      </c>
      <c r="X519" s="4">
        <v>3</v>
      </c>
      <c r="Y519" s="4">
        <v>3</v>
      </c>
      <c r="Z519" s="4">
        <v>10</v>
      </c>
      <c r="AA519" s="3">
        <v>79</v>
      </c>
      <c r="AB519" s="3">
        <v>0</v>
      </c>
      <c r="AC519" s="3">
        <v>0</v>
      </c>
      <c r="AD519" s="2">
        <v>-1.4</v>
      </c>
      <c r="AE519" s="2">
        <v>93.5</v>
      </c>
      <c r="AF519" s="2">
        <v>100.3</v>
      </c>
      <c r="AG519" s="2">
        <v>-6.9</v>
      </c>
      <c r="AH519" s="2">
        <v>9.5</v>
      </c>
      <c r="AI519" s="2">
        <v>0.82</v>
      </c>
      <c r="AJ519" s="2">
        <v>19.600000000000001</v>
      </c>
      <c r="AK519" s="2">
        <v>3.8</v>
      </c>
      <c r="AL519" s="2">
        <v>17</v>
      </c>
      <c r="AM519" s="2">
        <v>10.199999999999999</v>
      </c>
      <c r="AN519" s="2">
        <v>23.9</v>
      </c>
      <c r="AO519" s="2">
        <v>46.2</v>
      </c>
      <c r="AP519" s="2">
        <v>46.2</v>
      </c>
      <c r="AQ519" s="2">
        <v>10.9</v>
      </c>
      <c r="AR519" s="2">
        <v>102.84</v>
      </c>
      <c r="AS519" s="2">
        <v>6.2</v>
      </c>
      <c r="AT519" s="2">
        <v>292</v>
      </c>
      <c r="AU519" s="53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6"/>
    </row>
    <row r="520" spans="1:69" ht="13.2">
      <c r="A520" s="1" t="s">
        <v>1062</v>
      </c>
      <c r="B520" s="1" t="s">
        <v>1063</v>
      </c>
      <c r="C520" s="24" t="str">
        <f>VLOOKUP(B520,Equipe!$A$1:$B$31,2,FALSE)</f>
        <v>Sacramento Kings</v>
      </c>
      <c r="D520" s="2">
        <v>34</v>
      </c>
      <c r="E520" s="2">
        <v>9</v>
      </c>
      <c r="F520" s="2">
        <v>3</v>
      </c>
      <c r="G520" s="2">
        <v>6</v>
      </c>
      <c r="H520" s="2">
        <v>11.4</v>
      </c>
      <c r="I520" s="3">
        <v>23</v>
      </c>
      <c r="J520" s="4">
        <v>7</v>
      </c>
      <c r="K520" s="4">
        <v>22</v>
      </c>
      <c r="L520" s="3">
        <v>31.8</v>
      </c>
      <c r="M520" s="4">
        <v>4</v>
      </c>
      <c r="N520" s="4">
        <v>15</v>
      </c>
      <c r="O520" s="3">
        <v>26.7</v>
      </c>
      <c r="P520" s="3">
        <v>5</v>
      </c>
      <c r="Q520" s="3">
        <v>6</v>
      </c>
      <c r="R520" s="3">
        <v>83.3</v>
      </c>
      <c r="S520" s="4">
        <v>6</v>
      </c>
      <c r="T520" s="4">
        <v>14</v>
      </c>
      <c r="U520" s="4">
        <v>20</v>
      </c>
      <c r="V520" s="4">
        <v>6</v>
      </c>
      <c r="W520" s="4">
        <v>4</v>
      </c>
      <c r="X520" s="4">
        <v>3</v>
      </c>
      <c r="Y520" s="3">
        <v>0</v>
      </c>
      <c r="Z520" s="4">
        <v>10</v>
      </c>
      <c r="AA520" s="3">
        <v>61</v>
      </c>
      <c r="AB520" s="3">
        <v>0</v>
      </c>
      <c r="AC520" s="3">
        <v>0</v>
      </c>
      <c r="AD520" s="2">
        <v>-2</v>
      </c>
      <c r="AE520" s="2">
        <v>101.9</v>
      </c>
      <c r="AF520" s="2">
        <v>109.2</v>
      </c>
      <c r="AG520" s="2">
        <v>-7.4</v>
      </c>
      <c r="AH520" s="2">
        <v>7.7</v>
      </c>
      <c r="AI520" s="2">
        <v>1.5</v>
      </c>
      <c r="AJ520" s="2">
        <v>17.600000000000001</v>
      </c>
      <c r="AK520" s="2">
        <v>5.5</v>
      </c>
      <c r="AL520" s="2">
        <v>13.3</v>
      </c>
      <c r="AM520" s="2">
        <v>9.3000000000000007</v>
      </c>
      <c r="AN520" s="2">
        <v>11.8</v>
      </c>
      <c r="AO520" s="2">
        <v>40.9</v>
      </c>
      <c r="AP520" s="2">
        <v>46.7</v>
      </c>
      <c r="AQ520" s="2">
        <v>11.3</v>
      </c>
      <c r="AR520" s="2">
        <v>100.89</v>
      </c>
      <c r="AS520" s="2">
        <v>4.8</v>
      </c>
      <c r="AT520" s="2">
        <v>215</v>
      </c>
      <c r="AU520" s="53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6"/>
    </row>
    <row r="521" spans="1:69" ht="13.2">
      <c r="A521" s="1" t="s">
        <v>1068</v>
      </c>
      <c r="B521" s="1" t="s">
        <v>1069</v>
      </c>
      <c r="C521" s="24" t="str">
        <f>VLOOKUP(B521,Equipe!$A$1:$B$31,2,FALSE)</f>
        <v>Golden State Warriors</v>
      </c>
      <c r="D521" s="2">
        <v>28</v>
      </c>
      <c r="E521" s="2">
        <v>6</v>
      </c>
      <c r="F521" s="2">
        <v>4</v>
      </c>
      <c r="G521" s="2">
        <v>2</v>
      </c>
      <c r="H521" s="2">
        <v>8.6</v>
      </c>
      <c r="I521" s="3">
        <v>22</v>
      </c>
      <c r="J521" s="4">
        <v>8</v>
      </c>
      <c r="K521" s="4">
        <v>17</v>
      </c>
      <c r="L521" s="3">
        <v>47.1</v>
      </c>
      <c r="M521" s="4">
        <v>3</v>
      </c>
      <c r="N521" s="4">
        <v>10</v>
      </c>
      <c r="O521" s="3">
        <v>30</v>
      </c>
      <c r="P521" s="3">
        <v>3</v>
      </c>
      <c r="Q521" s="3">
        <v>6</v>
      </c>
      <c r="R521" s="3">
        <v>50</v>
      </c>
      <c r="S521" s="4">
        <v>3</v>
      </c>
      <c r="T521" s="4">
        <v>8</v>
      </c>
      <c r="U521" s="4">
        <v>11</v>
      </c>
      <c r="V521" s="4">
        <v>4</v>
      </c>
      <c r="W521" s="4">
        <v>1</v>
      </c>
      <c r="X521" s="4">
        <v>4</v>
      </c>
      <c r="Y521" s="3">
        <v>0</v>
      </c>
      <c r="Z521" s="4">
        <v>4</v>
      </c>
      <c r="AA521" s="3">
        <v>52</v>
      </c>
      <c r="AB521" s="3">
        <v>0</v>
      </c>
      <c r="AC521" s="3">
        <v>0</v>
      </c>
      <c r="AD521" s="2">
        <v>3.8</v>
      </c>
      <c r="AE521" s="2">
        <v>116.4</v>
      </c>
      <c r="AF521" s="2">
        <v>103.5</v>
      </c>
      <c r="AG521" s="2">
        <v>12.9</v>
      </c>
      <c r="AH521" s="2">
        <v>10</v>
      </c>
      <c r="AI521" s="2">
        <v>4</v>
      </c>
      <c r="AJ521" s="2">
        <v>16</v>
      </c>
      <c r="AK521" s="2">
        <v>4.5999999999999996</v>
      </c>
      <c r="AL521" s="2">
        <v>16.7</v>
      </c>
      <c r="AM521" s="2">
        <v>9.6999999999999993</v>
      </c>
      <c r="AN521" s="2">
        <v>4</v>
      </c>
      <c r="AO521" s="2">
        <v>55.9</v>
      </c>
      <c r="AP521" s="2">
        <v>56</v>
      </c>
      <c r="AQ521" s="2">
        <v>14.2</v>
      </c>
      <c r="AR521" s="2">
        <v>109.95</v>
      </c>
      <c r="AS521" s="2">
        <v>10.1</v>
      </c>
      <c r="AT521" s="2">
        <v>122</v>
      </c>
      <c r="AU521" s="53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6"/>
    </row>
    <row r="522" spans="1:69" ht="13.2">
      <c r="A522" s="8" t="s">
        <v>1066</v>
      </c>
      <c r="B522" s="1" t="s">
        <v>1067</v>
      </c>
      <c r="C522" s="24" t="str">
        <f>VLOOKUP(B522,Equipe!$A$1:$B$31,2,FALSE)</f>
        <v>Chicago Bulls</v>
      </c>
      <c r="D522" s="2">
        <v>24</v>
      </c>
      <c r="E522" s="2">
        <v>12</v>
      </c>
      <c r="F522" s="2">
        <v>6</v>
      </c>
      <c r="G522" s="2">
        <v>6</v>
      </c>
      <c r="H522" s="2">
        <v>4.4000000000000004</v>
      </c>
      <c r="I522" s="3">
        <v>22</v>
      </c>
      <c r="J522" s="4">
        <v>8</v>
      </c>
      <c r="K522" s="4">
        <v>16</v>
      </c>
      <c r="L522" s="3">
        <v>53.3</v>
      </c>
      <c r="M522" s="4">
        <v>4</v>
      </c>
      <c r="N522" s="4">
        <v>10</v>
      </c>
      <c r="O522" s="3">
        <v>30</v>
      </c>
      <c r="P522" s="3">
        <v>2</v>
      </c>
      <c r="Q522" s="3">
        <v>2</v>
      </c>
      <c r="R522" s="3">
        <v>100</v>
      </c>
      <c r="S522" s="4">
        <v>4</v>
      </c>
      <c r="T522" s="4">
        <v>6</v>
      </c>
      <c r="U522" s="4">
        <v>10</v>
      </c>
      <c r="V522" s="4">
        <v>4</v>
      </c>
      <c r="W522" s="4">
        <v>2</v>
      </c>
      <c r="X522" s="4">
        <v>1</v>
      </c>
      <c r="Y522" s="4">
        <v>1</v>
      </c>
      <c r="Z522" s="4">
        <v>11</v>
      </c>
      <c r="AA522" s="3">
        <v>41</v>
      </c>
      <c r="AB522" s="3">
        <v>0</v>
      </c>
      <c r="AC522" s="3">
        <v>0</v>
      </c>
      <c r="AD522" s="2">
        <v>-0.7</v>
      </c>
      <c r="AE522" s="2">
        <v>117.9</v>
      </c>
      <c r="AF522" s="2">
        <v>126.4</v>
      </c>
      <c r="AG522" s="2">
        <v>-8.6</v>
      </c>
      <c r="AH522" s="2">
        <v>6.4</v>
      </c>
      <c r="AI522" s="2">
        <v>1.5</v>
      </c>
      <c r="AJ522" s="2">
        <v>14.3</v>
      </c>
      <c r="AK522" s="2">
        <v>6.5</v>
      </c>
      <c r="AL522" s="2">
        <v>10.199999999999999</v>
      </c>
      <c r="AM522" s="2">
        <v>8.6</v>
      </c>
      <c r="AN522" s="2">
        <v>9.5</v>
      </c>
      <c r="AO522" s="2">
        <v>63.3</v>
      </c>
      <c r="AP522" s="2">
        <v>66.099999999999994</v>
      </c>
      <c r="AQ522" s="2">
        <v>13</v>
      </c>
      <c r="AR522" s="2">
        <v>110.79</v>
      </c>
      <c r="AS522" s="2">
        <v>4.7</v>
      </c>
      <c r="AT522" s="2">
        <v>123</v>
      </c>
      <c r="AU522" s="53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6"/>
    </row>
    <row r="523" spans="1:69" ht="13.2">
      <c r="A523" s="1" t="s">
        <v>1070</v>
      </c>
      <c r="B523" s="1" t="s">
        <v>1071</v>
      </c>
      <c r="C523" s="24" t="str">
        <f>VLOOKUP(B523,Equipe!$A$1:$B$31,2,FALSE)</f>
        <v>Minnesota Timberwolves</v>
      </c>
      <c r="D523" s="2">
        <v>21</v>
      </c>
      <c r="E523" s="2">
        <v>13</v>
      </c>
      <c r="F523" s="2">
        <v>11</v>
      </c>
      <c r="G523" s="2">
        <v>2</v>
      </c>
      <c r="H523" s="2">
        <v>2.4</v>
      </c>
      <c r="I523" s="3">
        <v>20</v>
      </c>
      <c r="J523" s="4">
        <v>7</v>
      </c>
      <c r="K523" s="4">
        <v>16</v>
      </c>
      <c r="L523" s="3">
        <v>40</v>
      </c>
      <c r="M523" s="3">
        <v>0</v>
      </c>
      <c r="N523" s="4">
        <v>5</v>
      </c>
      <c r="O523" s="3">
        <v>0</v>
      </c>
      <c r="P523" s="3">
        <v>8</v>
      </c>
      <c r="Q523" s="3">
        <v>8</v>
      </c>
      <c r="R523" s="3">
        <v>100</v>
      </c>
      <c r="S523" s="4">
        <v>3</v>
      </c>
      <c r="T523" s="4">
        <v>8</v>
      </c>
      <c r="U523" s="4">
        <v>10</v>
      </c>
      <c r="V523" s="3">
        <v>0</v>
      </c>
      <c r="W523" s="4">
        <v>3</v>
      </c>
      <c r="X523" s="4">
        <v>3</v>
      </c>
      <c r="Y523" s="4">
        <v>1</v>
      </c>
      <c r="Z523" s="4">
        <v>3</v>
      </c>
      <c r="AA523" s="3">
        <v>40</v>
      </c>
      <c r="AB523" s="3">
        <v>0</v>
      </c>
      <c r="AC523" s="3">
        <v>0</v>
      </c>
      <c r="AD523" s="2">
        <v>-0.9</v>
      </c>
      <c r="AE523" s="2">
        <v>79.2</v>
      </c>
      <c r="AF523" s="2">
        <v>98.6</v>
      </c>
      <c r="AG523" s="2">
        <v>-19.399999999999999</v>
      </c>
      <c r="AH523" s="2">
        <v>0</v>
      </c>
      <c r="AI523" s="2">
        <v>0</v>
      </c>
      <c r="AJ523" s="2">
        <v>0</v>
      </c>
      <c r="AK523" s="2">
        <v>7.3</v>
      </c>
      <c r="AL523" s="2">
        <v>22.9</v>
      </c>
      <c r="AM523" s="2">
        <v>14.5</v>
      </c>
      <c r="AN523" s="2">
        <v>9.5</v>
      </c>
      <c r="AO523" s="2">
        <v>40</v>
      </c>
      <c r="AP523" s="2">
        <v>54</v>
      </c>
      <c r="AQ523" s="2">
        <v>23.9</v>
      </c>
      <c r="AR523" s="2">
        <v>107.87</v>
      </c>
      <c r="AS523" s="2">
        <v>20.2</v>
      </c>
      <c r="AT523" s="2">
        <v>72</v>
      </c>
      <c r="AU523" s="53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6"/>
    </row>
    <row r="524" spans="1:69" ht="13.2">
      <c r="A524" s="1" t="s">
        <v>1072</v>
      </c>
      <c r="B524" s="1" t="s">
        <v>1073</v>
      </c>
      <c r="C524" s="24" t="str">
        <f>VLOOKUP(B524,Equipe!$A$1:$B$31,2,FALSE)</f>
        <v>Los Angeles Clippers</v>
      </c>
      <c r="D524" s="2">
        <v>19</v>
      </c>
      <c r="E524" s="2">
        <v>13</v>
      </c>
      <c r="F524" s="2">
        <v>10</v>
      </c>
      <c r="G524" s="2">
        <v>3</v>
      </c>
      <c r="H524" s="2">
        <v>4.5</v>
      </c>
      <c r="I524" s="3">
        <v>18</v>
      </c>
      <c r="J524" s="4">
        <v>7</v>
      </c>
      <c r="K524" s="4">
        <v>23</v>
      </c>
      <c r="L524" s="3">
        <v>29.2</v>
      </c>
      <c r="M524" s="4">
        <v>3</v>
      </c>
      <c r="N524" s="4">
        <v>13</v>
      </c>
      <c r="O524" s="3">
        <v>15.4</v>
      </c>
      <c r="P524" s="3">
        <v>3</v>
      </c>
      <c r="Q524" s="3">
        <v>4</v>
      </c>
      <c r="R524" s="3">
        <v>50</v>
      </c>
      <c r="S524" s="4">
        <v>3</v>
      </c>
      <c r="T524" s="4">
        <v>9</v>
      </c>
      <c r="U524" s="4">
        <v>12</v>
      </c>
      <c r="V524" s="4">
        <v>7</v>
      </c>
      <c r="W524" s="4">
        <v>3</v>
      </c>
      <c r="X524" s="4">
        <v>5</v>
      </c>
      <c r="Y524" s="4">
        <v>1</v>
      </c>
      <c r="Z524" s="4">
        <v>4</v>
      </c>
      <c r="AA524" s="3">
        <v>57</v>
      </c>
      <c r="AB524" s="3">
        <v>0</v>
      </c>
      <c r="AC524" s="3">
        <v>0</v>
      </c>
      <c r="AD524" s="2">
        <v>-0.8</v>
      </c>
      <c r="AE524" s="2">
        <v>97.6</v>
      </c>
      <c r="AF524" s="2">
        <v>105.6</v>
      </c>
      <c r="AG524" s="2">
        <v>-7.9</v>
      </c>
      <c r="AH524" s="2">
        <v>16.7</v>
      </c>
      <c r="AI524" s="2">
        <v>3</v>
      </c>
      <c r="AJ524" s="2">
        <v>17.600000000000001</v>
      </c>
      <c r="AK524" s="2">
        <v>5.0999999999999996</v>
      </c>
      <c r="AL524" s="2">
        <v>14.1</v>
      </c>
      <c r="AM524" s="2">
        <v>9.8000000000000007</v>
      </c>
      <c r="AN524" s="2">
        <v>5.9</v>
      </c>
      <c r="AO524" s="2">
        <v>33.299999999999997</v>
      </c>
      <c r="AP524" s="2">
        <v>34.9</v>
      </c>
      <c r="AQ524" s="2">
        <v>19.2</v>
      </c>
      <c r="AR524" s="2">
        <v>103.12</v>
      </c>
      <c r="AS524" s="2">
        <v>7</v>
      </c>
      <c r="AT524" s="2">
        <v>126</v>
      </c>
      <c r="AU524" s="53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6"/>
    </row>
    <row r="525" spans="1:69" ht="13.2">
      <c r="A525" s="1" t="s">
        <v>1074</v>
      </c>
      <c r="B525" s="1" t="s">
        <v>1075</v>
      </c>
      <c r="C525" s="24" t="str">
        <f>VLOOKUP(B525,Equipe!$A$1:$B$31,2,FALSE)</f>
        <v>Milwaukee Bucks</v>
      </c>
      <c r="D525" s="2">
        <v>25</v>
      </c>
      <c r="E525" s="2">
        <v>5</v>
      </c>
      <c r="F525" s="2">
        <v>4</v>
      </c>
      <c r="G525" s="2">
        <v>1</v>
      </c>
      <c r="H525" s="2">
        <v>12.3</v>
      </c>
      <c r="I525" s="3">
        <v>17</v>
      </c>
      <c r="J525" s="4">
        <v>6</v>
      </c>
      <c r="K525" s="4">
        <v>12</v>
      </c>
      <c r="L525" s="3">
        <v>50</v>
      </c>
      <c r="M525" s="4">
        <v>1</v>
      </c>
      <c r="N525" s="4">
        <v>5</v>
      </c>
      <c r="O525" s="3">
        <v>20</v>
      </c>
      <c r="P525" s="3">
        <v>4</v>
      </c>
      <c r="Q525" s="3">
        <v>6</v>
      </c>
      <c r="R525" s="3">
        <v>66.7</v>
      </c>
      <c r="S525" s="4">
        <v>1</v>
      </c>
      <c r="T525" s="4">
        <v>4</v>
      </c>
      <c r="U525" s="4">
        <v>5</v>
      </c>
      <c r="V525" s="4">
        <v>10</v>
      </c>
      <c r="W525" s="4">
        <v>8</v>
      </c>
      <c r="X525" s="4">
        <v>4</v>
      </c>
      <c r="Y525" s="4">
        <v>2</v>
      </c>
      <c r="Z525" s="4">
        <v>2</v>
      </c>
      <c r="AA525" s="3">
        <v>48</v>
      </c>
      <c r="AB525" s="3">
        <v>0</v>
      </c>
      <c r="AC525" s="3">
        <v>0</v>
      </c>
      <c r="AD525" s="2">
        <v>0.4</v>
      </c>
      <c r="AE525" s="2">
        <v>118.5</v>
      </c>
      <c r="AF525" s="2">
        <v>117.8</v>
      </c>
      <c r="AG525" s="2">
        <v>0.6</v>
      </c>
      <c r="AH525" s="2">
        <v>21.3</v>
      </c>
      <c r="AI525" s="2">
        <v>1.25</v>
      </c>
      <c r="AJ525" s="2">
        <v>30.3</v>
      </c>
      <c r="AK525" s="2">
        <v>1.9</v>
      </c>
      <c r="AL525" s="2">
        <v>5.8</v>
      </c>
      <c r="AM525" s="2">
        <v>4.0999999999999996</v>
      </c>
      <c r="AN525" s="2">
        <v>24.2</v>
      </c>
      <c r="AO525" s="2">
        <v>54.2</v>
      </c>
      <c r="AP525" s="2">
        <v>58.1</v>
      </c>
      <c r="AQ525" s="2">
        <v>16.3</v>
      </c>
      <c r="AR525" s="2">
        <v>100.75</v>
      </c>
      <c r="AS525" s="2">
        <v>6.7</v>
      </c>
      <c r="AT525" s="2">
        <v>130</v>
      </c>
      <c r="AU525" s="53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6"/>
    </row>
    <row r="526" spans="1:69" ht="13.2">
      <c r="A526" s="1" t="s">
        <v>1076</v>
      </c>
      <c r="B526" s="1" t="s">
        <v>1077</v>
      </c>
      <c r="C526" s="24" t="str">
        <f>VLOOKUP(B526,Equipe!$A$1:$B$31,2,FALSE)</f>
        <v>Portland Trail Blazers</v>
      </c>
      <c r="D526" s="2">
        <v>26</v>
      </c>
      <c r="E526" s="2">
        <v>19</v>
      </c>
      <c r="F526" s="2">
        <v>8</v>
      </c>
      <c r="G526" s="2">
        <v>11</v>
      </c>
      <c r="H526" s="2">
        <v>5.3</v>
      </c>
      <c r="I526" s="3">
        <v>17</v>
      </c>
      <c r="J526" s="4">
        <v>8</v>
      </c>
      <c r="K526" s="4">
        <v>21</v>
      </c>
      <c r="L526" s="3">
        <v>38.1</v>
      </c>
      <c r="M526" s="4">
        <v>2</v>
      </c>
      <c r="N526" s="4">
        <v>10</v>
      </c>
      <c r="O526" s="3">
        <v>20</v>
      </c>
      <c r="P526" s="3">
        <v>0</v>
      </c>
      <c r="Q526" s="3">
        <v>2</v>
      </c>
      <c r="R526" s="3">
        <v>0</v>
      </c>
      <c r="S526" s="4">
        <v>6</v>
      </c>
      <c r="T526" s="4">
        <v>6</v>
      </c>
      <c r="U526" s="4">
        <v>10</v>
      </c>
      <c r="V526" s="4">
        <v>8</v>
      </c>
      <c r="W526" s="4">
        <v>6</v>
      </c>
      <c r="X526" s="4">
        <v>6</v>
      </c>
      <c r="Y526" s="4">
        <v>2</v>
      </c>
      <c r="Z526" s="4">
        <v>11</v>
      </c>
      <c r="AA526" s="3">
        <v>57</v>
      </c>
      <c r="AB526" s="3">
        <v>0</v>
      </c>
      <c r="AC526" s="3">
        <v>0</v>
      </c>
      <c r="AD526" s="2">
        <v>-0.6</v>
      </c>
      <c r="AE526" s="2">
        <v>95</v>
      </c>
      <c r="AF526" s="2">
        <v>101.9</v>
      </c>
      <c r="AG526" s="2">
        <v>-6.9</v>
      </c>
      <c r="AH526" s="2">
        <v>10.8</v>
      </c>
      <c r="AI526" s="2">
        <v>1.4</v>
      </c>
      <c r="AJ526" s="2">
        <v>20.6</v>
      </c>
      <c r="AK526" s="2">
        <v>4.7</v>
      </c>
      <c r="AL526" s="2">
        <v>5.5</v>
      </c>
      <c r="AM526" s="2">
        <v>5.0999999999999996</v>
      </c>
      <c r="AN526" s="2">
        <v>14.7</v>
      </c>
      <c r="AO526" s="2">
        <v>42.9</v>
      </c>
      <c r="AP526" s="2">
        <v>41.1</v>
      </c>
      <c r="AQ526" s="2">
        <v>10.7</v>
      </c>
      <c r="AR526" s="2">
        <v>103.22</v>
      </c>
      <c r="AS526" s="2">
        <v>2</v>
      </c>
      <c r="AT526" s="2">
        <v>218</v>
      </c>
      <c r="AU526" s="53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6"/>
    </row>
    <row r="527" spans="1:69" ht="13.2">
      <c r="A527" s="1" t="s">
        <v>1078</v>
      </c>
      <c r="B527" s="1" t="s">
        <v>1079</v>
      </c>
      <c r="C527" s="24" t="str">
        <f>VLOOKUP(B527,Equipe!$A$1:$B$31,2,FALSE)</f>
        <v>Charlotte Hornets</v>
      </c>
      <c r="D527" s="2">
        <v>27</v>
      </c>
      <c r="E527" s="2">
        <v>4</v>
      </c>
      <c r="F527" s="2">
        <v>2</v>
      </c>
      <c r="G527" s="2">
        <v>2</v>
      </c>
      <c r="H527" s="2">
        <v>10.9</v>
      </c>
      <c r="I527" s="3">
        <v>16</v>
      </c>
      <c r="J527" s="4">
        <v>5</v>
      </c>
      <c r="K527" s="4">
        <v>13</v>
      </c>
      <c r="L527" s="3">
        <v>38.5</v>
      </c>
      <c r="M527" s="4">
        <v>1</v>
      </c>
      <c r="N527" s="4">
        <v>4</v>
      </c>
      <c r="O527" s="3">
        <v>25</v>
      </c>
      <c r="P527" s="3">
        <v>5</v>
      </c>
      <c r="Q527" s="3">
        <v>6</v>
      </c>
      <c r="R527" s="3">
        <v>83.3</v>
      </c>
      <c r="S527" s="4">
        <v>3</v>
      </c>
      <c r="T527" s="4">
        <v>4</v>
      </c>
      <c r="U527" s="4">
        <v>7</v>
      </c>
      <c r="V527" s="4">
        <v>7</v>
      </c>
      <c r="W527" s="4">
        <v>4</v>
      </c>
      <c r="X527" s="4">
        <v>3</v>
      </c>
      <c r="Y527" s="3">
        <v>0</v>
      </c>
      <c r="Z527" s="4">
        <v>4</v>
      </c>
      <c r="AA527" s="3">
        <v>40</v>
      </c>
      <c r="AB527" s="3">
        <v>0</v>
      </c>
      <c r="AC527" s="3">
        <v>0</v>
      </c>
      <c r="AD527" s="2">
        <v>0.3</v>
      </c>
      <c r="AE527" s="2">
        <v>112.8</v>
      </c>
      <c r="AF527" s="2">
        <v>109.1</v>
      </c>
      <c r="AG527" s="2">
        <v>3.7</v>
      </c>
      <c r="AH527" s="2">
        <v>23.3</v>
      </c>
      <c r="AI527" s="2">
        <v>1.75</v>
      </c>
      <c r="AJ527" s="2">
        <v>26.9</v>
      </c>
      <c r="AK527" s="2">
        <v>7.7</v>
      </c>
      <c r="AL527" s="2">
        <v>8</v>
      </c>
      <c r="AM527" s="2">
        <v>7.9</v>
      </c>
      <c r="AN527" s="2">
        <v>15.4</v>
      </c>
      <c r="AO527" s="2">
        <v>42.3</v>
      </c>
      <c r="AP527" s="2">
        <v>51.2</v>
      </c>
      <c r="AQ527" s="2">
        <v>19.600000000000001</v>
      </c>
      <c r="AR527" s="2">
        <v>95.6</v>
      </c>
      <c r="AS527" s="2">
        <v>8.4</v>
      </c>
      <c r="AT527" s="2">
        <v>86</v>
      </c>
      <c r="AU527" s="53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6"/>
    </row>
    <row r="528" spans="1:69" ht="13.2">
      <c r="A528" s="8" t="s">
        <v>1080</v>
      </c>
      <c r="B528" s="1" t="s">
        <v>1081</v>
      </c>
      <c r="C528" s="24" t="str">
        <f>VLOOKUP(B528,Equipe!$A$1:$B$31,2,FALSE)</f>
        <v>San Antonio Spurs</v>
      </c>
      <c r="D528" s="2">
        <v>25</v>
      </c>
      <c r="E528" s="2">
        <v>6</v>
      </c>
      <c r="F528" s="2">
        <v>0</v>
      </c>
      <c r="G528" s="2">
        <v>6</v>
      </c>
      <c r="H528" s="2">
        <v>5.6</v>
      </c>
      <c r="I528" s="3">
        <v>16</v>
      </c>
      <c r="J528" s="4">
        <v>6</v>
      </c>
      <c r="K528" s="4">
        <v>14</v>
      </c>
      <c r="L528" s="3">
        <v>42.9</v>
      </c>
      <c r="M528" s="4">
        <v>3</v>
      </c>
      <c r="N528" s="4">
        <v>6</v>
      </c>
      <c r="O528" s="3">
        <v>50</v>
      </c>
      <c r="P528" s="3">
        <v>1</v>
      </c>
      <c r="Q528" s="3">
        <v>2</v>
      </c>
      <c r="R528" s="3">
        <v>50</v>
      </c>
      <c r="S528" s="4">
        <v>1</v>
      </c>
      <c r="T528" s="4">
        <v>4</v>
      </c>
      <c r="U528" s="4">
        <v>5</v>
      </c>
      <c r="V528" s="4">
        <v>4</v>
      </c>
      <c r="W528" s="4">
        <v>2</v>
      </c>
      <c r="X528" s="4">
        <v>1</v>
      </c>
      <c r="Y528" s="3">
        <v>0</v>
      </c>
      <c r="Z528" s="4">
        <v>1</v>
      </c>
      <c r="AA528" s="3">
        <v>29</v>
      </c>
      <c r="AB528" s="3">
        <v>0</v>
      </c>
      <c r="AC528" s="3">
        <v>0</v>
      </c>
      <c r="AD528" s="2">
        <v>4.7</v>
      </c>
      <c r="AE528" s="2">
        <v>128.4</v>
      </c>
      <c r="AF528" s="2">
        <v>91.8</v>
      </c>
      <c r="AG528" s="2">
        <v>36.6</v>
      </c>
      <c r="AH528" s="2">
        <v>13.3</v>
      </c>
      <c r="AI528" s="2">
        <v>2</v>
      </c>
      <c r="AJ528" s="2">
        <v>19</v>
      </c>
      <c r="AK528" s="2">
        <v>3.2</v>
      </c>
      <c r="AL528" s="2">
        <v>10</v>
      </c>
      <c r="AM528" s="2">
        <v>7</v>
      </c>
      <c r="AN528" s="2">
        <v>9.5</v>
      </c>
      <c r="AO528" s="2">
        <v>53.6</v>
      </c>
      <c r="AP528" s="2">
        <v>53.8</v>
      </c>
      <c r="AQ528" s="2">
        <v>20.7</v>
      </c>
      <c r="AR528" s="2">
        <v>104.64</v>
      </c>
      <c r="AS528" s="2">
        <v>8.6999999999999993</v>
      </c>
      <c r="AT528" s="2">
        <v>74</v>
      </c>
      <c r="AU528" s="53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6"/>
    </row>
    <row r="529" spans="1:69" ht="13.2">
      <c r="A529" s="1" t="s">
        <v>1086</v>
      </c>
      <c r="B529" s="1" t="s">
        <v>1087</v>
      </c>
      <c r="C529" s="24" t="str">
        <f>VLOOKUP(B529,Equipe!$A$1:$B$31,2,FALSE)</f>
        <v>Minnesota Timberwolves</v>
      </c>
      <c r="D529" s="2">
        <v>37</v>
      </c>
      <c r="E529" s="2">
        <v>19</v>
      </c>
      <c r="F529" s="2">
        <v>12</v>
      </c>
      <c r="G529" s="2">
        <v>7</v>
      </c>
      <c r="H529" s="2">
        <v>6</v>
      </c>
      <c r="I529" s="3">
        <v>15</v>
      </c>
      <c r="J529" s="4">
        <v>6</v>
      </c>
      <c r="K529" s="4">
        <v>23</v>
      </c>
      <c r="L529" s="3">
        <v>26.1</v>
      </c>
      <c r="M529" s="4">
        <v>4</v>
      </c>
      <c r="N529" s="4">
        <v>15</v>
      </c>
      <c r="O529" s="3">
        <v>20</v>
      </c>
      <c r="P529" s="3">
        <v>0</v>
      </c>
      <c r="Q529" s="3">
        <v>0</v>
      </c>
      <c r="R529" s="3">
        <v>0</v>
      </c>
      <c r="S529" s="4">
        <v>2</v>
      </c>
      <c r="T529" s="4">
        <v>10</v>
      </c>
      <c r="U529" s="4">
        <v>11</v>
      </c>
      <c r="V529" s="4">
        <v>23</v>
      </c>
      <c r="W529" s="4">
        <v>10</v>
      </c>
      <c r="X529" s="4">
        <v>2</v>
      </c>
      <c r="Y529" s="3">
        <v>0</v>
      </c>
      <c r="Z529" s="4">
        <v>11</v>
      </c>
      <c r="AA529" s="3">
        <v>59</v>
      </c>
      <c r="AB529" s="3">
        <v>0</v>
      </c>
      <c r="AC529" s="3">
        <v>0</v>
      </c>
      <c r="AD529" s="2">
        <v>0.1</v>
      </c>
      <c r="AE529" s="2">
        <v>108.9</v>
      </c>
      <c r="AF529" s="2">
        <v>113.1</v>
      </c>
      <c r="AG529" s="2">
        <v>-4.2</v>
      </c>
      <c r="AH529" s="2">
        <v>26.1</v>
      </c>
      <c r="AI529" s="2">
        <v>2.56</v>
      </c>
      <c r="AJ529" s="2">
        <v>41.8</v>
      </c>
      <c r="AK529" s="2">
        <v>1.7</v>
      </c>
      <c r="AL529" s="2">
        <v>8</v>
      </c>
      <c r="AM529" s="2">
        <v>4.8</v>
      </c>
      <c r="AN529" s="2">
        <v>16.399999999999999</v>
      </c>
      <c r="AO529" s="2">
        <v>32.6</v>
      </c>
      <c r="AP529" s="2">
        <v>32.6</v>
      </c>
      <c r="AQ529" s="2">
        <v>11.3</v>
      </c>
      <c r="AR529" s="2">
        <v>102.03</v>
      </c>
      <c r="AS529" s="2">
        <v>2.5</v>
      </c>
      <c r="AT529" s="2">
        <v>248</v>
      </c>
      <c r="AU529" s="53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6"/>
    </row>
    <row r="530" spans="1:69" ht="13.2">
      <c r="A530" s="1" t="s">
        <v>1082</v>
      </c>
      <c r="B530" s="1" t="s">
        <v>1083</v>
      </c>
      <c r="C530" s="24" t="str">
        <f>VLOOKUP(B530,Equipe!$A$1:$B$31,2,FALSE)</f>
        <v>Detroit Pistons</v>
      </c>
      <c r="D530" s="2">
        <v>22</v>
      </c>
      <c r="E530" s="2">
        <v>8</v>
      </c>
      <c r="F530" s="2">
        <v>4</v>
      </c>
      <c r="G530" s="2">
        <v>4</v>
      </c>
      <c r="H530" s="2">
        <v>5.3</v>
      </c>
      <c r="I530" s="3">
        <v>15</v>
      </c>
      <c r="J530" s="4">
        <v>6</v>
      </c>
      <c r="K530" s="4">
        <v>10</v>
      </c>
      <c r="L530" s="3">
        <v>60</v>
      </c>
      <c r="M530" s="4">
        <v>2</v>
      </c>
      <c r="N530" s="4">
        <v>5</v>
      </c>
      <c r="O530" s="3">
        <v>40</v>
      </c>
      <c r="P530" s="3">
        <v>1</v>
      </c>
      <c r="Q530" s="3">
        <v>2</v>
      </c>
      <c r="R530" s="3">
        <v>50</v>
      </c>
      <c r="S530" s="4">
        <v>1</v>
      </c>
      <c r="T530" s="4">
        <v>6</v>
      </c>
      <c r="U530" s="4">
        <v>7</v>
      </c>
      <c r="V530" s="4">
        <v>7</v>
      </c>
      <c r="W530" s="4">
        <v>1</v>
      </c>
      <c r="X530" s="4">
        <v>2</v>
      </c>
      <c r="Y530" s="4">
        <v>1</v>
      </c>
      <c r="Z530" s="4">
        <v>8</v>
      </c>
      <c r="AA530" s="3">
        <v>42</v>
      </c>
      <c r="AB530" s="3">
        <v>0</v>
      </c>
      <c r="AC530" s="3">
        <v>0</v>
      </c>
      <c r="AD530" s="2">
        <v>0</v>
      </c>
      <c r="AE530" s="2">
        <v>121.4</v>
      </c>
      <c r="AF530" s="2">
        <v>117.2</v>
      </c>
      <c r="AG530" s="2">
        <v>4.2</v>
      </c>
      <c r="AH530" s="2">
        <v>21.2</v>
      </c>
      <c r="AI530" s="2">
        <v>7</v>
      </c>
      <c r="AJ530" s="2">
        <v>36.799999999999997</v>
      </c>
      <c r="AK530" s="2">
        <v>2.4</v>
      </c>
      <c r="AL530" s="2">
        <v>18.2</v>
      </c>
      <c r="AM530" s="2">
        <v>9.5</v>
      </c>
      <c r="AN530" s="2">
        <v>5.3</v>
      </c>
      <c r="AO530" s="2">
        <v>70</v>
      </c>
      <c r="AP530" s="2">
        <v>68.900000000000006</v>
      </c>
      <c r="AQ530" s="2">
        <v>12.1</v>
      </c>
      <c r="AR530" s="2">
        <v>96.83</v>
      </c>
      <c r="AS530" s="2">
        <v>9.5</v>
      </c>
      <c r="AT530" s="2">
        <v>84</v>
      </c>
      <c r="AU530" s="53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6"/>
    </row>
    <row r="531" spans="1:69" ht="13.2">
      <c r="A531" s="1" t="s">
        <v>1084</v>
      </c>
      <c r="B531" s="1" t="s">
        <v>1085</v>
      </c>
      <c r="C531" s="24" t="str">
        <f>VLOOKUP(B531,Equipe!$A$1:$B$31,2,FALSE)</f>
        <v>Milwaukee Bucks</v>
      </c>
      <c r="D531" s="2">
        <v>26</v>
      </c>
      <c r="E531" s="2">
        <v>22</v>
      </c>
      <c r="F531" s="2">
        <v>15</v>
      </c>
      <c r="G531" s="2">
        <v>7</v>
      </c>
      <c r="H531" s="2">
        <v>3.9</v>
      </c>
      <c r="I531" s="3">
        <v>15</v>
      </c>
      <c r="J531" s="4">
        <v>4</v>
      </c>
      <c r="K531" s="4">
        <v>26</v>
      </c>
      <c r="L531" s="3">
        <v>19.2</v>
      </c>
      <c r="M531" s="4">
        <v>2</v>
      </c>
      <c r="N531" s="4">
        <v>15</v>
      </c>
      <c r="O531" s="3">
        <v>20</v>
      </c>
      <c r="P531" s="3">
        <v>2</v>
      </c>
      <c r="Q531" s="3">
        <v>4</v>
      </c>
      <c r="R531" s="3">
        <v>50</v>
      </c>
      <c r="S531" s="4">
        <v>4</v>
      </c>
      <c r="T531" s="4">
        <v>13</v>
      </c>
      <c r="U531" s="4">
        <v>18</v>
      </c>
      <c r="V531" s="4">
        <v>4</v>
      </c>
      <c r="W531" s="4">
        <v>2</v>
      </c>
      <c r="X531" s="4">
        <v>2</v>
      </c>
      <c r="Y531" s="4">
        <v>7</v>
      </c>
      <c r="Z531" s="4">
        <v>9</v>
      </c>
      <c r="AA531" s="3">
        <v>66</v>
      </c>
      <c r="AB531" s="3">
        <v>0</v>
      </c>
      <c r="AC531" s="3">
        <v>0</v>
      </c>
      <c r="AD531" s="2">
        <v>-0.7</v>
      </c>
      <c r="AE531" s="2">
        <v>85.6</v>
      </c>
      <c r="AF531" s="2">
        <v>95.8</v>
      </c>
      <c r="AG531" s="2">
        <v>-10.1</v>
      </c>
      <c r="AH531" s="2">
        <v>7.1</v>
      </c>
      <c r="AI531" s="2">
        <v>1.33</v>
      </c>
      <c r="AJ531" s="2">
        <v>11.4</v>
      </c>
      <c r="AK531" s="2">
        <v>4.3</v>
      </c>
      <c r="AL531" s="2">
        <v>13.1</v>
      </c>
      <c r="AM531" s="2">
        <v>8.9</v>
      </c>
      <c r="AN531" s="2">
        <v>8.6</v>
      </c>
      <c r="AO531" s="2">
        <v>25</v>
      </c>
      <c r="AP531" s="2">
        <v>27</v>
      </c>
      <c r="AQ531" s="2">
        <v>13.7</v>
      </c>
      <c r="AR531" s="2">
        <v>107.72</v>
      </c>
      <c r="AS531" s="2">
        <v>2.2000000000000002</v>
      </c>
      <c r="AT531" s="2">
        <v>195</v>
      </c>
      <c r="AU531" s="53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6"/>
    </row>
    <row r="532" spans="1:69" ht="13.2">
      <c r="A532" s="1" t="s">
        <v>1096</v>
      </c>
      <c r="B532" s="1" t="s">
        <v>1097</v>
      </c>
      <c r="C532" s="24" t="str">
        <f>VLOOKUP(B532,Equipe!$A$1:$B$31,2,FALSE)</f>
        <v>Utah Jazz</v>
      </c>
      <c r="D532" s="2">
        <v>21</v>
      </c>
      <c r="E532" s="2">
        <v>3</v>
      </c>
      <c r="F532" s="2">
        <v>0</v>
      </c>
      <c r="G532" s="2">
        <v>3</v>
      </c>
      <c r="H532" s="2">
        <v>24.8</v>
      </c>
      <c r="I532" s="3">
        <v>14</v>
      </c>
      <c r="J532" s="4">
        <v>4</v>
      </c>
      <c r="K532" s="4">
        <v>18</v>
      </c>
      <c r="L532" s="3">
        <v>22.2</v>
      </c>
      <c r="M532" s="4">
        <v>3</v>
      </c>
      <c r="N532" s="4">
        <v>12</v>
      </c>
      <c r="O532" s="3">
        <v>25</v>
      </c>
      <c r="P532" s="3">
        <v>3</v>
      </c>
      <c r="Q532" s="3">
        <v>4</v>
      </c>
      <c r="R532" s="3">
        <v>75</v>
      </c>
      <c r="S532" s="4">
        <v>5</v>
      </c>
      <c r="T532" s="4">
        <v>10</v>
      </c>
      <c r="U532" s="4">
        <v>15</v>
      </c>
      <c r="V532" s="4">
        <v>2</v>
      </c>
      <c r="W532" s="4">
        <v>2</v>
      </c>
      <c r="X532" s="4">
        <v>5</v>
      </c>
      <c r="Y532" s="4">
        <v>4</v>
      </c>
      <c r="Z532" s="4">
        <v>8</v>
      </c>
      <c r="AA532" s="3">
        <v>60</v>
      </c>
      <c r="AB532" s="3">
        <v>0</v>
      </c>
      <c r="AC532" s="3">
        <v>0</v>
      </c>
      <c r="AD532" s="2">
        <v>-7.3</v>
      </c>
      <c r="AE532" s="2">
        <v>95.7</v>
      </c>
      <c r="AF532" s="2">
        <v>109.2</v>
      </c>
      <c r="AG532" s="2">
        <v>-13.5</v>
      </c>
      <c r="AH532" s="2">
        <v>4</v>
      </c>
      <c r="AI532" s="2">
        <v>1</v>
      </c>
      <c r="AJ532" s="2">
        <v>8.3000000000000007</v>
      </c>
      <c r="AK532" s="2">
        <v>5.4</v>
      </c>
      <c r="AL532" s="2">
        <v>11.5</v>
      </c>
      <c r="AM532" s="2">
        <v>8.3000000000000007</v>
      </c>
      <c r="AN532" s="2">
        <v>8.3000000000000007</v>
      </c>
      <c r="AO532" s="2">
        <v>30.6</v>
      </c>
      <c r="AP532" s="2">
        <v>35.4</v>
      </c>
      <c r="AQ532" s="2">
        <v>11.3</v>
      </c>
      <c r="AR532" s="2">
        <v>105</v>
      </c>
      <c r="AS532" s="2">
        <v>3.6</v>
      </c>
      <c r="AT532" s="2">
        <v>163</v>
      </c>
      <c r="AU532" s="53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6"/>
    </row>
    <row r="533" spans="1:69" ht="13.2">
      <c r="A533" s="1" t="s">
        <v>1094</v>
      </c>
      <c r="B533" s="1" t="s">
        <v>1095</v>
      </c>
      <c r="C533" s="24" t="str">
        <f>VLOOKUP(B533,Equipe!$A$1:$B$31,2,FALSE)</f>
        <v>Sacramento Kings</v>
      </c>
      <c r="D533" s="2">
        <v>23</v>
      </c>
      <c r="E533" s="2">
        <v>15</v>
      </c>
      <c r="F533" s="2">
        <v>7</v>
      </c>
      <c r="G533" s="2">
        <v>8</v>
      </c>
      <c r="H533" s="2">
        <v>3</v>
      </c>
      <c r="I533" s="3">
        <v>14</v>
      </c>
      <c r="J533" s="4">
        <v>5</v>
      </c>
      <c r="K533" s="4">
        <v>11</v>
      </c>
      <c r="L533" s="3">
        <v>45.5</v>
      </c>
      <c r="M533" s="4">
        <v>2</v>
      </c>
      <c r="N533" s="4">
        <v>5</v>
      </c>
      <c r="O533" s="3">
        <v>20</v>
      </c>
      <c r="P533" s="3">
        <v>2</v>
      </c>
      <c r="Q533" s="3">
        <v>5</v>
      </c>
      <c r="R533" s="3">
        <v>50</v>
      </c>
      <c r="S533" s="4">
        <v>2</v>
      </c>
      <c r="T533" s="4">
        <v>8</v>
      </c>
      <c r="U533" s="4">
        <v>8</v>
      </c>
      <c r="V533" s="4">
        <v>2</v>
      </c>
      <c r="W533" s="4">
        <v>2</v>
      </c>
      <c r="X533" s="4">
        <v>2</v>
      </c>
      <c r="Y533" s="4">
        <v>2</v>
      </c>
      <c r="Z533" s="4">
        <v>2</v>
      </c>
      <c r="AA533" s="3">
        <v>32</v>
      </c>
      <c r="AB533" s="3">
        <v>0</v>
      </c>
      <c r="AC533" s="3">
        <v>0</v>
      </c>
      <c r="AD533" s="2">
        <v>1.5</v>
      </c>
      <c r="AE533" s="2">
        <v>112</v>
      </c>
      <c r="AF533" s="2">
        <v>92.7</v>
      </c>
      <c r="AG533" s="2">
        <v>19.3</v>
      </c>
      <c r="AH533" s="2">
        <v>2.9</v>
      </c>
      <c r="AI533" s="2">
        <v>1</v>
      </c>
      <c r="AJ533" s="2">
        <v>6.7</v>
      </c>
      <c r="AK533" s="2">
        <v>2.2999999999999998</v>
      </c>
      <c r="AL533" s="2">
        <v>14.9</v>
      </c>
      <c r="AM533" s="2">
        <v>8.8000000000000007</v>
      </c>
      <c r="AN533" s="2">
        <v>6.7</v>
      </c>
      <c r="AO533" s="2">
        <v>50</v>
      </c>
      <c r="AP533" s="2">
        <v>50.9</v>
      </c>
      <c r="AQ533" s="2">
        <v>12.2</v>
      </c>
      <c r="AR533" s="2">
        <v>103.01</v>
      </c>
      <c r="AS533" s="2">
        <v>7</v>
      </c>
      <c r="AT533" s="2">
        <v>100</v>
      </c>
      <c r="AU533" s="53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6"/>
    </row>
    <row r="534" spans="1:69" ht="13.2">
      <c r="A534" s="1" t="s">
        <v>1092</v>
      </c>
      <c r="B534" s="1" t="s">
        <v>1093</v>
      </c>
      <c r="C534" s="24" t="str">
        <f>VLOOKUP(B534,Equipe!$A$1:$B$31,2,FALSE)</f>
        <v>Los Angeles Lakers</v>
      </c>
      <c r="D534" s="2">
        <v>22</v>
      </c>
      <c r="E534" s="2">
        <v>9</v>
      </c>
      <c r="F534" s="2">
        <v>5</v>
      </c>
      <c r="G534" s="2">
        <v>4</v>
      </c>
      <c r="H534" s="2">
        <v>7.4</v>
      </c>
      <c r="I534" s="3">
        <v>14</v>
      </c>
      <c r="J534" s="4">
        <v>6</v>
      </c>
      <c r="K534" s="4">
        <v>19</v>
      </c>
      <c r="L534" s="3">
        <v>31.6</v>
      </c>
      <c r="M534" s="3">
        <v>0</v>
      </c>
      <c r="N534" s="4">
        <v>7</v>
      </c>
      <c r="O534" s="3">
        <v>0</v>
      </c>
      <c r="P534" s="3">
        <v>2</v>
      </c>
      <c r="Q534" s="3">
        <v>7</v>
      </c>
      <c r="R534" s="3">
        <v>28.6</v>
      </c>
      <c r="S534" s="4">
        <v>2</v>
      </c>
      <c r="T534" s="4">
        <v>13</v>
      </c>
      <c r="U534" s="4">
        <v>15</v>
      </c>
      <c r="V534" s="4">
        <v>1</v>
      </c>
      <c r="W534" s="4">
        <v>3</v>
      </c>
      <c r="X534" s="4">
        <v>4</v>
      </c>
      <c r="Y534" s="4">
        <v>2</v>
      </c>
      <c r="Z534" s="4">
        <v>6</v>
      </c>
      <c r="AA534" s="3">
        <v>49</v>
      </c>
      <c r="AB534" s="3">
        <v>0</v>
      </c>
      <c r="AC534" s="3">
        <v>0</v>
      </c>
      <c r="AD534" s="2">
        <v>-5.4</v>
      </c>
      <c r="AE534" s="2">
        <v>81.900000000000006</v>
      </c>
      <c r="AF534" s="2">
        <v>119.3</v>
      </c>
      <c r="AG534" s="2">
        <v>-37.299999999999997</v>
      </c>
      <c r="AH534" s="2">
        <v>2.6</v>
      </c>
      <c r="AI534" s="2">
        <v>0.33</v>
      </c>
      <c r="AJ534" s="2">
        <v>3.8</v>
      </c>
      <c r="AK534" s="2">
        <v>2.6</v>
      </c>
      <c r="AL534" s="2">
        <v>22.8</v>
      </c>
      <c r="AM534" s="2">
        <v>11.1</v>
      </c>
      <c r="AN534" s="2">
        <v>11.5</v>
      </c>
      <c r="AO534" s="2">
        <v>31.6</v>
      </c>
      <c r="AP534" s="2">
        <v>31.7</v>
      </c>
      <c r="AQ534" s="2">
        <v>15.3</v>
      </c>
      <c r="AR534" s="2">
        <v>102.24</v>
      </c>
      <c r="AS534" s="2">
        <v>2.7</v>
      </c>
      <c r="AT534" s="2">
        <v>144</v>
      </c>
      <c r="AU534" s="53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6"/>
    </row>
    <row r="535" spans="1:69" ht="13.2">
      <c r="A535" s="1" t="s">
        <v>1090</v>
      </c>
      <c r="B535" s="1" t="s">
        <v>1091</v>
      </c>
      <c r="C535" s="24" t="str">
        <f>VLOOKUP(B535,Equipe!$A$1:$B$31,2,FALSE)</f>
        <v>Houston Rockets</v>
      </c>
      <c r="D535" s="2">
        <v>28</v>
      </c>
      <c r="E535" s="2">
        <v>9</v>
      </c>
      <c r="F535" s="2">
        <v>5</v>
      </c>
      <c r="G535" s="2">
        <v>4</v>
      </c>
      <c r="H535" s="2">
        <v>4.8</v>
      </c>
      <c r="I535" s="3">
        <v>14</v>
      </c>
      <c r="J535" s="4">
        <v>5</v>
      </c>
      <c r="K535" s="4">
        <v>17</v>
      </c>
      <c r="L535" s="3">
        <v>29.4</v>
      </c>
      <c r="M535" s="4">
        <v>4</v>
      </c>
      <c r="N535" s="4">
        <v>13</v>
      </c>
      <c r="O535" s="3">
        <v>30.8</v>
      </c>
      <c r="P535" s="3">
        <v>0</v>
      </c>
      <c r="Q535" s="3">
        <v>0</v>
      </c>
      <c r="R535" s="3">
        <v>0</v>
      </c>
      <c r="S535" s="4">
        <v>2</v>
      </c>
      <c r="T535" s="4">
        <v>3</v>
      </c>
      <c r="U535" s="4">
        <v>5</v>
      </c>
      <c r="V535" s="4">
        <v>1</v>
      </c>
      <c r="W535" s="4">
        <v>2</v>
      </c>
      <c r="X535" s="3">
        <v>0</v>
      </c>
      <c r="Y535" s="4">
        <v>2</v>
      </c>
      <c r="Z535" s="4">
        <v>3</v>
      </c>
      <c r="AA535" s="3">
        <v>25</v>
      </c>
      <c r="AB535" s="3">
        <v>0</v>
      </c>
      <c r="AC535" s="3">
        <v>0</v>
      </c>
      <c r="AD535" s="2">
        <v>-1.1000000000000001</v>
      </c>
      <c r="AE535" s="2">
        <v>84.7</v>
      </c>
      <c r="AF535" s="2">
        <v>93.9</v>
      </c>
      <c r="AG535" s="2">
        <v>-9.1999999999999993</v>
      </c>
      <c r="AH535" s="2">
        <v>3.8</v>
      </c>
      <c r="AI535" s="2">
        <v>0.5</v>
      </c>
      <c r="AJ535" s="2">
        <v>5</v>
      </c>
      <c r="AK535" s="2">
        <v>3.9</v>
      </c>
      <c r="AL535" s="2">
        <v>5.6</v>
      </c>
      <c r="AM535" s="2">
        <v>4.8</v>
      </c>
      <c r="AN535" s="2">
        <v>10</v>
      </c>
      <c r="AO535" s="2">
        <v>41.2</v>
      </c>
      <c r="AP535" s="2">
        <v>41.2</v>
      </c>
      <c r="AQ535" s="2">
        <v>17.600000000000001</v>
      </c>
      <c r="AR535" s="2">
        <v>109.32</v>
      </c>
      <c r="AS535" s="2">
        <v>2</v>
      </c>
      <c r="AT535" s="2">
        <v>98</v>
      </c>
      <c r="AU535" s="53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6"/>
    </row>
    <row r="536" spans="1:69" ht="13.2">
      <c r="A536" s="1" t="s">
        <v>1088</v>
      </c>
      <c r="B536" s="1" t="s">
        <v>1089</v>
      </c>
      <c r="C536" s="24" t="str">
        <f>VLOOKUP(B536,Equipe!$A$1:$B$31,2,FALSE)</f>
        <v>Detroit Pistons</v>
      </c>
      <c r="D536" s="2">
        <v>24</v>
      </c>
      <c r="E536" s="2">
        <v>1</v>
      </c>
      <c r="F536" s="2">
        <v>0</v>
      </c>
      <c r="G536" s="2">
        <v>1</v>
      </c>
      <c r="H536" s="2">
        <v>22.4</v>
      </c>
      <c r="I536" s="3">
        <v>14</v>
      </c>
      <c r="J536" s="4">
        <v>6</v>
      </c>
      <c r="K536" s="4">
        <v>9</v>
      </c>
      <c r="L536" s="3">
        <v>66.7</v>
      </c>
      <c r="M536" s="3">
        <v>0</v>
      </c>
      <c r="N536" s="3">
        <v>0</v>
      </c>
      <c r="O536" s="3">
        <v>0</v>
      </c>
      <c r="P536" s="3">
        <v>2</v>
      </c>
      <c r="Q536" s="3">
        <v>3</v>
      </c>
      <c r="R536" s="3">
        <v>66.7</v>
      </c>
      <c r="S536" s="4">
        <v>4</v>
      </c>
      <c r="T536" s="4">
        <v>4</v>
      </c>
      <c r="U536" s="4">
        <v>8</v>
      </c>
      <c r="V536" s="3">
        <v>0</v>
      </c>
      <c r="W536" s="4">
        <v>2</v>
      </c>
      <c r="X536" s="3">
        <v>0</v>
      </c>
      <c r="Y536" s="3">
        <v>0</v>
      </c>
      <c r="Z536" s="4">
        <v>3</v>
      </c>
      <c r="AA536" s="3">
        <v>22</v>
      </c>
      <c r="AB536" s="3">
        <v>0</v>
      </c>
      <c r="AC536" s="3">
        <v>0</v>
      </c>
      <c r="AD536" s="2">
        <v>7</v>
      </c>
      <c r="AE536" s="2">
        <v>117.4</v>
      </c>
      <c r="AF536" s="2">
        <v>104.4</v>
      </c>
      <c r="AG536" s="2">
        <v>12.9</v>
      </c>
      <c r="AH536" s="2">
        <v>0</v>
      </c>
      <c r="AI536" s="2">
        <v>0</v>
      </c>
      <c r="AJ536" s="2">
        <v>0</v>
      </c>
      <c r="AK536" s="2">
        <v>12.9</v>
      </c>
      <c r="AL536" s="2">
        <v>20</v>
      </c>
      <c r="AM536" s="2">
        <v>15.7</v>
      </c>
      <c r="AN536" s="2">
        <v>16.7</v>
      </c>
      <c r="AO536" s="2">
        <v>66.7</v>
      </c>
      <c r="AP536" s="2">
        <v>67.8</v>
      </c>
      <c r="AQ536" s="2">
        <v>20</v>
      </c>
      <c r="AR536" s="2">
        <v>97.72</v>
      </c>
      <c r="AS536" s="2">
        <v>14.9</v>
      </c>
      <c r="AT536" s="2">
        <v>46</v>
      </c>
      <c r="AU536" s="53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6"/>
    </row>
    <row r="537" spans="1:69" ht="13.2">
      <c r="A537" s="1" t="s">
        <v>1098</v>
      </c>
      <c r="B537" s="1" t="s">
        <v>1099</v>
      </c>
      <c r="C537" s="24" t="str">
        <f>VLOOKUP(B537,Equipe!$A$1:$B$31,2,FALSE)</f>
        <v>Portland Trail Blazers</v>
      </c>
      <c r="D537" s="2">
        <v>22</v>
      </c>
      <c r="E537" s="2">
        <v>13</v>
      </c>
      <c r="F537" s="2">
        <v>8</v>
      </c>
      <c r="G537" s="2">
        <v>5</v>
      </c>
      <c r="H537" s="2">
        <v>2.5</v>
      </c>
      <c r="I537" s="3">
        <v>13</v>
      </c>
      <c r="J537" s="4">
        <v>4</v>
      </c>
      <c r="K537" s="4">
        <v>14</v>
      </c>
      <c r="L537" s="3">
        <v>28.6</v>
      </c>
      <c r="M537" s="3">
        <v>0</v>
      </c>
      <c r="N537" s="4">
        <v>4</v>
      </c>
      <c r="O537" s="3">
        <v>0</v>
      </c>
      <c r="P537" s="3">
        <v>5</v>
      </c>
      <c r="Q537" s="3">
        <v>7</v>
      </c>
      <c r="R537" s="3">
        <v>83.3</v>
      </c>
      <c r="S537" s="4">
        <v>3</v>
      </c>
      <c r="T537" s="4">
        <v>1</v>
      </c>
      <c r="U537" s="4">
        <v>3</v>
      </c>
      <c r="V537" s="4">
        <v>3</v>
      </c>
      <c r="W537" s="4">
        <v>4</v>
      </c>
      <c r="X537" s="4">
        <v>1</v>
      </c>
      <c r="Y537" s="3">
        <v>0</v>
      </c>
      <c r="Z537" s="4">
        <v>3</v>
      </c>
      <c r="AA537" s="3">
        <v>18</v>
      </c>
      <c r="AB537" s="3">
        <v>0</v>
      </c>
      <c r="AC537" s="3">
        <v>0</v>
      </c>
      <c r="AD537" s="2">
        <v>-0.3</v>
      </c>
      <c r="AE537" s="2">
        <v>89.9</v>
      </c>
      <c r="AF537" s="2">
        <v>97.1</v>
      </c>
      <c r="AG537" s="2">
        <v>-7.2</v>
      </c>
      <c r="AH537" s="2">
        <v>10.5</v>
      </c>
      <c r="AI537" s="2">
        <v>0.5</v>
      </c>
      <c r="AJ537" s="2">
        <v>9.1</v>
      </c>
      <c r="AK537" s="2">
        <v>5.6</v>
      </c>
      <c r="AL537" s="2">
        <v>3.4</v>
      </c>
      <c r="AM537" s="2">
        <v>4.5999999999999996</v>
      </c>
      <c r="AN537" s="2">
        <v>18.2</v>
      </c>
      <c r="AO537" s="2">
        <v>28.6</v>
      </c>
      <c r="AP537" s="2">
        <v>39.1</v>
      </c>
      <c r="AQ537" s="2">
        <v>24.4</v>
      </c>
      <c r="AR537" s="2">
        <v>102.7</v>
      </c>
      <c r="AS537" s="2">
        <v>0</v>
      </c>
      <c r="AT537" s="2">
        <v>69</v>
      </c>
      <c r="AU537" s="53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6"/>
    </row>
    <row r="538" spans="1:69" ht="13.2">
      <c r="A538" s="1" t="s">
        <v>1100</v>
      </c>
      <c r="B538" s="1" t="s">
        <v>1101</v>
      </c>
      <c r="C538" s="24" t="str">
        <f>VLOOKUP(B538,Equipe!$A$1:$B$31,2,FALSE)</f>
        <v>Cleveland Cavaliers</v>
      </c>
      <c r="D538" s="2">
        <v>23</v>
      </c>
      <c r="E538" s="2">
        <v>12</v>
      </c>
      <c r="F538" s="2">
        <v>10</v>
      </c>
      <c r="G538" s="2">
        <v>2</v>
      </c>
      <c r="H538" s="2">
        <v>7.3</v>
      </c>
      <c r="I538" s="3">
        <v>12</v>
      </c>
      <c r="J538" s="4">
        <v>5</v>
      </c>
      <c r="K538" s="4">
        <v>20</v>
      </c>
      <c r="L538" s="3">
        <v>25</v>
      </c>
      <c r="M538" s="3">
        <v>0</v>
      </c>
      <c r="N538" s="4">
        <v>10</v>
      </c>
      <c r="O538" s="3">
        <v>0</v>
      </c>
      <c r="P538" s="3">
        <v>2</v>
      </c>
      <c r="Q538" s="3">
        <v>2</v>
      </c>
      <c r="R538" s="3">
        <v>100</v>
      </c>
      <c r="S538" s="4">
        <v>8</v>
      </c>
      <c r="T538" s="4">
        <v>12</v>
      </c>
      <c r="U538" s="4">
        <v>20</v>
      </c>
      <c r="V538" s="4">
        <v>8</v>
      </c>
      <c r="W538" s="4">
        <v>8</v>
      </c>
      <c r="X538" s="4">
        <v>1</v>
      </c>
      <c r="Y538" s="4">
        <v>1</v>
      </c>
      <c r="Z538" s="4">
        <v>6</v>
      </c>
      <c r="AA538" s="3">
        <v>46</v>
      </c>
      <c r="AB538" s="3">
        <v>0</v>
      </c>
      <c r="AC538" s="3">
        <v>0</v>
      </c>
      <c r="AD538" s="2">
        <v>-0.1</v>
      </c>
      <c r="AE538" s="2">
        <v>109.1</v>
      </c>
      <c r="AF538" s="2">
        <v>109.7</v>
      </c>
      <c r="AG538" s="2">
        <v>-0.5</v>
      </c>
      <c r="AH538" s="2">
        <v>11.3</v>
      </c>
      <c r="AI538" s="2">
        <v>1</v>
      </c>
      <c r="AJ538" s="2">
        <v>21.6</v>
      </c>
      <c r="AK538" s="2">
        <v>8.4</v>
      </c>
      <c r="AL538" s="2">
        <v>10.8</v>
      </c>
      <c r="AM538" s="2">
        <v>9.6999999999999993</v>
      </c>
      <c r="AN538" s="2">
        <v>21.6</v>
      </c>
      <c r="AO538" s="2">
        <v>25</v>
      </c>
      <c r="AP538" s="2">
        <v>28.7</v>
      </c>
      <c r="AQ538" s="2">
        <v>13.2</v>
      </c>
      <c r="AR538" s="2">
        <v>101.62</v>
      </c>
      <c r="AS538" s="2">
        <v>2.2000000000000002</v>
      </c>
      <c r="AT538" s="2">
        <v>186</v>
      </c>
      <c r="AU538" s="53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6"/>
    </row>
    <row r="539" spans="1:69" ht="13.2">
      <c r="A539" s="1" t="s">
        <v>1102</v>
      </c>
      <c r="B539" s="1" t="s">
        <v>1103</v>
      </c>
      <c r="C539" s="24" t="str">
        <f>VLOOKUP(B539,Equipe!$A$1:$B$31,2,FALSE)</f>
        <v>Chicago Bulls</v>
      </c>
      <c r="D539" s="2">
        <v>24</v>
      </c>
      <c r="E539" s="2">
        <v>6</v>
      </c>
      <c r="F539" s="2">
        <v>4</v>
      </c>
      <c r="G539" s="2">
        <v>2</v>
      </c>
      <c r="H539" s="2">
        <v>4.9000000000000004</v>
      </c>
      <c r="I539" s="3">
        <v>11</v>
      </c>
      <c r="J539" s="4">
        <v>4</v>
      </c>
      <c r="K539" s="4">
        <v>5</v>
      </c>
      <c r="L539" s="3">
        <v>80</v>
      </c>
      <c r="M539" s="4">
        <v>1</v>
      </c>
      <c r="N539" s="4">
        <v>2</v>
      </c>
      <c r="O539" s="3">
        <v>50</v>
      </c>
      <c r="P539" s="3">
        <v>2</v>
      </c>
      <c r="Q539" s="3">
        <v>2</v>
      </c>
      <c r="R539" s="3">
        <v>100</v>
      </c>
      <c r="S539" s="4">
        <v>1</v>
      </c>
      <c r="T539" s="4">
        <v>2</v>
      </c>
      <c r="U539" s="4">
        <v>3</v>
      </c>
      <c r="V539" s="4">
        <v>6</v>
      </c>
      <c r="W539" s="4">
        <v>1</v>
      </c>
      <c r="X539" s="3">
        <v>0</v>
      </c>
      <c r="Y539" s="3">
        <v>0</v>
      </c>
      <c r="Z539" s="4">
        <v>2</v>
      </c>
      <c r="AA539" s="3">
        <v>23</v>
      </c>
      <c r="AB539" s="3">
        <v>0</v>
      </c>
      <c r="AC539" s="3">
        <v>0</v>
      </c>
      <c r="AD539" s="2">
        <v>-1.2</v>
      </c>
      <c r="AE539" s="2">
        <v>110</v>
      </c>
      <c r="AF539" s="2">
        <v>123.5</v>
      </c>
      <c r="AG539" s="2">
        <v>-13.5</v>
      </c>
      <c r="AH539" s="2">
        <v>23.1</v>
      </c>
      <c r="AI539" s="2">
        <v>6</v>
      </c>
      <c r="AJ539" s="2">
        <v>46.2</v>
      </c>
      <c r="AK539" s="2">
        <v>4.2</v>
      </c>
      <c r="AL539" s="2">
        <v>5.9</v>
      </c>
      <c r="AM539" s="2">
        <v>5.2</v>
      </c>
      <c r="AN539" s="2">
        <v>7.7</v>
      </c>
      <c r="AO539" s="2">
        <v>90</v>
      </c>
      <c r="AP539" s="2">
        <v>93.5</v>
      </c>
      <c r="AQ539" s="2">
        <v>9.1999999999999993</v>
      </c>
      <c r="AR539" s="2">
        <v>111.64</v>
      </c>
      <c r="AS539" s="2">
        <v>10</v>
      </c>
      <c r="AT539" s="2">
        <v>70</v>
      </c>
      <c r="AU539" s="53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6"/>
    </row>
    <row r="540" spans="1:69" ht="13.2">
      <c r="A540" s="1" t="s">
        <v>1104</v>
      </c>
      <c r="B540" s="1" t="s">
        <v>1105</v>
      </c>
      <c r="C540" s="24" t="str">
        <f>VLOOKUP(B540,Equipe!$A$1:$B$31,2,FALSE)</f>
        <v>Los Angeles Clippers</v>
      </c>
      <c r="D540" s="2">
        <v>20</v>
      </c>
      <c r="E540" s="2">
        <v>6</v>
      </c>
      <c r="F540" s="2">
        <v>4</v>
      </c>
      <c r="G540" s="2">
        <v>2</v>
      </c>
      <c r="H540" s="2">
        <v>4.4000000000000004</v>
      </c>
      <c r="I540" s="3">
        <v>11</v>
      </c>
      <c r="J540" s="4">
        <v>4</v>
      </c>
      <c r="K540" s="4">
        <v>11</v>
      </c>
      <c r="L540" s="3">
        <v>36.4</v>
      </c>
      <c r="M540" s="3">
        <v>0</v>
      </c>
      <c r="N540" s="4">
        <v>2</v>
      </c>
      <c r="O540" s="3">
        <v>0</v>
      </c>
      <c r="P540" s="3">
        <v>3</v>
      </c>
      <c r="Q540" s="3">
        <v>3</v>
      </c>
      <c r="R540" s="3">
        <v>100</v>
      </c>
      <c r="S540" s="4">
        <v>1</v>
      </c>
      <c r="T540" s="4">
        <v>3</v>
      </c>
      <c r="U540" s="4">
        <v>4</v>
      </c>
      <c r="V540" s="3">
        <v>0</v>
      </c>
      <c r="W540" s="4">
        <v>1</v>
      </c>
      <c r="X540" s="3">
        <v>0</v>
      </c>
      <c r="Y540" s="3">
        <v>0</v>
      </c>
      <c r="Z540" s="4">
        <v>4</v>
      </c>
      <c r="AA540" s="3">
        <v>15</v>
      </c>
      <c r="AB540" s="3">
        <v>0</v>
      </c>
      <c r="AC540" s="3">
        <v>0</v>
      </c>
      <c r="AD540" s="2">
        <v>-1</v>
      </c>
      <c r="AE540" s="2">
        <v>88.5</v>
      </c>
      <c r="AF540" s="2">
        <v>101.7</v>
      </c>
      <c r="AG540" s="2">
        <v>-13.2</v>
      </c>
      <c r="AH540" s="2">
        <v>0</v>
      </c>
      <c r="AI540" s="2">
        <v>0</v>
      </c>
      <c r="AJ540" s="2">
        <v>0</v>
      </c>
      <c r="AK540" s="2">
        <v>4.2</v>
      </c>
      <c r="AL540" s="2">
        <v>9.6999999999999993</v>
      </c>
      <c r="AM540" s="2">
        <v>7.3</v>
      </c>
      <c r="AN540" s="2">
        <v>7.7</v>
      </c>
      <c r="AO540" s="2">
        <v>36.4</v>
      </c>
      <c r="AP540" s="2">
        <v>44.6</v>
      </c>
      <c r="AQ540" s="2">
        <v>19.399999999999999</v>
      </c>
      <c r="AR540" s="2">
        <v>108.62</v>
      </c>
      <c r="AS540" s="2">
        <v>2.9</v>
      </c>
      <c r="AT540" s="2">
        <v>61</v>
      </c>
      <c r="AU540" s="53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6"/>
    </row>
    <row r="541" spans="1:69" ht="13.2">
      <c r="A541" s="1" t="s">
        <v>1106</v>
      </c>
      <c r="B541" s="1" t="s">
        <v>1107</v>
      </c>
      <c r="C541" s="24" t="str">
        <f>VLOOKUP(B541,Equipe!$A$1:$B$31,2,FALSE)</f>
        <v>Chicago Bulls</v>
      </c>
      <c r="D541" s="2">
        <v>24</v>
      </c>
      <c r="E541" s="2">
        <v>6</v>
      </c>
      <c r="F541" s="2">
        <v>4</v>
      </c>
      <c r="G541" s="2">
        <v>2</v>
      </c>
      <c r="H541" s="2">
        <v>4.0999999999999996</v>
      </c>
      <c r="I541" s="3">
        <v>10</v>
      </c>
      <c r="J541" s="4">
        <v>4</v>
      </c>
      <c r="K541" s="4">
        <v>8</v>
      </c>
      <c r="L541" s="3">
        <v>50</v>
      </c>
      <c r="M541" s="3">
        <v>0</v>
      </c>
      <c r="N541" s="4">
        <v>1</v>
      </c>
      <c r="O541" s="3">
        <v>0</v>
      </c>
      <c r="P541" s="3">
        <v>2</v>
      </c>
      <c r="Q541" s="3">
        <v>2</v>
      </c>
      <c r="R541" s="3">
        <v>100</v>
      </c>
      <c r="S541" s="4">
        <v>4</v>
      </c>
      <c r="T541" s="4">
        <v>4</v>
      </c>
      <c r="U541" s="4">
        <v>8</v>
      </c>
      <c r="V541" s="4">
        <v>2</v>
      </c>
      <c r="W541" s="3">
        <v>0</v>
      </c>
      <c r="X541" s="4">
        <v>1</v>
      </c>
      <c r="Y541" s="3">
        <v>0</v>
      </c>
      <c r="Z541" s="4">
        <v>3</v>
      </c>
      <c r="AA541" s="3">
        <v>26</v>
      </c>
      <c r="AB541" s="3">
        <v>0</v>
      </c>
      <c r="AC541" s="3">
        <v>0</v>
      </c>
      <c r="AD541" s="2">
        <v>-1.3</v>
      </c>
      <c r="AE541" s="2">
        <v>120.4</v>
      </c>
      <c r="AF541" s="2">
        <v>130.4</v>
      </c>
      <c r="AG541" s="2">
        <v>-10</v>
      </c>
      <c r="AH541" s="2">
        <v>10.5</v>
      </c>
      <c r="AI541" s="2">
        <v>0</v>
      </c>
      <c r="AJ541" s="2">
        <v>18.2</v>
      </c>
      <c r="AK541" s="2">
        <v>16.7</v>
      </c>
      <c r="AL541" s="2">
        <v>13.8</v>
      </c>
      <c r="AM541" s="2">
        <v>15.1</v>
      </c>
      <c r="AN541" s="2">
        <v>0</v>
      </c>
      <c r="AO541" s="2">
        <v>50</v>
      </c>
      <c r="AP541" s="2">
        <v>56.3</v>
      </c>
      <c r="AQ541" s="2">
        <v>14.3</v>
      </c>
      <c r="AR541" s="2">
        <v>106.74</v>
      </c>
      <c r="AS541" s="2">
        <v>9.1999999999999993</v>
      </c>
      <c r="AT541" s="2">
        <v>54</v>
      </c>
      <c r="AU541" s="53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6"/>
    </row>
    <row r="542" spans="1:69" ht="13.2">
      <c r="A542" s="1" t="s">
        <v>1108</v>
      </c>
      <c r="B542" s="1" t="s">
        <v>1109</v>
      </c>
      <c r="C542" s="24" t="str">
        <f>VLOOKUP(B542,Equipe!$A$1:$B$31,2,FALSE)</f>
        <v>Milwaukee Bucks</v>
      </c>
      <c r="D542" s="2">
        <v>25</v>
      </c>
      <c r="E542" s="2">
        <v>13</v>
      </c>
      <c r="F542" s="2">
        <v>8</v>
      </c>
      <c r="G542" s="2">
        <v>5</v>
      </c>
      <c r="H542" s="2">
        <v>4.4000000000000004</v>
      </c>
      <c r="I542" s="3">
        <v>9</v>
      </c>
      <c r="J542" s="4">
        <v>3</v>
      </c>
      <c r="K542" s="4">
        <v>8</v>
      </c>
      <c r="L542" s="3">
        <v>25</v>
      </c>
      <c r="M542" s="3">
        <v>0</v>
      </c>
      <c r="N542" s="4">
        <v>3</v>
      </c>
      <c r="O542" s="3">
        <v>0</v>
      </c>
      <c r="P542" s="3">
        <v>5</v>
      </c>
      <c r="Q542" s="3">
        <v>10</v>
      </c>
      <c r="R542" s="3">
        <v>50</v>
      </c>
      <c r="S542" s="4">
        <v>7</v>
      </c>
      <c r="T542" s="4">
        <v>5</v>
      </c>
      <c r="U542" s="4">
        <v>12</v>
      </c>
      <c r="V542" s="4">
        <v>3</v>
      </c>
      <c r="W542" s="4">
        <v>7</v>
      </c>
      <c r="X542" s="4">
        <v>3</v>
      </c>
      <c r="Y542" s="4">
        <v>3</v>
      </c>
      <c r="Z542" s="4">
        <v>9</v>
      </c>
      <c r="AA542" s="3">
        <v>33</v>
      </c>
      <c r="AB542" s="3">
        <v>0</v>
      </c>
      <c r="AC542" s="3">
        <v>0</v>
      </c>
      <c r="AD542" s="2">
        <v>-0.4</v>
      </c>
      <c r="AE542" s="2">
        <v>80.3</v>
      </c>
      <c r="AF542" s="2">
        <v>85.6</v>
      </c>
      <c r="AG542" s="2">
        <v>-5.3</v>
      </c>
      <c r="AH542" s="2">
        <v>5.6</v>
      </c>
      <c r="AI542" s="2">
        <v>0.33</v>
      </c>
      <c r="AJ542" s="2">
        <v>9.5</v>
      </c>
      <c r="AK542" s="2">
        <v>11.1</v>
      </c>
      <c r="AL542" s="2">
        <v>8.5</v>
      </c>
      <c r="AM542" s="2">
        <v>9.8000000000000007</v>
      </c>
      <c r="AN542" s="2">
        <v>28.6</v>
      </c>
      <c r="AO542" s="2">
        <v>25</v>
      </c>
      <c r="AP542" s="2">
        <v>36.299999999999997</v>
      </c>
      <c r="AQ542" s="2">
        <v>12.8</v>
      </c>
      <c r="AR542" s="2">
        <v>106.17</v>
      </c>
      <c r="AS542" s="2">
        <v>-2.5</v>
      </c>
      <c r="AT542" s="2">
        <v>127</v>
      </c>
      <c r="AU542" s="53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6"/>
    </row>
    <row r="543" spans="1:69" ht="13.2">
      <c r="A543" s="8" t="s">
        <v>1110</v>
      </c>
      <c r="B543" s="1" t="s">
        <v>1111</v>
      </c>
      <c r="C543" s="24" t="str">
        <f>VLOOKUP(B543,Equipe!$A$1:$B$31,2,FALSE)</f>
        <v>New York Knicks</v>
      </c>
      <c r="D543" s="2">
        <v>40</v>
      </c>
      <c r="E543" s="2">
        <v>3</v>
      </c>
      <c r="F543" s="2">
        <v>1</v>
      </c>
      <c r="G543" s="2">
        <v>2</v>
      </c>
      <c r="H543" s="2">
        <v>19.3</v>
      </c>
      <c r="I543" s="3">
        <v>9</v>
      </c>
      <c r="J543" s="4">
        <v>3</v>
      </c>
      <c r="K543" s="4">
        <v>7</v>
      </c>
      <c r="L543" s="3">
        <v>42.9</v>
      </c>
      <c r="M543" s="4">
        <v>3</v>
      </c>
      <c r="N543" s="4">
        <v>6</v>
      </c>
      <c r="O543" s="3">
        <v>50</v>
      </c>
      <c r="P543" s="3">
        <v>0</v>
      </c>
      <c r="Q543" s="3">
        <v>0</v>
      </c>
      <c r="R543" s="3">
        <v>0</v>
      </c>
      <c r="S543" s="4">
        <v>4</v>
      </c>
      <c r="T543" s="4">
        <v>4</v>
      </c>
      <c r="U543" s="4">
        <v>8</v>
      </c>
      <c r="V543" s="3">
        <v>0</v>
      </c>
      <c r="W543" s="4">
        <v>1</v>
      </c>
      <c r="X543" s="4">
        <v>1</v>
      </c>
      <c r="Y543" s="4">
        <v>1</v>
      </c>
      <c r="Z543" s="4">
        <v>8</v>
      </c>
      <c r="AA543" s="3">
        <v>24</v>
      </c>
      <c r="AB543" s="3">
        <v>0</v>
      </c>
      <c r="AC543" s="3">
        <v>0</v>
      </c>
      <c r="AD543" s="2">
        <v>-7.3</v>
      </c>
      <c r="AE543" s="2">
        <v>106.1</v>
      </c>
      <c r="AF543" s="2">
        <v>127.4</v>
      </c>
      <c r="AG543" s="2">
        <v>-21.3</v>
      </c>
      <c r="AH543" s="2">
        <v>0</v>
      </c>
      <c r="AI543" s="2">
        <v>0</v>
      </c>
      <c r="AJ543" s="2">
        <v>0</v>
      </c>
      <c r="AK543" s="2">
        <v>6.2</v>
      </c>
      <c r="AL543" s="2">
        <v>10.3</v>
      </c>
      <c r="AM543" s="2">
        <v>7.7</v>
      </c>
      <c r="AN543" s="2">
        <v>12.5</v>
      </c>
      <c r="AO543" s="2">
        <v>64.3</v>
      </c>
      <c r="AP543" s="2">
        <v>64.3</v>
      </c>
      <c r="AQ543" s="2">
        <v>5.9</v>
      </c>
      <c r="AR543" s="2">
        <v>94.56</v>
      </c>
      <c r="AS543" s="2">
        <v>1.5</v>
      </c>
      <c r="AT543" s="2">
        <v>115</v>
      </c>
      <c r="AU543" s="53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6"/>
    </row>
    <row r="544" spans="1:69" ht="13.2">
      <c r="A544" s="1" t="s">
        <v>1112</v>
      </c>
      <c r="B544" s="1" t="s">
        <v>1113</v>
      </c>
      <c r="C544" s="24" t="str">
        <f>VLOOKUP(B544,Equipe!$A$1:$B$31,2,FALSE)</f>
        <v>Phoenix Suns</v>
      </c>
      <c r="D544" s="2">
        <v>24</v>
      </c>
      <c r="E544" s="2">
        <v>8</v>
      </c>
      <c r="F544" s="2">
        <v>1</v>
      </c>
      <c r="G544" s="2">
        <v>7</v>
      </c>
      <c r="H544" s="2">
        <v>3.8</v>
      </c>
      <c r="I544" s="3">
        <v>9</v>
      </c>
      <c r="J544" s="4">
        <v>2</v>
      </c>
      <c r="K544" s="4">
        <v>7</v>
      </c>
      <c r="L544" s="3">
        <v>28.6</v>
      </c>
      <c r="M544" s="4">
        <v>2</v>
      </c>
      <c r="N544" s="4">
        <v>7</v>
      </c>
      <c r="O544" s="3">
        <v>28.6</v>
      </c>
      <c r="P544" s="3">
        <v>3</v>
      </c>
      <c r="Q544" s="3">
        <v>4</v>
      </c>
      <c r="R544" s="3">
        <v>75</v>
      </c>
      <c r="S544" s="3">
        <v>0</v>
      </c>
      <c r="T544" s="4">
        <v>4</v>
      </c>
      <c r="U544" s="4">
        <v>4</v>
      </c>
      <c r="V544" s="3">
        <v>0</v>
      </c>
      <c r="W544" s="4">
        <v>4</v>
      </c>
      <c r="X544" s="3">
        <v>0</v>
      </c>
      <c r="Y544" s="3">
        <v>0</v>
      </c>
      <c r="Z544" s="3">
        <v>0</v>
      </c>
      <c r="AA544" s="3">
        <v>10</v>
      </c>
      <c r="AB544" s="3">
        <v>0</v>
      </c>
      <c r="AC544" s="3">
        <v>0</v>
      </c>
      <c r="AD544" s="2">
        <v>0.9</v>
      </c>
      <c r="AE544" s="2">
        <v>98.4</v>
      </c>
      <c r="AF544" s="2">
        <v>88.7</v>
      </c>
      <c r="AG544" s="2">
        <v>9.6999999999999993</v>
      </c>
      <c r="AH544" s="2">
        <v>0</v>
      </c>
      <c r="AI544" s="2">
        <v>0</v>
      </c>
      <c r="AJ544" s="2">
        <v>0</v>
      </c>
      <c r="AK544" s="2">
        <v>0</v>
      </c>
      <c r="AL544" s="2">
        <v>12.1</v>
      </c>
      <c r="AM544" s="2">
        <v>6.2</v>
      </c>
      <c r="AN544" s="2">
        <v>30.8</v>
      </c>
      <c r="AO544" s="2">
        <v>42.9</v>
      </c>
      <c r="AP544" s="2">
        <v>51.4</v>
      </c>
      <c r="AQ544" s="2">
        <v>19.7</v>
      </c>
      <c r="AR544" s="2">
        <v>98.77</v>
      </c>
      <c r="AS544" s="2">
        <v>2.6</v>
      </c>
      <c r="AT544" s="2">
        <v>63</v>
      </c>
      <c r="AU544" s="53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6"/>
    </row>
    <row r="545" spans="1:69" ht="13.2">
      <c r="A545" s="1" t="s">
        <v>1116</v>
      </c>
      <c r="B545" s="1" t="s">
        <v>1117</v>
      </c>
      <c r="C545" s="24" t="str">
        <f>VLOOKUP(B545,Equipe!$A$1:$B$31,2,FALSE)</f>
        <v>Indiana Pacers</v>
      </c>
      <c r="D545" s="2">
        <v>38</v>
      </c>
      <c r="E545" s="2">
        <v>12</v>
      </c>
      <c r="F545" s="2">
        <v>5</v>
      </c>
      <c r="G545" s="2">
        <v>7</v>
      </c>
      <c r="H545" s="2">
        <v>3.1</v>
      </c>
      <c r="I545" s="3">
        <v>8</v>
      </c>
      <c r="J545" s="4">
        <v>4</v>
      </c>
      <c r="K545" s="4">
        <v>11</v>
      </c>
      <c r="L545" s="3">
        <v>36.4</v>
      </c>
      <c r="M545" s="3">
        <v>0</v>
      </c>
      <c r="N545" s="4">
        <v>4</v>
      </c>
      <c r="O545" s="3">
        <v>0</v>
      </c>
      <c r="P545" s="3">
        <v>0</v>
      </c>
      <c r="Q545" s="3">
        <v>1</v>
      </c>
      <c r="R545" s="3">
        <v>0</v>
      </c>
      <c r="S545" s="3">
        <v>0</v>
      </c>
      <c r="T545" s="4">
        <v>6</v>
      </c>
      <c r="U545" s="4">
        <v>6</v>
      </c>
      <c r="V545" s="4">
        <v>4</v>
      </c>
      <c r="W545" s="4">
        <v>4</v>
      </c>
      <c r="X545" s="3">
        <v>0</v>
      </c>
      <c r="Y545" s="4">
        <v>2</v>
      </c>
      <c r="Z545" s="4">
        <v>5</v>
      </c>
      <c r="AA545" s="3">
        <v>23</v>
      </c>
      <c r="AB545" s="3">
        <v>0</v>
      </c>
      <c r="AC545" s="3">
        <v>0</v>
      </c>
      <c r="AD545" s="2">
        <v>-0.8</v>
      </c>
      <c r="AE545" s="2">
        <v>97.4</v>
      </c>
      <c r="AF545" s="2">
        <v>110.5</v>
      </c>
      <c r="AG545" s="2">
        <v>-13.1</v>
      </c>
      <c r="AH545" s="2">
        <v>16</v>
      </c>
      <c r="AI545" s="2">
        <v>1</v>
      </c>
      <c r="AJ545" s="2">
        <v>21.1</v>
      </c>
      <c r="AK545" s="2">
        <v>0</v>
      </c>
      <c r="AL545" s="2">
        <v>17.600000000000001</v>
      </c>
      <c r="AM545" s="2">
        <v>8.6999999999999993</v>
      </c>
      <c r="AN545" s="2">
        <v>21.1</v>
      </c>
      <c r="AO545" s="2">
        <v>36.4</v>
      </c>
      <c r="AP545" s="2">
        <v>35</v>
      </c>
      <c r="AQ545" s="2">
        <v>16.5</v>
      </c>
      <c r="AR545" s="2">
        <v>100.28</v>
      </c>
      <c r="AS545" s="2">
        <v>1.5</v>
      </c>
      <c r="AT545" s="2">
        <v>77</v>
      </c>
      <c r="AU545" s="53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6"/>
    </row>
    <row r="546" spans="1:69" ht="13.2">
      <c r="A546" s="1" t="s">
        <v>1120</v>
      </c>
      <c r="B546" s="1" t="s">
        <v>1121</v>
      </c>
      <c r="C546" s="24" t="str">
        <f>VLOOKUP(B546,Equipe!$A$1:$B$31,2,FALSE)</f>
        <v>Philadelphia 76ers</v>
      </c>
      <c r="D546" s="2">
        <v>23</v>
      </c>
      <c r="E546" s="2">
        <v>5</v>
      </c>
      <c r="F546" s="2">
        <v>0</v>
      </c>
      <c r="G546" s="2">
        <v>5</v>
      </c>
      <c r="H546" s="2">
        <v>8.9</v>
      </c>
      <c r="I546" s="3">
        <v>8</v>
      </c>
      <c r="J546" s="4">
        <v>3</v>
      </c>
      <c r="K546" s="4">
        <v>21</v>
      </c>
      <c r="L546" s="3">
        <v>14.3</v>
      </c>
      <c r="M546" s="3">
        <v>0</v>
      </c>
      <c r="N546" s="4">
        <v>10</v>
      </c>
      <c r="O546" s="3">
        <v>0</v>
      </c>
      <c r="P546" s="3">
        <v>2</v>
      </c>
      <c r="Q546" s="3">
        <v>2</v>
      </c>
      <c r="R546" s="3">
        <v>100</v>
      </c>
      <c r="S546" s="4">
        <v>2</v>
      </c>
      <c r="T546" s="4">
        <v>6</v>
      </c>
      <c r="U546" s="4">
        <v>8</v>
      </c>
      <c r="V546" s="4">
        <v>2</v>
      </c>
      <c r="W546" s="4">
        <v>1</v>
      </c>
      <c r="X546" s="4">
        <v>1</v>
      </c>
      <c r="Y546" s="4">
        <v>2</v>
      </c>
      <c r="Z546" s="4">
        <v>1</v>
      </c>
      <c r="AA546" s="3">
        <v>29</v>
      </c>
      <c r="AB546" s="3">
        <v>0</v>
      </c>
      <c r="AC546" s="3">
        <v>0</v>
      </c>
      <c r="AD546" s="2">
        <v>2.6</v>
      </c>
      <c r="AE546" s="2">
        <v>110</v>
      </c>
      <c r="AF546" s="2">
        <v>96.6</v>
      </c>
      <c r="AG546" s="2">
        <v>13.4</v>
      </c>
      <c r="AH546" s="2">
        <v>6.5</v>
      </c>
      <c r="AI546" s="2">
        <v>2</v>
      </c>
      <c r="AJ546" s="2">
        <v>8</v>
      </c>
      <c r="AK546" s="2">
        <v>3.6</v>
      </c>
      <c r="AL546" s="2">
        <v>12.5</v>
      </c>
      <c r="AM546" s="2">
        <v>7.7</v>
      </c>
      <c r="AN546" s="2">
        <v>4</v>
      </c>
      <c r="AO546" s="2">
        <v>14.3</v>
      </c>
      <c r="AP546" s="2">
        <v>18.3</v>
      </c>
      <c r="AQ546" s="2">
        <v>22.1</v>
      </c>
      <c r="AR546" s="2">
        <v>96.76</v>
      </c>
      <c r="AS546" s="2">
        <v>-0.5</v>
      </c>
      <c r="AT546" s="2">
        <v>90</v>
      </c>
      <c r="AU546" s="53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6"/>
    </row>
    <row r="547" spans="1:69" ht="13.2">
      <c r="A547" s="1" t="s">
        <v>1118</v>
      </c>
      <c r="B547" s="1" t="s">
        <v>1119</v>
      </c>
      <c r="C547" s="24" t="str">
        <f>VLOOKUP(B547,Equipe!$A$1:$B$31,2,FALSE)</f>
        <v>New York Knicks</v>
      </c>
      <c r="D547" s="2">
        <v>24</v>
      </c>
      <c r="E547" s="2">
        <v>9</v>
      </c>
      <c r="F547" s="2">
        <v>5</v>
      </c>
      <c r="G547" s="2">
        <v>4</v>
      </c>
      <c r="H547" s="2">
        <v>2.5</v>
      </c>
      <c r="I547" s="3">
        <v>8</v>
      </c>
      <c r="J547" s="4">
        <v>4</v>
      </c>
      <c r="K547" s="4">
        <v>9</v>
      </c>
      <c r="L547" s="3">
        <v>44.4</v>
      </c>
      <c r="M547" s="3">
        <v>0</v>
      </c>
      <c r="N547" s="4">
        <v>1</v>
      </c>
      <c r="O547" s="3">
        <v>0</v>
      </c>
      <c r="P547" s="3">
        <v>0</v>
      </c>
      <c r="Q547" s="3">
        <v>0</v>
      </c>
      <c r="R547" s="3">
        <v>0</v>
      </c>
      <c r="S547" s="4">
        <v>1</v>
      </c>
      <c r="T547" s="4">
        <v>2</v>
      </c>
      <c r="U547" s="4">
        <v>3</v>
      </c>
      <c r="V547" s="4">
        <v>2</v>
      </c>
      <c r="W547" s="4">
        <v>2</v>
      </c>
      <c r="X547" s="4">
        <v>1</v>
      </c>
      <c r="Y547" s="3">
        <v>0</v>
      </c>
      <c r="Z547" s="4">
        <v>3</v>
      </c>
      <c r="AA547" s="3">
        <v>15</v>
      </c>
      <c r="AB547" s="3">
        <v>0</v>
      </c>
      <c r="AC547" s="3">
        <v>0</v>
      </c>
      <c r="AD547" s="2">
        <v>-1</v>
      </c>
      <c r="AE547" s="2">
        <v>103.9</v>
      </c>
      <c r="AF547" s="2">
        <v>119.2</v>
      </c>
      <c r="AG547" s="2">
        <v>-15.3</v>
      </c>
      <c r="AH547" s="2">
        <v>12.5</v>
      </c>
      <c r="AI547" s="2">
        <v>1</v>
      </c>
      <c r="AJ547" s="2">
        <v>15.4</v>
      </c>
      <c r="AK547" s="2">
        <v>5</v>
      </c>
      <c r="AL547" s="2">
        <v>11.8</v>
      </c>
      <c r="AM547" s="2">
        <v>8.1</v>
      </c>
      <c r="AN547" s="2">
        <v>15.4</v>
      </c>
      <c r="AO547" s="2">
        <v>44.4</v>
      </c>
      <c r="AP547" s="2">
        <v>44.4</v>
      </c>
      <c r="AQ547" s="2">
        <v>19.3</v>
      </c>
      <c r="AR547" s="2">
        <v>111.52</v>
      </c>
      <c r="AS547" s="2">
        <v>3.3</v>
      </c>
      <c r="AT547" s="2">
        <v>51</v>
      </c>
      <c r="AU547" s="53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6"/>
    </row>
    <row r="548" spans="1:69" ht="13.2">
      <c r="A548" s="1" t="s">
        <v>1114</v>
      </c>
      <c r="B548" s="1" t="s">
        <v>1115</v>
      </c>
      <c r="C548" s="24" t="str">
        <f>VLOOKUP(B548,Equipe!$A$1:$B$31,2,FALSE)</f>
        <v>Chicago Bulls</v>
      </c>
      <c r="D548" s="2">
        <v>23</v>
      </c>
      <c r="E548" s="2">
        <v>4</v>
      </c>
      <c r="F548" s="2">
        <v>2</v>
      </c>
      <c r="G548" s="2">
        <v>2</v>
      </c>
      <c r="H548" s="2">
        <v>5.4</v>
      </c>
      <c r="I548" s="3">
        <v>8</v>
      </c>
      <c r="J548" s="4">
        <v>4</v>
      </c>
      <c r="K548" s="4">
        <v>7</v>
      </c>
      <c r="L548" s="3">
        <v>57.1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4">
        <v>5</v>
      </c>
      <c r="T548" s="4">
        <v>1</v>
      </c>
      <c r="U548" s="4">
        <v>6</v>
      </c>
      <c r="V548" s="4">
        <v>1</v>
      </c>
      <c r="W548" s="4">
        <v>1</v>
      </c>
      <c r="X548" s="3">
        <v>0</v>
      </c>
      <c r="Y548" s="3">
        <v>0</v>
      </c>
      <c r="Z548" s="4">
        <v>1</v>
      </c>
      <c r="AA548" s="3">
        <v>16</v>
      </c>
      <c r="AB548" s="3">
        <v>0</v>
      </c>
      <c r="AC548" s="3">
        <v>0</v>
      </c>
      <c r="AD548" s="2">
        <v>-1.3</v>
      </c>
      <c r="AE548" s="2">
        <v>104.2</v>
      </c>
      <c r="AF548" s="2">
        <v>122.2</v>
      </c>
      <c r="AG548" s="2">
        <v>-18.100000000000001</v>
      </c>
      <c r="AH548" s="2">
        <v>6.7</v>
      </c>
      <c r="AI548" s="2">
        <v>1</v>
      </c>
      <c r="AJ548" s="2">
        <v>11.1</v>
      </c>
      <c r="AK548" s="2">
        <v>21.7</v>
      </c>
      <c r="AL548" s="2">
        <v>5.3</v>
      </c>
      <c r="AM548" s="2">
        <v>14.3</v>
      </c>
      <c r="AN548" s="2">
        <v>11.1</v>
      </c>
      <c r="AO548" s="2">
        <v>57.1</v>
      </c>
      <c r="AP548" s="2">
        <v>57.1</v>
      </c>
      <c r="AQ548" s="2">
        <v>14.5</v>
      </c>
      <c r="AR548" s="2">
        <v>103.82</v>
      </c>
      <c r="AS548" s="2">
        <v>7.8</v>
      </c>
      <c r="AT548" s="2">
        <v>48</v>
      </c>
      <c r="AU548" s="53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6"/>
    </row>
    <row r="549" spans="1:69" ht="13.2">
      <c r="A549" s="1" t="s">
        <v>1126</v>
      </c>
      <c r="B549" s="1" t="s">
        <v>1127</v>
      </c>
      <c r="C549" s="24" t="str">
        <f>VLOOKUP(B549,Equipe!$A$1:$B$31,2,FALSE)</f>
        <v>Minnesota Timberwolves</v>
      </c>
      <c r="D549" s="2">
        <v>28</v>
      </c>
      <c r="E549" s="2">
        <v>9</v>
      </c>
      <c r="F549" s="2">
        <v>7</v>
      </c>
      <c r="G549" s="2">
        <v>2</v>
      </c>
      <c r="H549" s="2">
        <v>3.9</v>
      </c>
      <c r="I549" s="3">
        <v>7</v>
      </c>
      <c r="J549" s="4">
        <v>2</v>
      </c>
      <c r="K549" s="4">
        <v>3</v>
      </c>
      <c r="L549" s="3">
        <v>66.7</v>
      </c>
      <c r="M549" s="4">
        <v>2</v>
      </c>
      <c r="N549" s="4">
        <v>3</v>
      </c>
      <c r="O549" s="3">
        <v>66.7</v>
      </c>
      <c r="P549" s="3">
        <v>1</v>
      </c>
      <c r="Q549" s="3">
        <v>6</v>
      </c>
      <c r="R549" s="3">
        <v>16.7</v>
      </c>
      <c r="S549" s="4">
        <v>1</v>
      </c>
      <c r="T549" s="4">
        <v>4</v>
      </c>
      <c r="U549" s="4">
        <v>5</v>
      </c>
      <c r="V549" s="4">
        <v>5</v>
      </c>
      <c r="W549" s="4">
        <v>1</v>
      </c>
      <c r="X549" s="4">
        <v>1</v>
      </c>
      <c r="Y549" s="3">
        <v>0</v>
      </c>
      <c r="Z549" s="4">
        <v>3</v>
      </c>
      <c r="AA549" s="3">
        <v>23</v>
      </c>
      <c r="AB549" s="3">
        <v>0</v>
      </c>
      <c r="AC549" s="3">
        <v>0</v>
      </c>
      <c r="AD549" s="2">
        <v>-0.4</v>
      </c>
      <c r="AE549" s="2">
        <v>98.8</v>
      </c>
      <c r="AF549" s="2">
        <v>107.8</v>
      </c>
      <c r="AG549" s="2">
        <v>-9</v>
      </c>
      <c r="AH549" s="2">
        <v>16.7</v>
      </c>
      <c r="AI549" s="2">
        <v>5</v>
      </c>
      <c r="AJ549" s="2">
        <v>41.7</v>
      </c>
      <c r="AK549" s="2">
        <v>4</v>
      </c>
      <c r="AL549" s="2">
        <v>12.5</v>
      </c>
      <c r="AM549" s="2">
        <v>8.8000000000000007</v>
      </c>
      <c r="AN549" s="2">
        <v>8.3000000000000007</v>
      </c>
      <c r="AO549" s="2">
        <v>100</v>
      </c>
      <c r="AP549" s="2">
        <v>62.1</v>
      </c>
      <c r="AQ549" s="2">
        <v>8.1999999999999993</v>
      </c>
      <c r="AR549" s="2">
        <v>107.91</v>
      </c>
      <c r="AS549" s="2">
        <v>5.4</v>
      </c>
      <c r="AT549" s="2">
        <v>80</v>
      </c>
      <c r="AU549" s="53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6"/>
    </row>
    <row r="550" spans="1:69" ht="13.2">
      <c r="A550" s="1" t="s">
        <v>1124</v>
      </c>
      <c r="B550" s="1" t="s">
        <v>1125</v>
      </c>
      <c r="C550" s="24" t="str">
        <f>VLOOKUP(B550,Equipe!$A$1:$B$31,2,FALSE)</f>
        <v>Detroit Pistons</v>
      </c>
      <c r="D550" s="2">
        <v>23</v>
      </c>
      <c r="E550" s="2">
        <v>7</v>
      </c>
      <c r="F550" s="2">
        <v>3</v>
      </c>
      <c r="G550" s="2">
        <v>4</v>
      </c>
      <c r="H550" s="2">
        <v>3.2</v>
      </c>
      <c r="I550" s="3">
        <v>7</v>
      </c>
      <c r="J550" s="4">
        <v>3</v>
      </c>
      <c r="K550" s="4">
        <v>10</v>
      </c>
      <c r="L550" s="3">
        <v>30</v>
      </c>
      <c r="M550" s="4">
        <v>1</v>
      </c>
      <c r="N550" s="4">
        <v>7</v>
      </c>
      <c r="O550" s="3">
        <v>14.3</v>
      </c>
      <c r="P550" s="3">
        <v>0</v>
      </c>
      <c r="Q550" s="3">
        <v>2</v>
      </c>
      <c r="R550" s="3">
        <v>0</v>
      </c>
      <c r="S550" s="3">
        <v>0</v>
      </c>
      <c r="T550" s="4">
        <v>2</v>
      </c>
      <c r="U550" s="4">
        <v>2</v>
      </c>
      <c r="V550" s="4">
        <v>3</v>
      </c>
      <c r="W550" s="4">
        <v>1</v>
      </c>
      <c r="X550" s="3">
        <v>0</v>
      </c>
      <c r="Y550" s="3">
        <v>0</v>
      </c>
      <c r="Z550" s="4">
        <v>2</v>
      </c>
      <c r="AA550" s="3">
        <v>13</v>
      </c>
      <c r="AB550" s="3">
        <v>0</v>
      </c>
      <c r="AC550" s="3">
        <v>0</v>
      </c>
      <c r="AD550" s="2">
        <v>-1.3</v>
      </c>
      <c r="AE550" s="2">
        <v>102.3</v>
      </c>
      <c r="AF550" s="2">
        <v>108.2</v>
      </c>
      <c r="AG550" s="2">
        <v>-5.8</v>
      </c>
      <c r="AH550" s="2">
        <v>20</v>
      </c>
      <c r="AI550" s="2">
        <v>3</v>
      </c>
      <c r="AJ550" s="2">
        <v>20</v>
      </c>
      <c r="AK550" s="2">
        <v>0</v>
      </c>
      <c r="AL550" s="2">
        <v>18.2</v>
      </c>
      <c r="AM550" s="2">
        <v>5.4</v>
      </c>
      <c r="AN550" s="2">
        <v>6.7</v>
      </c>
      <c r="AO550" s="2">
        <v>35</v>
      </c>
      <c r="AP550" s="2">
        <v>32.200000000000003</v>
      </c>
      <c r="AQ550" s="2">
        <v>23.1</v>
      </c>
      <c r="AR550" s="2">
        <v>97.06</v>
      </c>
      <c r="AS550" s="2">
        <v>0</v>
      </c>
      <c r="AT550" s="2">
        <v>43</v>
      </c>
      <c r="AU550" s="53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6"/>
    </row>
    <row r="551" spans="1:69" ht="13.2">
      <c r="A551" s="1" t="s">
        <v>1122</v>
      </c>
      <c r="B551" s="1" t="s">
        <v>1123</v>
      </c>
      <c r="C551" s="24" t="str">
        <f>VLOOKUP(B551,Equipe!$A$1:$B$31,2,FALSE)</f>
        <v>Boston Celtics</v>
      </c>
      <c r="D551" s="2">
        <v>25</v>
      </c>
      <c r="E551" s="2">
        <v>3</v>
      </c>
      <c r="F551" s="2">
        <v>2</v>
      </c>
      <c r="G551" s="2">
        <v>1</v>
      </c>
      <c r="H551" s="2">
        <v>11.6</v>
      </c>
      <c r="I551" s="3">
        <v>7</v>
      </c>
      <c r="J551" s="4">
        <v>2</v>
      </c>
      <c r="K551" s="4">
        <v>9</v>
      </c>
      <c r="L551" s="3">
        <v>22.2</v>
      </c>
      <c r="M551" s="4">
        <v>2</v>
      </c>
      <c r="N551" s="4">
        <v>7</v>
      </c>
      <c r="O551" s="3">
        <v>28.6</v>
      </c>
      <c r="P551" s="3">
        <v>1</v>
      </c>
      <c r="Q551" s="3">
        <v>2</v>
      </c>
      <c r="R551" s="3">
        <v>50</v>
      </c>
      <c r="S551" s="4">
        <v>2</v>
      </c>
      <c r="T551" s="4">
        <v>7</v>
      </c>
      <c r="U551" s="4">
        <v>9</v>
      </c>
      <c r="V551" s="3">
        <v>0</v>
      </c>
      <c r="W551" s="3">
        <v>0</v>
      </c>
      <c r="X551" s="4">
        <v>2</v>
      </c>
      <c r="Y551" s="4">
        <v>1</v>
      </c>
      <c r="Z551" s="3">
        <v>0</v>
      </c>
      <c r="AA551" s="3">
        <v>27</v>
      </c>
      <c r="AB551" s="3">
        <v>0</v>
      </c>
      <c r="AC551" s="3">
        <v>0</v>
      </c>
      <c r="AD551" s="2">
        <v>-4.7</v>
      </c>
      <c r="AE551" s="2">
        <v>87.7</v>
      </c>
      <c r="AF551" s="2">
        <v>110.9</v>
      </c>
      <c r="AG551" s="2">
        <v>-23.2</v>
      </c>
      <c r="AH551" s="2">
        <v>0</v>
      </c>
      <c r="AI551" s="2">
        <v>0</v>
      </c>
      <c r="AJ551" s="2">
        <v>0</v>
      </c>
      <c r="AK551" s="2">
        <v>4.8</v>
      </c>
      <c r="AL551" s="2">
        <v>17.100000000000001</v>
      </c>
      <c r="AM551" s="2">
        <v>10.8</v>
      </c>
      <c r="AN551" s="2">
        <v>0</v>
      </c>
      <c r="AO551" s="2">
        <v>33.299999999999997</v>
      </c>
      <c r="AP551" s="2">
        <v>35.4</v>
      </c>
      <c r="AQ551" s="2">
        <v>12.7</v>
      </c>
      <c r="AR551" s="2">
        <v>88.67</v>
      </c>
      <c r="AS551" s="2">
        <v>8.8000000000000007</v>
      </c>
      <c r="AT551" s="2">
        <v>65</v>
      </c>
      <c r="AU551" s="53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6"/>
    </row>
    <row r="552" spans="1:69" ht="13.2">
      <c r="A552" s="1" t="s">
        <v>1132</v>
      </c>
      <c r="B552" s="1" t="s">
        <v>1133</v>
      </c>
      <c r="C552" s="24" t="str">
        <f>VLOOKUP(B552,Equipe!$A$1:$B$31,2,FALSE)</f>
        <v>Philadelphia 76ers</v>
      </c>
      <c r="D552" s="2">
        <v>25</v>
      </c>
      <c r="E552" s="2">
        <v>1</v>
      </c>
      <c r="F552" s="2">
        <v>0</v>
      </c>
      <c r="G552" s="2">
        <v>1</v>
      </c>
      <c r="H552" s="2">
        <v>17.399999999999999</v>
      </c>
      <c r="I552" s="3">
        <v>6</v>
      </c>
      <c r="J552" s="4">
        <v>2</v>
      </c>
      <c r="K552" s="4">
        <v>7</v>
      </c>
      <c r="L552" s="3">
        <v>28.6</v>
      </c>
      <c r="M552" s="4">
        <v>1</v>
      </c>
      <c r="N552" s="4">
        <v>3</v>
      </c>
      <c r="O552" s="3">
        <v>33.299999999999997</v>
      </c>
      <c r="P552" s="3">
        <v>1</v>
      </c>
      <c r="Q552" s="3">
        <v>2</v>
      </c>
      <c r="R552" s="3">
        <v>50</v>
      </c>
      <c r="S552" s="4">
        <v>1</v>
      </c>
      <c r="T552" s="4">
        <v>3</v>
      </c>
      <c r="U552" s="4">
        <v>4</v>
      </c>
      <c r="V552" s="4">
        <v>5</v>
      </c>
      <c r="W552" s="3">
        <v>0</v>
      </c>
      <c r="X552" s="4">
        <v>1</v>
      </c>
      <c r="Y552" s="4">
        <v>1</v>
      </c>
      <c r="Z552" s="4">
        <v>3</v>
      </c>
      <c r="AA552" s="3">
        <v>24</v>
      </c>
      <c r="AB552" s="3">
        <v>0</v>
      </c>
      <c r="AC552" s="3">
        <v>0</v>
      </c>
      <c r="AD552" s="2">
        <v>-6</v>
      </c>
      <c r="AE552" s="2">
        <v>92.7</v>
      </c>
      <c r="AF552" s="2">
        <v>110</v>
      </c>
      <c r="AG552" s="2">
        <v>-17.3</v>
      </c>
      <c r="AH552" s="2">
        <v>55.6</v>
      </c>
      <c r="AI552" s="2">
        <v>0</v>
      </c>
      <c r="AJ552" s="2">
        <v>38.5</v>
      </c>
      <c r="AK552" s="2">
        <v>4</v>
      </c>
      <c r="AL552" s="2">
        <v>15.8</v>
      </c>
      <c r="AM552" s="2">
        <v>9.1</v>
      </c>
      <c r="AN552" s="2">
        <v>0</v>
      </c>
      <c r="AO552" s="2">
        <v>35.700000000000003</v>
      </c>
      <c r="AP552" s="2">
        <v>38.1</v>
      </c>
      <c r="AQ552" s="2">
        <v>17</v>
      </c>
      <c r="AR552" s="2">
        <v>111.94</v>
      </c>
      <c r="AS552" s="2">
        <v>9.9</v>
      </c>
      <c r="AT552" s="2">
        <v>41</v>
      </c>
      <c r="AU552" s="53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6"/>
    </row>
    <row r="553" spans="1:69" ht="13.2">
      <c r="A553" s="8" t="s">
        <v>1130</v>
      </c>
      <c r="B553" s="1" t="s">
        <v>1131</v>
      </c>
      <c r="C553" s="24" t="str">
        <f>VLOOKUP(B553,Equipe!$A$1:$B$31,2,FALSE)</f>
        <v>New York Knicks</v>
      </c>
      <c r="D553" s="2">
        <v>24</v>
      </c>
      <c r="E553" s="2">
        <v>4</v>
      </c>
      <c r="F553" s="2">
        <v>4</v>
      </c>
      <c r="G553" s="2">
        <v>0</v>
      </c>
      <c r="H553" s="2">
        <v>7.3</v>
      </c>
      <c r="I553" s="3">
        <v>6</v>
      </c>
      <c r="J553" s="4">
        <v>2</v>
      </c>
      <c r="K553" s="4">
        <v>7</v>
      </c>
      <c r="L553" s="3">
        <v>28.6</v>
      </c>
      <c r="M553" s="3">
        <v>0</v>
      </c>
      <c r="N553" s="4">
        <v>1</v>
      </c>
      <c r="O553" s="3">
        <v>0</v>
      </c>
      <c r="P553" s="3">
        <v>2</v>
      </c>
      <c r="Q553" s="3">
        <v>2</v>
      </c>
      <c r="R553" s="3">
        <v>100</v>
      </c>
      <c r="S553" s="3">
        <v>0</v>
      </c>
      <c r="T553" s="4">
        <v>8</v>
      </c>
      <c r="U553" s="4">
        <v>8</v>
      </c>
      <c r="V553" s="4">
        <v>2</v>
      </c>
      <c r="W553" s="3">
        <v>0</v>
      </c>
      <c r="X553" s="4">
        <v>1</v>
      </c>
      <c r="Y553" s="4">
        <v>1</v>
      </c>
      <c r="Z553" s="4">
        <v>6</v>
      </c>
      <c r="AA553" s="3">
        <v>25</v>
      </c>
      <c r="AB553" s="3">
        <v>0</v>
      </c>
      <c r="AC553" s="3">
        <v>0</v>
      </c>
      <c r="AD553" s="2">
        <v>-0.5</v>
      </c>
      <c r="AE553" s="2">
        <v>93.8</v>
      </c>
      <c r="AF553" s="2">
        <v>96.9</v>
      </c>
      <c r="AG553" s="2">
        <v>-3.1</v>
      </c>
      <c r="AH553" s="2">
        <v>11.1</v>
      </c>
      <c r="AI553" s="2">
        <v>0</v>
      </c>
      <c r="AJ553" s="2">
        <v>20</v>
      </c>
      <c r="AK553" s="2">
        <v>0</v>
      </c>
      <c r="AL553" s="2">
        <v>28.6</v>
      </c>
      <c r="AM553" s="2">
        <v>15.1</v>
      </c>
      <c r="AN553" s="2">
        <v>0</v>
      </c>
      <c r="AO553" s="2">
        <v>28.6</v>
      </c>
      <c r="AP553" s="2">
        <v>38.1</v>
      </c>
      <c r="AQ553" s="2">
        <v>11.8</v>
      </c>
      <c r="AR553" s="2">
        <v>105.33</v>
      </c>
      <c r="AS553" s="2">
        <v>6.6</v>
      </c>
      <c r="AT553" s="2">
        <v>64</v>
      </c>
      <c r="AU553" s="53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6"/>
    </row>
    <row r="554" spans="1:69" ht="13.2">
      <c r="A554" s="1" t="s">
        <v>1134</v>
      </c>
      <c r="B554" s="1" t="s">
        <v>1135</v>
      </c>
      <c r="C554" s="24" t="str">
        <f>VLOOKUP(B554,Equipe!$A$1:$B$31,2,FALSE)</f>
        <v>Portland Trail Blazers</v>
      </c>
      <c r="D554" s="2">
        <v>26</v>
      </c>
      <c r="E554" s="2">
        <v>2</v>
      </c>
      <c r="F554" s="2">
        <v>0</v>
      </c>
      <c r="G554" s="2">
        <v>2</v>
      </c>
      <c r="H554" s="2">
        <v>9.9</v>
      </c>
      <c r="I554" s="3">
        <v>6</v>
      </c>
      <c r="J554" s="4">
        <v>2</v>
      </c>
      <c r="K554" s="4">
        <v>10</v>
      </c>
      <c r="L554" s="3">
        <v>20</v>
      </c>
      <c r="M554" s="4">
        <v>1</v>
      </c>
      <c r="N554" s="4">
        <v>4</v>
      </c>
      <c r="O554" s="3">
        <v>25</v>
      </c>
      <c r="P554" s="3">
        <v>1</v>
      </c>
      <c r="Q554" s="3">
        <v>2</v>
      </c>
      <c r="R554" s="3">
        <v>50</v>
      </c>
      <c r="S554" s="4">
        <v>4</v>
      </c>
      <c r="T554" s="4">
        <v>4</v>
      </c>
      <c r="U554" s="4">
        <v>8</v>
      </c>
      <c r="V554" s="4">
        <v>1</v>
      </c>
      <c r="W554" s="4">
        <v>2</v>
      </c>
      <c r="X554" s="4">
        <v>2</v>
      </c>
      <c r="Y554" s="3">
        <v>0</v>
      </c>
      <c r="Z554" s="3">
        <v>0</v>
      </c>
      <c r="AA554" s="3">
        <v>21</v>
      </c>
      <c r="AB554" s="3">
        <v>0</v>
      </c>
      <c r="AC554" s="3">
        <v>0</v>
      </c>
      <c r="AD554" s="2">
        <v>-3.5</v>
      </c>
      <c r="AE554" s="2">
        <v>58.7</v>
      </c>
      <c r="AF554" s="2">
        <v>77.3</v>
      </c>
      <c r="AG554" s="2">
        <v>-18.600000000000001</v>
      </c>
      <c r="AH554" s="2">
        <v>12.5</v>
      </c>
      <c r="AI554" s="2">
        <v>0.5</v>
      </c>
      <c r="AJ554" s="2">
        <v>7.1</v>
      </c>
      <c r="AK554" s="2">
        <v>12.1</v>
      </c>
      <c r="AL554" s="2">
        <v>16</v>
      </c>
      <c r="AM554" s="2">
        <v>13.8</v>
      </c>
      <c r="AN554" s="2">
        <v>14.3</v>
      </c>
      <c r="AO554" s="2">
        <v>25</v>
      </c>
      <c r="AP554" s="2">
        <v>27.6</v>
      </c>
      <c r="AQ554" s="2">
        <v>22.4</v>
      </c>
      <c r="AR554" s="2">
        <v>108.82</v>
      </c>
      <c r="AS554" s="2">
        <v>10.5</v>
      </c>
      <c r="AT554" s="2">
        <v>46</v>
      </c>
      <c r="AU554" s="53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6"/>
    </row>
    <row r="555" spans="1:69" ht="13.2">
      <c r="A555" s="1" t="s">
        <v>1128</v>
      </c>
      <c r="B555" s="1" t="s">
        <v>1129</v>
      </c>
      <c r="C555" s="24" t="str">
        <f>VLOOKUP(B555,Equipe!$A$1:$B$31,2,FALSE)</f>
        <v>Indiana Pacers</v>
      </c>
      <c r="D555" s="2">
        <v>24</v>
      </c>
      <c r="E555" s="2">
        <v>1</v>
      </c>
      <c r="F555" s="2">
        <v>1</v>
      </c>
      <c r="G555" s="2">
        <v>0</v>
      </c>
      <c r="H555" s="2">
        <v>4.5999999999999996</v>
      </c>
      <c r="I555" s="3">
        <v>6</v>
      </c>
      <c r="J555" s="4">
        <v>2</v>
      </c>
      <c r="K555" s="4">
        <v>4</v>
      </c>
      <c r="L555" s="3">
        <v>50</v>
      </c>
      <c r="M555" s="3">
        <v>0</v>
      </c>
      <c r="N555" s="4">
        <v>1</v>
      </c>
      <c r="O555" s="3">
        <v>0</v>
      </c>
      <c r="P555" s="3">
        <v>2</v>
      </c>
      <c r="Q555" s="3">
        <v>2</v>
      </c>
      <c r="R555" s="3">
        <v>100</v>
      </c>
      <c r="S555" s="3">
        <v>0</v>
      </c>
      <c r="T555" s="4">
        <v>1</v>
      </c>
      <c r="U555" s="4">
        <v>1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7</v>
      </c>
      <c r="AB555" s="3">
        <v>0</v>
      </c>
      <c r="AC555" s="3">
        <v>0</v>
      </c>
      <c r="AD555" s="2">
        <v>-4</v>
      </c>
      <c r="AE555" s="2">
        <v>118.2</v>
      </c>
      <c r="AF555" s="2">
        <v>141.69999999999999</v>
      </c>
      <c r="AG555" s="2">
        <v>-23.5</v>
      </c>
      <c r="AH555" s="2">
        <v>0</v>
      </c>
      <c r="AI555" s="2">
        <v>0</v>
      </c>
      <c r="AJ555" s="2">
        <v>0</v>
      </c>
      <c r="AK555" s="2">
        <v>0</v>
      </c>
      <c r="AL555" s="2">
        <v>25</v>
      </c>
      <c r="AM555" s="2">
        <v>12.5</v>
      </c>
      <c r="AN555" s="2">
        <v>0</v>
      </c>
      <c r="AO555" s="2">
        <v>50</v>
      </c>
      <c r="AP555" s="2">
        <v>61.5</v>
      </c>
      <c r="AQ555" s="2">
        <v>45.5</v>
      </c>
      <c r="AR555" s="2">
        <v>119.14</v>
      </c>
      <c r="AS555" s="2">
        <v>15.6</v>
      </c>
      <c r="AT555" s="2">
        <v>11</v>
      </c>
      <c r="AU555" s="53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6"/>
    </row>
    <row r="556" spans="1:69" ht="13.2">
      <c r="A556" s="1" t="s">
        <v>1140</v>
      </c>
      <c r="B556" s="1" t="s">
        <v>1141</v>
      </c>
      <c r="C556" s="24" t="str">
        <f>VLOOKUP(B556,Equipe!$A$1:$B$31,2,FALSE)</f>
        <v>Toronto Raptors</v>
      </c>
      <c r="D556" s="2">
        <v>19</v>
      </c>
      <c r="E556" s="2">
        <v>7</v>
      </c>
      <c r="F556" s="2">
        <v>3</v>
      </c>
      <c r="G556" s="2">
        <v>4</v>
      </c>
      <c r="H556" s="2">
        <v>4.5999999999999996</v>
      </c>
      <c r="I556" s="3">
        <v>5</v>
      </c>
      <c r="J556" s="4">
        <v>2</v>
      </c>
      <c r="K556" s="4">
        <v>5</v>
      </c>
      <c r="L556" s="3">
        <v>40</v>
      </c>
      <c r="M556" s="3">
        <v>0</v>
      </c>
      <c r="N556" s="3">
        <v>0</v>
      </c>
      <c r="O556" s="3">
        <v>0</v>
      </c>
      <c r="P556" s="3">
        <v>1</v>
      </c>
      <c r="Q556" s="3">
        <v>2</v>
      </c>
      <c r="R556" s="3">
        <v>50</v>
      </c>
      <c r="S556" s="4">
        <v>4</v>
      </c>
      <c r="T556" s="4">
        <v>4</v>
      </c>
      <c r="U556" s="4">
        <v>8</v>
      </c>
      <c r="V556" s="4">
        <v>2</v>
      </c>
      <c r="W556" s="4">
        <v>2</v>
      </c>
      <c r="X556" s="3">
        <v>0</v>
      </c>
      <c r="Y556" s="4">
        <v>1</v>
      </c>
      <c r="Z556" s="4">
        <v>5</v>
      </c>
      <c r="AA556" s="3">
        <v>19</v>
      </c>
      <c r="AB556" s="3">
        <v>0</v>
      </c>
      <c r="AC556" s="3">
        <v>0</v>
      </c>
      <c r="AD556" s="2">
        <v>-3.4</v>
      </c>
      <c r="AE556" s="2">
        <v>96.9</v>
      </c>
      <c r="AF556" s="2">
        <v>140.30000000000001</v>
      </c>
      <c r="AG556" s="2">
        <v>-43.4</v>
      </c>
      <c r="AH556" s="2">
        <v>11.1</v>
      </c>
      <c r="AI556" s="2">
        <v>1</v>
      </c>
      <c r="AJ556" s="2">
        <v>20</v>
      </c>
      <c r="AK556" s="2">
        <v>12.9</v>
      </c>
      <c r="AL556" s="2">
        <v>18.2</v>
      </c>
      <c r="AM556" s="2">
        <v>15.1</v>
      </c>
      <c r="AN556" s="2">
        <v>20</v>
      </c>
      <c r="AO556" s="2">
        <v>40</v>
      </c>
      <c r="AP556" s="2">
        <v>42.5</v>
      </c>
      <c r="AQ556" s="2">
        <v>10.8</v>
      </c>
      <c r="AR556" s="2">
        <v>94.73</v>
      </c>
      <c r="AS556" s="2">
        <v>2</v>
      </c>
      <c r="AT556" s="2">
        <v>65</v>
      </c>
      <c r="AU556" s="53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6"/>
    </row>
    <row r="557" spans="1:69" ht="13.2">
      <c r="A557" s="1" t="s">
        <v>1138</v>
      </c>
      <c r="B557" s="1" t="s">
        <v>1139</v>
      </c>
      <c r="C557" s="24" t="str">
        <f>VLOOKUP(B557,Equipe!$A$1:$B$31,2,FALSE)</f>
        <v>Sacramento Kings</v>
      </c>
      <c r="D557" s="2">
        <v>29</v>
      </c>
      <c r="E557" s="2">
        <v>4</v>
      </c>
      <c r="F557" s="2">
        <v>2</v>
      </c>
      <c r="G557" s="2">
        <v>2</v>
      </c>
      <c r="H557" s="2">
        <v>3</v>
      </c>
      <c r="I557" s="3">
        <v>5</v>
      </c>
      <c r="J557" s="4">
        <v>2</v>
      </c>
      <c r="K557" s="4">
        <v>4</v>
      </c>
      <c r="L557" s="3">
        <v>50</v>
      </c>
      <c r="M557" s="4">
        <v>1</v>
      </c>
      <c r="N557" s="4">
        <v>1</v>
      </c>
      <c r="O557" s="3">
        <v>100</v>
      </c>
      <c r="P557" s="3">
        <v>0</v>
      </c>
      <c r="Q557" s="3">
        <v>0</v>
      </c>
      <c r="R557" s="3">
        <v>0</v>
      </c>
      <c r="S557" s="4">
        <v>1</v>
      </c>
      <c r="T557" s="4">
        <v>2</v>
      </c>
      <c r="U557" s="4">
        <v>3</v>
      </c>
      <c r="V557" s="4">
        <v>1</v>
      </c>
      <c r="W557" s="3">
        <v>0</v>
      </c>
      <c r="X557" s="3">
        <v>0</v>
      </c>
      <c r="Y557" s="3">
        <v>0</v>
      </c>
      <c r="Z557" s="4">
        <v>1</v>
      </c>
      <c r="AA557" s="3">
        <v>10</v>
      </c>
      <c r="AB557" s="3">
        <v>0</v>
      </c>
      <c r="AC557" s="3">
        <v>0</v>
      </c>
      <c r="AD557" s="2">
        <v>-0.3</v>
      </c>
      <c r="AE557" s="2">
        <v>114.8</v>
      </c>
      <c r="AF557" s="2">
        <v>128</v>
      </c>
      <c r="AG557" s="2">
        <v>-13.2</v>
      </c>
      <c r="AH557" s="2">
        <v>12.5</v>
      </c>
      <c r="AI557" s="2">
        <v>0</v>
      </c>
      <c r="AJ557" s="2">
        <v>20</v>
      </c>
      <c r="AK557" s="2">
        <v>8.3000000000000007</v>
      </c>
      <c r="AL557" s="2">
        <v>22.2</v>
      </c>
      <c r="AM557" s="2">
        <v>14.3</v>
      </c>
      <c r="AN557" s="2">
        <v>0</v>
      </c>
      <c r="AO557" s="2">
        <v>62.5</v>
      </c>
      <c r="AP557" s="2">
        <v>62.5</v>
      </c>
      <c r="AQ557" s="2">
        <v>12.9</v>
      </c>
      <c r="AR557" s="2">
        <v>104.35</v>
      </c>
      <c r="AS557" s="2">
        <v>9.1999999999999993</v>
      </c>
      <c r="AT557" s="2">
        <v>27</v>
      </c>
      <c r="AU557" s="53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6"/>
    </row>
    <row r="558" spans="1:69" ht="13.2">
      <c r="A558" s="1" t="s">
        <v>1136</v>
      </c>
      <c r="B558" s="1" t="s">
        <v>1137</v>
      </c>
      <c r="C558" s="24" t="str">
        <f>VLOOKUP(B558,Equipe!$A$1:$B$31,2,FALSE)</f>
        <v>Detroit Pistons</v>
      </c>
      <c r="D558" s="2">
        <v>25</v>
      </c>
      <c r="E558" s="2">
        <v>1</v>
      </c>
      <c r="F558" s="2">
        <v>0</v>
      </c>
      <c r="G558" s="2">
        <v>1</v>
      </c>
      <c r="H558" s="2">
        <v>3.7</v>
      </c>
      <c r="I558" s="3">
        <v>5</v>
      </c>
      <c r="J558" s="4">
        <v>2</v>
      </c>
      <c r="K558" s="4">
        <v>2</v>
      </c>
      <c r="L558" s="3">
        <v>100</v>
      </c>
      <c r="M558" s="4">
        <v>1</v>
      </c>
      <c r="N558" s="4">
        <v>1</v>
      </c>
      <c r="O558" s="3">
        <v>100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4">
        <v>1</v>
      </c>
      <c r="W558" s="3">
        <v>0</v>
      </c>
      <c r="X558" s="3">
        <v>0</v>
      </c>
      <c r="Y558" s="3">
        <v>0</v>
      </c>
      <c r="Z558" s="3">
        <v>0</v>
      </c>
      <c r="AA558" s="3">
        <v>7</v>
      </c>
      <c r="AB558" s="3">
        <v>0</v>
      </c>
      <c r="AC558" s="3">
        <v>0</v>
      </c>
      <c r="AD558" s="2">
        <v>6</v>
      </c>
      <c r="AE558" s="2">
        <v>171.4</v>
      </c>
      <c r="AF558" s="2">
        <v>85.7</v>
      </c>
      <c r="AG558" s="2">
        <v>85.7</v>
      </c>
      <c r="AH558" s="2">
        <v>33.299999999999997</v>
      </c>
      <c r="AI558" s="2">
        <v>0</v>
      </c>
      <c r="AJ558" s="2">
        <v>33.299999999999997</v>
      </c>
      <c r="AK558" s="2">
        <v>0</v>
      </c>
      <c r="AL558" s="2">
        <v>0</v>
      </c>
      <c r="AM558" s="2">
        <v>0</v>
      </c>
      <c r="AN558" s="2">
        <v>0</v>
      </c>
      <c r="AO558" s="2">
        <v>125</v>
      </c>
      <c r="AP558" s="2">
        <v>125</v>
      </c>
      <c r="AQ558" s="2">
        <v>28.6</v>
      </c>
      <c r="AR558" s="2">
        <v>90.4</v>
      </c>
      <c r="AS558" s="2">
        <v>40</v>
      </c>
      <c r="AT558" s="2">
        <v>7</v>
      </c>
      <c r="AU558" s="53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6"/>
    </row>
    <row r="559" spans="1:69" ht="13.2">
      <c r="A559" s="1" t="s">
        <v>1144</v>
      </c>
      <c r="B559" s="1" t="s">
        <v>1145</v>
      </c>
      <c r="C559" s="24" t="str">
        <f>VLOOKUP(B559,Equipe!$A$1:$B$31,2,FALSE)</f>
        <v>San Antonio Spurs</v>
      </c>
      <c r="D559" s="2">
        <v>22</v>
      </c>
      <c r="E559" s="2">
        <v>5</v>
      </c>
      <c r="F559" s="2">
        <v>0</v>
      </c>
      <c r="G559" s="2">
        <v>5</v>
      </c>
      <c r="H559" s="2">
        <v>7</v>
      </c>
      <c r="I559" s="3">
        <v>4</v>
      </c>
      <c r="J559" s="4">
        <v>2</v>
      </c>
      <c r="K559" s="4">
        <v>4</v>
      </c>
      <c r="L559" s="3">
        <v>50</v>
      </c>
      <c r="M559" s="3">
        <v>0</v>
      </c>
      <c r="N559" s="4">
        <v>1</v>
      </c>
      <c r="O559" s="3">
        <v>0</v>
      </c>
      <c r="P559" s="3">
        <v>0</v>
      </c>
      <c r="Q559" s="3">
        <v>0</v>
      </c>
      <c r="R559" s="3">
        <v>0</v>
      </c>
      <c r="S559" s="4">
        <v>2</v>
      </c>
      <c r="T559" s="4">
        <v>7</v>
      </c>
      <c r="U559" s="4">
        <v>9</v>
      </c>
      <c r="V559" s="4">
        <v>3</v>
      </c>
      <c r="W559" s="4">
        <v>1</v>
      </c>
      <c r="X559" s="4">
        <v>3</v>
      </c>
      <c r="Y559" s="3">
        <v>0</v>
      </c>
      <c r="Z559" s="4">
        <v>2</v>
      </c>
      <c r="AA559" s="3">
        <v>28</v>
      </c>
      <c r="AB559" s="3">
        <v>0</v>
      </c>
      <c r="AC559" s="3">
        <v>0</v>
      </c>
      <c r="AD559" s="2">
        <v>6</v>
      </c>
      <c r="AE559" s="2">
        <v>132</v>
      </c>
      <c r="AF559" s="2">
        <v>92</v>
      </c>
      <c r="AG559" s="2">
        <v>40</v>
      </c>
      <c r="AH559" s="2">
        <v>8.6</v>
      </c>
      <c r="AI559" s="2">
        <v>3</v>
      </c>
      <c r="AJ559" s="2">
        <v>37.5</v>
      </c>
      <c r="AK559" s="2">
        <v>6.7</v>
      </c>
      <c r="AL559" s="2">
        <v>17.5</v>
      </c>
      <c r="AM559" s="2">
        <v>12.9</v>
      </c>
      <c r="AN559" s="2">
        <v>12.5</v>
      </c>
      <c r="AO559" s="2">
        <v>50</v>
      </c>
      <c r="AP559" s="2">
        <v>50</v>
      </c>
      <c r="AQ559" s="2">
        <v>6</v>
      </c>
      <c r="AR559" s="2">
        <v>103.6</v>
      </c>
      <c r="AS559" s="2">
        <v>8</v>
      </c>
      <c r="AT559" s="2">
        <v>75</v>
      </c>
      <c r="AU559" s="53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6"/>
    </row>
    <row r="560" spans="1:69" ht="13.2">
      <c r="A560" s="8" t="s">
        <v>1142</v>
      </c>
      <c r="B560" s="1" t="s">
        <v>1143</v>
      </c>
      <c r="C560" s="24" t="str">
        <f>VLOOKUP(B560,Equipe!$A$1:$B$31,2,FALSE)</f>
        <v>Detroit Pistons</v>
      </c>
      <c r="D560" s="2">
        <v>25</v>
      </c>
      <c r="E560" s="2">
        <v>1</v>
      </c>
      <c r="F560" s="2">
        <v>0</v>
      </c>
      <c r="G560" s="2">
        <v>1</v>
      </c>
      <c r="H560" s="2">
        <v>17</v>
      </c>
      <c r="I560" s="3">
        <v>4</v>
      </c>
      <c r="J560" s="4">
        <v>1</v>
      </c>
      <c r="K560" s="4">
        <v>8</v>
      </c>
      <c r="L560" s="3">
        <v>12.5</v>
      </c>
      <c r="M560" s="3">
        <v>0</v>
      </c>
      <c r="N560" s="4">
        <v>6</v>
      </c>
      <c r="O560" s="3">
        <v>0</v>
      </c>
      <c r="P560" s="3">
        <v>2</v>
      </c>
      <c r="Q560" s="3">
        <v>2</v>
      </c>
      <c r="R560" s="3">
        <v>100</v>
      </c>
      <c r="S560" s="4">
        <v>4</v>
      </c>
      <c r="T560" s="4">
        <v>3</v>
      </c>
      <c r="U560" s="4">
        <v>7</v>
      </c>
      <c r="V560" s="4">
        <v>2</v>
      </c>
      <c r="W560" s="3">
        <v>0</v>
      </c>
      <c r="X560" s="3">
        <v>0</v>
      </c>
      <c r="Y560" s="3">
        <v>0</v>
      </c>
      <c r="Z560" s="3">
        <v>0</v>
      </c>
      <c r="AA560" s="3">
        <v>15</v>
      </c>
      <c r="AB560" s="3">
        <v>0</v>
      </c>
      <c r="AC560" s="3">
        <v>0</v>
      </c>
      <c r="AD560" s="2">
        <v>-1</v>
      </c>
      <c r="AE560" s="2">
        <v>120.6</v>
      </c>
      <c r="AF560" s="2">
        <v>116.7</v>
      </c>
      <c r="AG560" s="2">
        <v>3.9</v>
      </c>
      <c r="AH560" s="2">
        <v>14.3</v>
      </c>
      <c r="AI560" s="2">
        <v>0</v>
      </c>
      <c r="AJ560" s="2">
        <v>18.2</v>
      </c>
      <c r="AK560" s="2">
        <v>18.2</v>
      </c>
      <c r="AL560" s="2">
        <v>20</v>
      </c>
      <c r="AM560" s="2">
        <v>18.899999999999999</v>
      </c>
      <c r="AN560" s="2">
        <v>0</v>
      </c>
      <c r="AO560" s="2">
        <v>12.5</v>
      </c>
      <c r="AP560" s="2">
        <v>22.5</v>
      </c>
      <c r="AQ560" s="2">
        <v>20.5</v>
      </c>
      <c r="AR560" s="2">
        <v>98.82</v>
      </c>
      <c r="AS560" s="2">
        <v>7.1</v>
      </c>
      <c r="AT560" s="2">
        <v>34</v>
      </c>
      <c r="AU560" s="53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6"/>
    </row>
    <row r="561" spans="1:69" ht="13.2">
      <c r="A561" s="8" t="s">
        <v>1154</v>
      </c>
      <c r="B561" s="1" t="s">
        <v>1155</v>
      </c>
      <c r="C561" s="24" t="str">
        <f>VLOOKUP(B561,Equipe!$A$1:$B$31,2,FALSE)</f>
        <v>Toronto Raptors</v>
      </c>
      <c r="D561" s="2">
        <v>24</v>
      </c>
      <c r="E561" s="2">
        <v>4</v>
      </c>
      <c r="F561" s="2">
        <v>1</v>
      </c>
      <c r="G561" s="2">
        <v>3</v>
      </c>
      <c r="H561" s="2">
        <v>8.3000000000000007</v>
      </c>
      <c r="I561" s="3">
        <v>3</v>
      </c>
      <c r="J561" s="4">
        <v>1</v>
      </c>
      <c r="K561" s="4">
        <v>7</v>
      </c>
      <c r="L561" s="3">
        <v>14.3</v>
      </c>
      <c r="M561" s="3">
        <v>0</v>
      </c>
      <c r="N561" s="4">
        <v>3</v>
      </c>
      <c r="O561" s="3">
        <v>0</v>
      </c>
      <c r="P561" s="3">
        <v>1</v>
      </c>
      <c r="Q561" s="3">
        <v>1</v>
      </c>
      <c r="R561" s="3">
        <v>100</v>
      </c>
      <c r="S561" s="3">
        <v>0</v>
      </c>
      <c r="T561" s="4">
        <v>4</v>
      </c>
      <c r="U561" s="4">
        <v>4</v>
      </c>
      <c r="V561" s="4">
        <v>3</v>
      </c>
      <c r="W561" s="4">
        <v>4</v>
      </c>
      <c r="X561" s="4">
        <v>2</v>
      </c>
      <c r="Y561" s="3">
        <v>0</v>
      </c>
      <c r="Z561" s="4">
        <v>1</v>
      </c>
      <c r="AA561" s="3">
        <v>14</v>
      </c>
      <c r="AB561" s="3">
        <v>0</v>
      </c>
      <c r="AC561" s="3">
        <v>0</v>
      </c>
      <c r="AD561" s="2">
        <v>3</v>
      </c>
      <c r="AE561" s="2">
        <v>109</v>
      </c>
      <c r="AF561" s="2">
        <v>96.1</v>
      </c>
      <c r="AG561" s="2">
        <v>12.9</v>
      </c>
      <c r="AH561" s="2">
        <v>10</v>
      </c>
      <c r="AI561" s="2">
        <v>0.75</v>
      </c>
      <c r="AJ561" s="2">
        <v>21.4</v>
      </c>
      <c r="AK561" s="2">
        <v>0</v>
      </c>
      <c r="AL561" s="2">
        <v>9.8000000000000007</v>
      </c>
      <c r="AM561" s="2">
        <v>5.5</v>
      </c>
      <c r="AN561" s="2">
        <v>28.6</v>
      </c>
      <c r="AO561" s="2">
        <v>14.3</v>
      </c>
      <c r="AP561" s="2">
        <v>20.2</v>
      </c>
      <c r="AQ561" s="2">
        <v>12.2</v>
      </c>
      <c r="AR561" s="2">
        <v>110.7</v>
      </c>
      <c r="AS561" s="2">
        <v>0.7</v>
      </c>
      <c r="AT561" s="2">
        <v>78</v>
      </c>
      <c r="AU561" s="53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6"/>
    </row>
    <row r="562" spans="1:69" ht="13.2">
      <c r="A562" s="1" t="s">
        <v>1152</v>
      </c>
      <c r="B562" s="1" t="s">
        <v>1153</v>
      </c>
      <c r="C562" s="24" t="str">
        <f>VLOOKUP(B562,Equipe!$A$1:$B$31,2,FALSE)</f>
        <v>Minnesota Timberwolves</v>
      </c>
      <c r="D562" s="2">
        <v>24</v>
      </c>
      <c r="E562" s="2">
        <v>8</v>
      </c>
      <c r="F562" s="2">
        <v>2</v>
      </c>
      <c r="G562" s="2">
        <v>6</v>
      </c>
      <c r="H562" s="2">
        <v>2</v>
      </c>
      <c r="I562" s="3">
        <v>3</v>
      </c>
      <c r="J562" s="4">
        <v>1</v>
      </c>
      <c r="K562" s="4">
        <v>8</v>
      </c>
      <c r="L562" s="3">
        <v>12.5</v>
      </c>
      <c r="M562" s="3">
        <v>0</v>
      </c>
      <c r="N562" s="4">
        <v>3</v>
      </c>
      <c r="O562" s="3">
        <v>0</v>
      </c>
      <c r="P562" s="3">
        <v>1</v>
      </c>
      <c r="Q562" s="3">
        <v>1</v>
      </c>
      <c r="R562" s="3">
        <v>100</v>
      </c>
      <c r="S562" s="4">
        <v>2</v>
      </c>
      <c r="T562" s="4">
        <v>2</v>
      </c>
      <c r="U562" s="4">
        <v>4</v>
      </c>
      <c r="V562" s="4">
        <v>2</v>
      </c>
      <c r="W562" s="4">
        <v>2</v>
      </c>
      <c r="X562" s="4">
        <v>1</v>
      </c>
      <c r="Y562" s="3">
        <v>0</v>
      </c>
      <c r="Z562" s="4">
        <v>4</v>
      </c>
      <c r="AA562" s="3">
        <v>12</v>
      </c>
      <c r="AB562" s="3">
        <v>0</v>
      </c>
      <c r="AC562" s="3">
        <v>0</v>
      </c>
      <c r="AD562" s="2">
        <v>-0.6</v>
      </c>
      <c r="AE562" s="2">
        <v>83.3</v>
      </c>
      <c r="AF562" s="2">
        <v>97.6</v>
      </c>
      <c r="AG562" s="2">
        <v>-14.2</v>
      </c>
      <c r="AH562" s="2">
        <v>18.2</v>
      </c>
      <c r="AI562" s="2">
        <v>1</v>
      </c>
      <c r="AJ562" s="2">
        <v>16.7</v>
      </c>
      <c r="AK562" s="2">
        <v>7.1</v>
      </c>
      <c r="AL562" s="2">
        <v>11.1</v>
      </c>
      <c r="AM562" s="2">
        <v>8.6999999999999993</v>
      </c>
      <c r="AN562" s="2">
        <v>16.7</v>
      </c>
      <c r="AO562" s="2">
        <v>12.5</v>
      </c>
      <c r="AP562" s="2">
        <v>17.8</v>
      </c>
      <c r="AQ562" s="2">
        <v>18.5</v>
      </c>
      <c r="AR562" s="2">
        <v>123.38</v>
      </c>
      <c r="AS562" s="2">
        <v>-6.8</v>
      </c>
      <c r="AT562" s="2">
        <v>42</v>
      </c>
      <c r="AU562" s="53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6"/>
    </row>
    <row r="563" spans="1:69" ht="13.2">
      <c r="A563" s="1" t="s">
        <v>1150</v>
      </c>
      <c r="B563" s="1" t="s">
        <v>1151</v>
      </c>
      <c r="C563" s="24" t="str">
        <f>VLOOKUP(B563,Equipe!$A$1:$B$31,2,FALSE)</f>
        <v>Los Angeles Lakers</v>
      </c>
      <c r="D563" s="2">
        <v>24</v>
      </c>
      <c r="E563" s="2">
        <v>2</v>
      </c>
      <c r="F563" s="2">
        <v>1</v>
      </c>
      <c r="G563" s="2">
        <v>1</v>
      </c>
      <c r="H563" s="2">
        <v>5.2</v>
      </c>
      <c r="I563" s="3">
        <v>3</v>
      </c>
      <c r="J563" s="4">
        <v>1</v>
      </c>
      <c r="K563" s="4">
        <v>5</v>
      </c>
      <c r="L563" s="3">
        <v>20</v>
      </c>
      <c r="M563" s="4">
        <v>1</v>
      </c>
      <c r="N563" s="4">
        <v>5</v>
      </c>
      <c r="O563" s="3">
        <v>20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4">
        <v>1</v>
      </c>
      <c r="W563" s="4">
        <v>1</v>
      </c>
      <c r="X563" s="3">
        <v>0</v>
      </c>
      <c r="Y563" s="3">
        <v>0</v>
      </c>
      <c r="Z563" s="3">
        <v>0</v>
      </c>
      <c r="AA563" s="3">
        <v>4</v>
      </c>
      <c r="AB563" s="3">
        <v>0</v>
      </c>
      <c r="AC563" s="3">
        <v>0</v>
      </c>
      <c r="AD563" s="2">
        <v>-9</v>
      </c>
      <c r="AE563" s="2">
        <v>68.2</v>
      </c>
      <c r="AF563" s="2">
        <v>150</v>
      </c>
      <c r="AG563" s="2">
        <v>-81.8</v>
      </c>
      <c r="AH563" s="2">
        <v>20</v>
      </c>
      <c r="AI563" s="2">
        <v>1</v>
      </c>
      <c r="AJ563" s="2">
        <v>14.3</v>
      </c>
      <c r="AK563" s="2">
        <v>0</v>
      </c>
      <c r="AL563" s="2">
        <v>0</v>
      </c>
      <c r="AM563" s="2">
        <v>0</v>
      </c>
      <c r="AN563" s="2">
        <v>14.3</v>
      </c>
      <c r="AO563" s="2">
        <v>30</v>
      </c>
      <c r="AP563" s="2">
        <v>30</v>
      </c>
      <c r="AQ563" s="2">
        <v>23.1</v>
      </c>
      <c r="AR563" s="2">
        <v>102.52</v>
      </c>
      <c r="AS563" s="2">
        <v>-2.2000000000000002</v>
      </c>
      <c r="AT563" s="2">
        <v>22</v>
      </c>
      <c r="AU563" s="53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6"/>
    </row>
    <row r="564" spans="1:69" ht="13.2">
      <c r="A564" s="1" t="s">
        <v>1146</v>
      </c>
      <c r="B564" s="1" t="s">
        <v>1147</v>
      </c>
      <c r="C564" s="24" t="str">
        <f>VLOOKUP(B564,Equipe!$A$1:$B$31,2,FALSE)</f>
        <v>Brooklyn Nets</v>
      </c>
      <c r="D564" s="2">
        <v>22</v>
      </c>
      <c r="E564" s="2">
        <v>5</v>
      </c>
      <c r="F564" s="2">
        <v>2</v>
      </c>
      <c r="G564" s="2">
        <v>3</v>
      </c>
      <c r="H564" s="2">
        <v>2.1</v>
      </c>
      <c r="I564" s="3">
        <v>3</v>
      </c>
      <c r="J564" s="4">
        <v>1</v>
      </c>
      <c r="K564" s="4">
        <v>7</v>
      </c>
      <c r="L564" s="3">
        <v>14.3</v>
      </c>
      <c r="M564" s="3">
        <v>0</v>
      </c>
      <c r="N564" s="4">
        <v>3</v>
      </c>
      <c r="O564" s="3">
        <v>0</v>
      </c>
      <c r="P564" s="3">
        <v>1</v>
      </c>
      <c r="Q564" s="3">
        <v>2</v>
      </c>
      <c r="R564" s="3">
        <v>50</v>
      </c>
      <c r="S564" s="3">
        <v>0</v>
      </c>
      <c r="T564" s="4">
        <v>2</v>
      </c>
      <c r="U564" s="4">
        <v>2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6</v>
      </c>
      <c r="AB564" s="3">
        <v>0</v>
      </c>
      <c r="AC564" s="3">
        <v>0</v>
      </c>
      <c r="AD564" s="2">
        <v>0.4</v>
      </c>
      <c r="AE564" s="2">
        <v>80.8</v>
      </c>
      <c r="AF564" s="2">
        <v>76</v>
      </c>
      <c r="AG564" s="2">
        <v>4.8</v>
      </c>
      <c r="AH564" s="2">
        <v>0</v>
      </c>
      <c r="AI564" s="2">
        <v>0</v>
      </c>
      <c r="AJ564" s="2">
        <v>0</v>
      </c>
      <c r="AK564" s="2">
        <v>0</v>
      </c>
      <c r="AL564" s="2">
        <v>20</v>
      </c>
      <c r="AM564" s="2">
        <v>9.5</v>
      </c>
      <c r="AN564" s="2">
        <v>0</v>
      </c>
      <c r="AO564" s="2">
        <v>14.3</v>
      </c>
      <c r="AP564" s="2">
        <v>19</v>
      </c>
      <c r="AQ564" s="2">
        <v>29.6</v>
      </c>
      <c r="AR564" s="2">
        <v>118.62</v>
      </c>
      <c r="AS564" s="2">
        <v>-5.6</v>
      </c>
      <c r="AT564" s="2">
        <v>26</v>
      </c>
      <c r="AU564" s="53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6"/>
    </row>
    <row r="565" spans="1:69" ht="13.2">
      <c r="A565" s="1" t="s">
        <v>1148</v>
      </c>
      <c r="B565" s="1" t="s">
        <v>1149</v>
      </c>
      <c r="C565" s="24" t="str">
        <f>VLOOKUP(B565,Equipe!$A$1:$B$31,2,FALSE)</f>
        <v>Golden State Warriors</v>
      </c>
      <c r="D565" s="2">
        <v>28</v>
      </c>
      <c r="E565" s="2">
        <v>3</v>
      </c>
      <c r="F565" s="2">
        <v>3</v>
      </c>
      <c r="G565" s="2">
        <v>0</v>
      </c>
      <c r="H565" s="2">
        <v>3.6</v>
      </c>
      <c r="I565" s="3">
        <v>3</v>
      </c>
      <c r="J565" s="3">
        <v>0</v>
      </c>
      <c r="K565" s="4">
        <v>4</v>
      </c>
      <c r="L565" s="3">
        <v>0</v>
      </c>
      <c r="M565" s="3">
        <v>0</v>
      </c>
      <c r="N565" s="4">
        <v>1</v>
      </c>
      <c r="O565" s="3">
        <v>0</v>
      </c>
      <c r="P565" s="3">
        <v>3</v>
      </c>
      <c r="Q565" s="3">
        <v>6</v>
      </c>
      <c r="R565" s="3">
        <v>50</v>
      </c>
      <c r="S565" s="4">
        <v>1</v>
      </c>
      <c r="T565" s="4">
        <v>1</v>
      </c>
      <c r="U565" s="4">
        <v>2</v>
      </c>
      <c r="V565" s="3">
        <v>0</v>
      </c>
      <c r="W565" s="4">
        <v>1</v>
      </c>
      <c r="X565" s="4">
        <v>2</v>
      </c>
      <c r="Y565" s="3">
        <v>0</v>
      </c>
      <c r="Z565" s="3">
        <v>0</v>
      </c>
      <c r="AA565" s="3">
        <v>11</v>
      </c>
      <c r="AB565" s="3">
        <v>0</v>
      </c>
      <c r="AC565" s="3">
        <v>0</v>
      </c>
      <c r="AD565" s="2">
        <v>-2.7</v>
      </c>
      <c r="AE565" s="2">
        <v>90</v>
      </c>
      <c r="AF565" s="2">
        <v>120.7</v>
      </c>
      <c r="AG565" s="2">
        <v>-30.7</v>
      </c>
      <c r="AH565" s="2">
        <v>0</v>
      </c>
      <c r="AI565" s="2">
        <v>0</v>
      </c>
      <c r="AJ565" s="2">
        <v>0</v>
      </c>
      <c r="AK565" s="2">
        <v>7.7</v>
      </c>
      <c r="AL565" s="2">
        <v>16.7</v>
      </c>
      <c r="AM565" s="2">
        <v>10.5</v>
      </c>
      <c r="AN565" s="2">
        <v>12.5</v>
      </c>
      <c r="AO565" s="2">
        <v>0</v>
      </c>
      <c r="AP565" s="2">
        <v>22.6</v>
      </c>
      <c r="AQ565" s="2">
        <v>22.2</v>
      </c>
      <c r="AR565" s="2">
        <v>130.81</v>
      </c>
      <c r="AS565" s="2">
        <v>-2.6</v>
      </c>
      <c r="AT565" s="2">
        <v>30</v>
      </c>
      <c r="AU565" s="53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6"/>
    </row>
    <row r="566" spans="1:69" ht="13.2">
      <c r="A566" s="1" t="s">
        <v>1156</v>
      </c>
      <c r="B566" s="1" t="s">
        <v>1157</v>
      </c>
      <c r="C566" s="24" t="str">
        <f>VLOOKUP(B566,Equipe!$A$1:$B$31,2,FALSE)</f>
        <v>Golden State Warriors</v>
      </c>
      <c r="D566" s="2">
        <v>24</v>
      </c>
      <c r="E566" s="2">
        <v>2</v>
      </c>
      <c r="F566" s="2">
        <v>2</v>
      </c>
      <c r="G566" s="2">
        <v>0</v>
      </c>
      <c r="H566" s="2">
        <v>8.1999999999999993</v>
      </c>
      <c r="I566" s="3">
        <v>2</v>
      </c>
      <c r="J566" s="4">
        <v>1</v>
      </c>
      <c r="K566" s="4">
        <v>3</v>
      </c>
      <c r="L566" s="3">
        <v>33.299999999999997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4">
        <v>2</v>
      </c>
      <c r="T566" s="4">
        <v>1</v>
      </c>
      <c r="U566" s="4">
        <v>3</v>
      </c>
      <c r="V566" s="4">
        <v>4</v>
      </c>
      <c r="W566" s="3">
        <v>0</v>
      </c>
      <c r="X566" s="4">
        <v>2</v>
      </c>
      <c r="Y566" s="3">
        <v>0</v>
      </c>
      <c r="Z566" s="4">
        <v>5</v>
      </c>
      <c r="AA566" s="3">
        <v>18</v>
      </c>
      <c r="AB566" s="3">
        <v>0</v>
      </c>
      <c r="AC566" s="3">
        <v>0</v>
      </c>
      <c r="AD566" s="2">
        <v>-2.5</v>
      </c>
      <c r="AE566" s="2">
        <v>94.4</v>
      </c>
      <c r="AF566" s="2">
        <v>111.4</v>
      </c>
      <c r="AG566" s="2">
        <v>-17</v>
      </c>
      <c r="AH566" s="2">
        <v>33.299999999999997</v>
      </c>
      <c r="AI566" s="2">
        <v>0</v>
      </c>
      <c r="AJ566" s="2">
        <v>57.1</v>
      </c>
      <c r="AK566" s="2">
        <v>8.3000000000000007</v>
      </c>
      <c r="AL566" s="2">
        <v>7.1</v>
      </c>
      <c r="AM566" s="2">
        <v>7.9</v>
      </c>
      <c r="AN566" s="2">
        <v>0</v>
      </c>
      <c r="AO566" s="2">
        <v>33.299999999999997</v>
      </c>
      <c r="AP566" s="2">
        <v>33.299999999999997</v>
      </c>
      <c r="AQ566" s="2">
        <v>6.8</v>
      </c>
      <c r="AR566" s="2">
        <v>104.54</v>
      </c>
      <c r="AS566" s="2">
        <v>4.8</v>
      </c>
      <c r="AT566" s="2">
        <v>36</v>
      </c>
      <c r="AU566" s="53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6"/>
    </row>
    <row r="567" spans="1:69" ht="13.2">
      <c r="A567" s="1" t="s">
        <v>1158</v>
      </c>
      <c r="B567" s="1" t="s">
        <v>1159</v>
      </c>
      <c r="C567" s="24" t="str">
        <f>VLOOKUP(B567,Equipe!$A$1:$B$31,2,FALSE)</f>
        <v>Oklahoma City Thunder</v>
      </c>
      <c r="D567" s="2">
        <v>25</v>
      </c>
      <c r="E567" s="2">
        <v>6</v>
      </c>
      <c r="F567" s="2">
        <v>6</v>
      </c>
      <c r="G567" s="2">
        <v>0</v>
      </c>
      <c r="H567" s="2">
        <v>3.5</v>
      </c>
      <c r="I567" s="3">
        <v>2</v>
      </c>
      <c r="J567" s="3">
        <v>0</v>
      </c>
      <c r="K567" s="4">
        <v>2</v>
      </c>
      <c r="L567" s="3">
        <v>0</v>
      </c>
      <c r="M567" s="3">
        <v>0</v>
      </c>
      <c r="N567" s="4">
        <v>1</v>
      </c>
      <c r="O567" s="3">
        <v>0</v>
      </c>
      <c r="P567" s="3">
        <v>2</v>
      </c>
      <c r="Q567" s="3">
        <v>4</v>
      </c>
      <c r="R567" s="3">
        <v>50</v>
      </c>
      <c r="S567" s="4">
        <v>1</v>
      </c>
      <c r="T567" s="4">
        <v>2</v>
      </c>
      <c r="U567" s="4">
        <v>3</v>
      </c>
      <c r="V567" s="4">
        <v>1</v>
      </c>
      <c r="W567" s="4">
        <v>1</v>
      </c>
      <c r="X567" s="3">
        <v>0</v>
      </c>
      <c r="Y567" s="3">
        <v>0</v>
      </c>
      <c r="Z567" s="4">
        <v>4</v>
      </c>
      <c r="AA567" s="3">
        <v>6</v>
      </c>
      <c r="AB567" s="3">
        <v>0</v>
      </c>
      <c r="AC567" s="3">
        <v>0</v>
      </c>
      <c r="AD567" s="2">
        <v>-3</v>
      </c>
      <c r="AE567" s="2">
        <v>61.4</v>
      </c>
      <c r="AF567" s="2">
        <v>104.7</v>
      </c>
      <c r="AG567" s="2">
        <v>-43.3</v>
      </c>
      <c r="AH567" s="2">
        <v>11.1</v>
      </c>
      <c r="AI567" s="2">
        <v>1</v>
      </c>
      <c r="AJ567" s="2">
        <v>16.7</v>
      </c>
      <c r="AK567" s="2">
        <v>4</v>
      </c>
      <c r="AL567" s="2">
        <v>9.5</v>
      </c>
      <c r="AM567" s="2">
        <v>6.5</v>
      </c>
      <c r="AN567" s="2">
        <v>16.7</v>
      </c>
      <c r="AO567" s="2">
        <v>0</v>
      </c>
      <c r="AP567" s="2">
        <v>26.6</v>
      </c>
      <c r="AQ567" s="2">
        <v>10.199999999999999</v>
      </c>
      <c r="AR567" s="2">
        <v>99.59</v>
      </c>
      <c r="AS567" s="2">
        <v>-6.9</v>
      </c>
      <c r="AT567" s="2">
        <v>44</v>
      </c>
      <c r="AU567" s="53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6"/>
    </row>
    <row r="568" spans="1:69" ht="13.2">
      <c r="A568" s="1" t="s">
        <v>1160</v>
      </c>
      <c r="B568" s="1" t="s">
        <v>1161</v>
      </c>
      <c r="C568" s="24" t="str">
        <f>VLOOKUP(B568,Equipe!$A$1:$B$31,2,FALSE)</f>
        <v>Minnesota Timberwolves</v>
      </c>
      <c r="D568" s="2">
        <v>23</v>
      </c>
      <c r="E568" s="2">
        <v>3</v>
      </c>
      <c r="F568" s="2">
        <v>3</v>
      </c>
      <c r="G568" s="2">
        <v>0</v>
      </c>
      <c r="H568" s="2">
        <v>4.4000000000000004</v>
      </c>
      <c r="I568" s="3">
        <v>1</v>
      </c>
      <c r="J568" s="3">
        <v>0</v>
      </c>
      <c r="K568" s="4">
        <v>1</v>
      </c>
      <c r="L568" s="3">
        <v>0</v>
      </c>
      <c r="M568" s="3">
        <v>0</v>
      </c>
      <c r="N568" s="4">
        <v>1</v>
      </c>
      <c r="O568" s="3">
        <v>0</v>
      </c>
      <c r="P568" s="3">
        <v>1</v>
      </c>
      <c r="Q568" s="3">
        <v>2</v>
      </c>
      <c r="R568" s="3">
        <v>50</v>
      </c>
      <c r="S568" s="3">
        <v>0</v>
      </c>
      <c r="T568" s="4">
        <v>4</v>
      </c>
      <c r="U568" s="4">
        <v>4</v>
      </c>
      <c r="V568" s="4">
        <v>3</v>
      </c>
      <c r="W568" s="4">
        <v>4</v>
      </c>
      <c r="X568" s="3">
        <v>0</v>
      </c>
      <c r="Y568" s="3">
        <v>0</v>
      </c>
      <c r="Z568" s="4">
        <v>1</v>
      </c>
      <c r="AA568" s="3">
        <v>6</v>
      </c>
      <c r="AB568" s="3">
        <v>0</v>
      </c>
      <c r="AC568" s="3">
        <v>0</v>
      </c>
      <c r="AD568" s="2">
        <v>3</v>
      </c>
      <c r="AE568" s="2">
        <v>103.2</v>
      </c>
      <c r="AF568" s="2">
        <v>79.3</v>
      </c>
      <c r="AG568" s="2">
        <v>23.9</v>
      </c>
      <c r="AH568" s="2">
        <v>23.1</v>
      </c>
      <c r="AI568" s="2">
        <v>0.75</v>
      </c>
      <c r="AJ568" s="2">
        <v>33.299999999999997</v>
      </c>
      <c r="AK568" s="2">
        <v>0</v>
      </c>
      <c r="AL568" s="2">
        <v>44.4</v>
      </c>
      <c r="AM568" s="2">
        <v>21.1</v>
      </c>
      <c r="AN568" s="2">
        <v>44.4</v>
      </c>
      <c r="AO568" s="2">
        <v>0</v>
      </c>
      <c r="AP568" s="2">
        <v>26.6</v>
      </c>
      <c r="AQ568" s="2">
        <v>17.600000000000001</v>
      </c>
      <c r="AR568" s="2">
        <v>108.82</v>
      </c>
      <c r="AS568" s="2">
        <v>2.4</v>
      </c>
      <c r="AT568" s="2">
        <v>31</v>
      </c>
      <c r="AU568" s="53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6"/>
    </row>
    <row r="569" spans="1:69" ht="13.2">
      <c r="A569" s="1" t="s">
        <v>1170</v>
      </c>
      <c r="B569" s="1" t="s">
        <v>1171</v>
      </c>
      <c r="C569" s="24" t="str">
        <f>VLOOKUP(B569,Equipe!$A$1:$B$31,2,FALSE)</f>
        <v>Orlando Magic</v>
      </c>
      <c r="D569" s="2">
        <v>26</v>
      </c>
      <c r="E569" s="2">
        <v>2</v>
      </c>
      <c r="F569" s="2">
        <v>1</v>
      </c>
      <c r="G569" s="2">
        <v>1</v>
      </c>
      <c r="H569" s="2">
        <v>5.0999999999999996</v>
      </c>
      <c r="I569" s="3">
        <v>0</v>
      </c>
      <c r="J569" s="3">
        <v>0</v>
      </c>
      <c r="K569" s="4">
        <v>2</v>
      </c>
      <c r="L569" s="3">
        <v>0</v>
      </c>
      <c r="M569" s="3">
        <v>0</v>
      </c>
      <c r="N569" s="4">
        <v>1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4">
        <v>1</v>
      </c>
      <c r="U569" s="4">
        <v>1</v>
      </c>
      <c r="V569" s="4">
        <v>3</v>
      </c>
      <c r="W569" s="3">
        <v>0</v>
      </c>
      <c r="X569" s="3">
        <v>0</v>
      </c>
      <c r="Y569" s="3">
        <v>0</v>
      </c>
      <c r="Z569" s="4">
        <v>2</v>
      </c>
      <c r="AA569" s="3">
        <v>6</v>
      </c>
      <c r="AB569" s="3">
        <v>0</v>
      </c>
      <c r="AC569" s="3">
        <v>0</v>
      </c>
      <c r="AD569" s="2">
        <v>-1</v>
      </c>
      <c r="AE569" s="2">
        <v>119</v>
      </c>
      <c r="AF569" s="2">
        <v>128.6</v>
      </c>
      <c r="AG569" s="2">
        <v>-9.5</v>
      </c>
      <c r="AH569" s="2">
        <v>33.299999999999997</v>
      </c>
      <c r="AI569" s="2">
        <v>0</v>
      </c>
      <c r="AJ569" s="2">
        <v>60</v>
      </c>
      <c r="AK569" s="2">
        <v>0</v>
      </c>
      <c r="AL569" s="2">
        <v>10</v>
      </c>
      <c r="AM569" s="2">
        <v>5</v>
      </c>
      <c r="AN569" s="2">
        <v>0</v>
      </c>
      <c r="AO569" s="2">
        <v>0</v>
      </c>
      <c r="AP569" s="2">
        <v>0</v>
      </c>
      <c r="AQ569" s="2">
        <v>8.6999999999999993</v>
      </c>
      <c r="AR569" s="2">
        <v>98.5</v>
      </c>
      <c r="AS569" s="2">
        <v>0</v>
      </c>
      <c r="AT569" s="2">
        <v>21</v>
      </c>
      <c r="AU569" s="53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6"/>
    </row>
    <row r="570" spans="1:69" ht="13.2">
      <c r="A570" s="1" t="s">
        <v>1174</v>
      </c>
      <c r="B570" s="1" t="s">
        <v>1175</v>
      </c>
      <c r="C570" s="24" t="str">
        <f>VLOOKUP(B570,Equipe!$A$1:$B$31,2,FALSE)</f>
        <v>Sacramento Kings</v>
      </c>
      <c r="D570" s="2">
        <v>25</v>
      </c>
      <c r="E570" s="2">
        <v>3</v>
      </c>
      <c r="F570" s="2">
        <v>1</v>
      </c>
      <c r="G570" s="2">
        <v>2</v>
      </c>
      <c r="H570" s="2">
        <v>2.1</v>
      </c>
      <c r="I570" s="3">
        <v>0</v>
      </c>
      <c r="J570" s="3">
        <v>0</v>
      </c>
      <c r="K570" s="4">
        <v>1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4">
        <v>1</v>
      </c>
      <c r="T570" s="3">
        <v>0</v>
      </c>
      <c r="U570" s="4">
        <v>1</v>
      </c>
      <c r="V570" s="4">
        <v>2</v>
      </c>
      <c r="W570" s="3">
        <v>0</v>
      </c>
      <c r="X570" s="3">
        <v>0</v>
      </c>
      <c r="Y570" s="3">
        <v>0</v>
      </c>
      <c r="Z570" s="3">
        <v>0</v>
      </c>
      <c r="AA570" s="3">
        <v>4</v>
      </c>
      <c r="AB570" s="3">
        <v>0</v>
      </c>
      <c r="AC570" s="3">
        <v>0</v>
      </c>
      <c r="AD570" s="2">
        <v>3</v>
      </c>
      <c r="AE570" s="2">
        <v>135.69999999999999</v>
      </c>
      <c r="AF570" s="2">
        <v>71.400000000000006</v>
      </c>
      <c r="AG570" s="2">
        <v>64.3</v>
      </c>
      <c r="AH570" s="2">
        <v>28.6</v>
      </c>
      <c r="AI570" s="2">
        <v>0</v>
      </c>
      <c r="AJ570" s="2">
        <v>66.7</v>
      </c>
      <c r="AK570" s="2">
        <v>25</v>
      </c>
      <c r="AL570" s="2">
        <v>0</v>
      </c>
      <c r="AM570" s="2">
        <v>8.3000000000000007</v>
      </c>
      <c r="AN570" s="2">
        <v>0</v>
      </c>
      <c r="AO570" s="2">
        <v>0</v>
      </c>
      <c r="AP570" s="2">
        <v>0</v>
      </c>
      <c r="AQ570" s="2">
        <v>6.7</v>
      </c>
      <c r="AR570" s="2">
        <v>106.11</v>
      </c>
      <c r="AS570" s="2">
        <v>4.3</v>
      </c>
      <c r="AT570" s="2">
        <v>14</v>
      </c>
      <c r="AU570" s="53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6"/>
    </row>
    <row r="571" spans="1:69" ht="13.2">
      <c r="A571" s="1" t="s">
        <v>1162</v>
      </c>
      <c r="B571" s="1" t="s">
        <v>1163</v>
      </c>
      <c r="C571" s="24" t="str">
        <f>VLOOKUP(B571,Equipe!$A$1:$B$31,2,FALSE)</f>
        <v>Indiana Pacers</v>
      </c>
      <c r="D571" s="2">
        <v>29</v>
      </c>
      <c r="E571" s="2">
        <v>1</v>
      </c>
      <c r="F571" s="2">
        <v>0</v>
      </c>
      <c r="G571" s="2">
        <v>1</v>
      </c>
      <c r="H571" s="2">
        <v>3.4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4">
        <v>1</v>
      </c>
      <c r="U571" s="4">
        <v>1</v>
      </c>
      <c r="V571" s="4">
        <v>1</v>
      </c>
      <c r="W571" s="3">
        <v>0</v>
      </c>
      <c r="X571" s="3">
        <v>0</v>
      </c>
      <c r="Y571" s="3">
        <v>0</v>
      </c>
      <c r="Z571" s="3">
        <v>0</v>
      </c>
      <c r="AA571" s="3">
        <v>3</v>
      </c>
      <c r="AB571" s="3">
        <v>0</v>
      </c>
      <c r="AC571" s="3">
        <v>0</v>
      </c>
      <c r="AD571" s="2">
        <v>5</v>
      </c>
      <c r="AE571" s="2">
        <v>125</v>
      </c>
      <c r="AF571" s="2">
        <v>62.5</v>
      </c>
      <c r="AG571" s="2">
        <v>62.5</v>
      </c>
      <c r="AH571" s="2">
        <v>25</v>
      </c>
      <c r="AI571" s="2">
        <v>0</v>
      </c>
      <c r="AJ571" s="2">
        <v>100</v>
      </c>
      <c r="AK571" s="2">
        <v>0</v>
      </c>
      <c r="AL571" s="2">
        <v>25</v>
      </c>
      <c r="AM571" s="2">
        <v>11.1</v>
      </c>
      <c r="AN571" s="2">
        <v>0</v>
      </c>
      <c r="AO571" s="2">
        <v>0</v>
      </c>
      <c r="AP571" s="2">
        <v>0</v>
      </c>
      <c r="AQ571" s="2">
        <v>0</v>
      </c>
      <c r="AR571" s="2">
        <v>114.06</v>
      </c>
      <c r="AS571" s="2">
        <v>13.3</v>
      </c>
      <c r="AT571" s="2">
        <v>8</v>
      </c>
      <c r="AU571" s="53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6"/>
    </row>
    <row r="572" spans="1:69" ht="13.2">
      <c r="A572" s="1" t="s">
        <v>1172</v>
      </c>
      <c r="B572" s="1" t="s">
        <v>1173</v>
      </c>
      <c r="C572" s="24" t="str">
        <f>VLOOKUP(B572,Equipe!$A$1:$B$31,2,FALSE)</f>
        <v>Sacramento Kings</v>
      </c>
      <c r="D572" s="2">
        <v>28</v>
      </c>
      <c r="E572" s="2">
        <v>1</v>
      </c>
      <c r="F572" s="2">
        <v>1</v>
      </c>
      <c r="G572" s="2">
        <v>0</v>
      </c>
      <c r="H572" s="2">
        <v>7.9</v>
      </c>
      <c r="I572" s="3">
        <v>0</v>
      </c>
      <c r="J572" s="3">
        <v>0</v>
      </c>
      <c r="K572" s="4">
        <v>2</v>
      </c>
      <c r="L572" s="3">
        <v>0</v>
      </c>
      <c r="M572" s="3">
        <v>0</v>
      </c>
      <c r="N572" s="4">
        <v>1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4">
        <v>1</v>
      </c>
      <c r="U572" s="4">
        <v>1</v>
      </c>
      <c r="V572" s="4">
        <v>1</v>
      </c>
      <c r="W572" s="3">
        <v>0</v>
      </c>
      <c r="X572" s="3">
        <v>0</v>
      </c>
      <c r="Y572" s="3">
        <v>0</v>
      </c>
      <c r="Z572" s="3">
        <v>0</v>
      </c>
      <c r="AA572" s="3">
        <v>3</v>
      </c>
      <c r="AB572" s="3">
        <v>0</v>
      </c>
      <c r="AC572" s="3">
        <v>0</v>
      </c>
      <c r="AD572" s="2">
        <v>-3</v>
      </c>
      <c r="AE572" s="2">
        <v>86.7</v>
      </c>
      <c r="AF572" s="2">
        <v>106.7</v>
      </c>
      <c r="AG572" s="2">
        <v>-20</v>
      </c>
      <c r="AH572" s="2">
        <v>16.7</v>
      </c>
      <c r="AI572" s="2">
        <v>0</v>
      </c>
      <c r="AJ572" s="2">
        <v>33.299999999999997</v>
      </c>
      <c r="AK572" s="2">
        <v>0</v>
      </c>
      <c r="AL572" s="2">
        <v>11.1</v>
      </c>
      <c r="AM572" s="2">
        <v>5.9</v>
      </c>
      <c r="AN572" s="2">
        <v>0</v>
      </c>
      <c r="AO572" s="2">
        <v>0</v>
      </c>
      <c r="AP572" s="2">
        <v>0</v>
      </c>
      <c r="AQ572" s="2">
        <v>11.1</v>
      </c>
      <c r="AR572" s="2">
        <v>91.33</v>
      </c>
      <c r="AS572" s="2">
        <v>0</v>
      </c>
      <c r="AT572" s="2">
        <v>15</v>
      </c>
      <c r="AU572" s="53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6"/>
    </row>
    <row r="573" spans="1:69" ht="13.2">
      <c r="A573" s="1" t="s">
        <v>1168</v>
      </c>
      <c r="B573" s="1" t="s">
        <v>1169</v>
      </c>
      <c r="C573" s="24" t="str">
        <f>VLOOKUP(B573,Equipe!$A$1:$B$31,2,FALSE)</f>
        <v>Minnesota Timberwolves</v>
      </c>
      <c r="D573" s="2">
        <v>25</v>
      </c>
      <c r="E573" s="2">
        <v>2</v>
      </c>
      <c r="F573" s="2">
        <v>2</v>
      </c>
      <c r="G573" s="2">
        <v>0</v>
      </c>
      <c r="H573" s="2">
        <v>2.2999999999999998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4">
        <v>1</v>
      </c>
      <c r="W573" s="3">
        <v>0</v>
      </c>
      <c r="X573" s="3">
        <v>0</v>
      </c>
      <c r="Y573" s="3">
        <v>0</v>
      </c>
      <c r="Z573" s="4">
        <v>2</v>
      </c>
      <c r="AA573" s="3">
        <v>2</v>
      </c>
      <c r="AB573" s="3">
        <v>0</v>
      </c>
      <c r="AC573" s="3">
        <v>0</v>
      </c>
      <c r="AD573" s="2">
        <v>-5</v>
      </c>
      <c r="AE573" s="2">
        <v>72.7</v>
      </c>
      <c r="AF573" s="2">
        <v>150</v>
      </c>
      <c r="AG573" s="2">
        <v>-77.3</v>
      </c>
      <c r="AH573" s="2">
        <v>25</v>
      </c>
      <c r="AI573" s="2">
        <v>0</v>
      </c>
      <c r="AJ573" s="2">
        <v>100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118.29</v>
      </c>
      <c r="AS573" s="2">
        <v>-4.3</v>
      </c>
      <c r="AT573" s="2">
        <v>11</v>
      </c>
      <c r="AU573" s="53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6"/>
    </row>
    <row r="574" spans="1:69" ht="13.2">
      <c r="A574" s="16" t="s">
        <v>1288</v>
      </c>
      <c r="B574" s="1" t="s">
        <v>1178</v>
      </c>
      <c r="C574" s="24" t="str">
        <f>VLOOKUP(B574,Equipe!$A$1:$B$31,2,FALSE)</f>
        <v>Washington Wizards</v>
      </c>
      <c r="D574" s="2">
        <v>27</v>
      </c>
      <c r="E574" s="2">
        <v>4</v>
      </c>
      <c r="F574" s="2">
        <v>2</v>
      </c>
      <c r="G574" s="2">
        <v>2</v>
      </c>
      <c r="H574" s="2">
        <v>1.8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4">
        <v>1</v>
      </c>
      <c r="W574" s="3">
        <v>0</v>
      </c>
      <c r="X574" s="4">
        <v>1</v>
      </c>
      <c r="Y574" s="3">
        <v>0</v>
      </c>
      <c r="Z574" s="3">
        <v>0</v>
      </c>
      <c r="AA574" s="3">
        <v>4</v>
      </c>
      <c r="AB574" s="3">
        <v>0</v>
      </c>
      <c r="AC574" s="3">
        <v>0</v>
      </c>
      <c r="AD574" s="2">
        <v>-0.3</v>
      </c>
      <c r="AE574" s="2">
        <v>81.3</v>
      </c>
      <c r="AF574" s="2">
        <v>77.8</v>
      </c>
      <c r="AG574" s="2">
        <v>3.5</v>
      </c>
      <c r="AH574" s="2">
        <v>25</v>
      </c>
      <c r="AI574" s="2">
        <v>0</v>
      </c>
      <c r="AJ574" s="2">
        <v>100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111.25</v>
      </c>
      <c r="AS574" s="2">
        <v>11.4</v>
      </c>
      <c r="AT574" s="2">
        <v>16</v>
      </c>
      <c r="AU574" s="53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6"/>
    </row>
    <row r="575" spans="1:69" ht="13.2">
      <c r="A575" s="1" t="s">
        <v>1166</v>
      </c>
      <c r="B575" s="1" t="s">
        <v>1167</v>
      </c>
      <c r="C575" s="24" t="str">
        <f>VLOOKUP(B575,Equipe!$A$1:$B$31,2,FALSE)</f>
        <v>Miami Heat</v>
      </c>
      <c r="D575" s="2">
        <v>24</v>
      </c>
      <c r="E575" s="2">
        <v>3</v>
      </c>
      <c r="F575" s="2">
        <v>3</v>
      </c>
      <c r="G575" s="2">
        <v>0</v>
      </c>
      <c r="H575" s="2">
        <v>1.9</v>
      </c>
      <c r="I575" s="3">
        <v>0</v>
      </c>
      <c r="J575" s="3">
        <v>0</v>
      </c>
      <c r="K575" s="4">
        <v>2</v>
      </c>
      <c r="L575" s="3">
        <v>0</v>
      </c>
      <c r="M575" s="3">
        <v>0</v>
      </c>
      <c r="N575" s="4">
        <v>1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4">
        <v>2</v>
      </c>
      <c r="U575" s="4">
        <v>2</v>
      </c>
      <c r="V575" s="3">
        <v>0</v>
      </c>
      <c r="W575" s="3">
        <v>0</v>
      </c>
      <c r="X575" s="4">
        <v>1</v>
      </c>
      <c r="Y575" s="3">
        <v>0</v>
      </c>
      <c r="Z575" s="3">
        <v>0</v>
      </c>
      <c r="AA575" s="3">
        <v>5</v>
      </c>
      <c r="AB575" s="3">
        <v>0</v>
      </c>
      <c r="AC575" s="3">
        <v>0</v>
      </c>
      <c r="AD575" s="2">
        <v>1.3</v>
      </c>
      <c r="AE575" s="2">
        <v>61.5</v>
      </c>
      <c r="AF575" s="2">
        <v>30.8</v>
      </c>
      <c r="AG575" s="2">
        <v>30.8</v>
      </c>
      <c r="AH575" s="2">
        <v>0</v>
      </c>
      <c r="AI575" s="2">
        <v>0</v>
      </c>
      <c r="AJ575" s="2">
        <v>0</v>
      </c>
      <c r="AK575" s="2">
        <v>0</v>
      </c>
      <c r="AL575" s="2">
        <v>22.2</v>
      </c>
      <c r="AM575" s="2">
        <v>12.5</v>
      </c>
      <c r="AN575" s="2">
        <v>0</v>
      </c>
      <c r="AO575" s="2">
        <v>0</v>
      </c>
      <c r="AP575" s="2">
        <v>0</v>
      </c>
      <c r="AQ575" s="2">
        <v>14.3</v>
      </c>
      <c r="AR575" s="2">
        <v>112.43</v>
      </c>
      <c r="AS575" s="2">
        <v>12.5</v>
      </c>
      <c r="AT575" s="2">
        <v>13</v>
      </c>
      <c r="AU575" s="53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6"/>
    </row>
    <row r="576" spans="1:69" ht="13.2">
      <c r="A576" s="1" t="s">
        <v>1176</v>
      </c>
      <c r="B576" s="1" t="s">
        <v>1177</v>
      </c>
      <c r="C576" s="24" t="str">
        <f>VLOOKUP(B576,Equipe!$A$1:$B$31,2,FALSE)</f>
        <v>San Antonio Spurs</v>
      </c>
      <c r="D576" s="2">
        <v>24</v>
      </c>
      <c r="E576" s="2">
        <v>1</v>
      </c>
      <c r="F576" s="2">
        <v>0</v>
      </c>
      <c r="G576" s="2">
        <v>1</v>
      </c>
      <c r="H576" s="2">
        <v>6.8</v>
      </c>
      <c r="I576" s="3">
        <v>0</v>
      </c>
      <c r="J576" s="3">
        <v>0</v>
      </c>
      <c r="K576" s="4">
        <v>1</v>
      </c>
      <c r="L576" s="3">
        <v>0</v>
      </c>
      <c r="M576" s="3">
        <v>0</v>
      </c>
      <c r="N576" s="4">
        <v>1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4">
        <v>2</v>
      </c>
      <c r="U576" s="4">
        <v>2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2</v>
      </c>
      <c r="AB576" s="3">
        <v>0</v>
      </c>
      <c r="AC576" s="3">
        <v>0</v>
      </c>
      <c r="AD576" s="2">
        <v>0</v>
      </c>
      <c r="AE576" s="2">
        <v>93.3</v>
      </c>
      <c r="AF576" s="2">
        <v>93.3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20</v>
      </c>
      <c r="AM576" s="2">
        <v>11.8</v>
      </c>
      <c r="AN576" s="2">
        <v>0</v>
      </c>
      <c r="AO576" s="2">
        <v>0</v>
      </c>
      <c r="AP576" s="2">
        <v>0</v>
      </c>
      <c r="AQ576" s="2">
        <v>6.3</v>
      </c>
      <c r="AR576" s="2">
        <v>106.67</v>
      </c>
      <c r="AS576" s="2">
        <v>3.9</v>
      </c>
      <c r="AT576" s="2">
        <v>15</v>
      </c>
      <c r="AU576" s="53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6"/>
    </row>
    <row r="577" spans="1:69" ht="13.2">
      <c r="A577" s="1" t="s">
        <v>1164</v>
      </c>
      <c r="B577" s="1" t="s">
        <v>1165</v>
      </c>
      <c r="C577" s="24" t="str">
        <f>VLOOKUP(B577,Equipe!$A$1:$B$31,2,FALSE)</f>
        <v>Memphis Grizzlies</v>
      </c>
      <c r="D577" s="2">
        <v>24</v>
      </c>
      <c r="E577" s="2">
        <v>3</v>
      </c>
      <c r="F577" s="2">
        <v>1</v>
      </c>
      <c r="G577" s="2">
        <v>2</v>
      </c>
      <c r="H577" s="2">
        <v>0.9</v>
      </c>
      <c r="I577" s="3">
        <v>0</v>
      </c>
      <c r="J577" s="3">
        <v>0</v>
      </c>
      <c r="K577" s="4">
        <v>1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2">
        <v>0.3</v>
      </c>
      <c r="AE577" s="2">
        <v>83.3</v>
      </c>
      <c r="AF577" s="2">
        <v>66.7</v>
      </c>
      <c r="AG577" s="2">
        <v>16.7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16.7</v>
      </c>
      <c r="AR577" s="2">
        <v>110.7</v>
      </c>
      <c r="AS577" s="2">
        <v>-8.6999999999999993</v>
      </c>
      <c r="AT577" s="2">
        <v>6</v>
      </c>
      <c r="AU577" s="53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6"/>
    </row>
    <row r="582" spans="1:69" ht="15.75" customHeight="1">
      <c r="A582" s="22"/>
    </row>
    <row r="584" spans="1:69" ht="15.75" customHeight="1">
      <c r="A584" s="22"/>
    </row>
  </sheetData>
  <autoFilter ref="A8:AT577" xr:uid="{00000000-0001-0000-0000-000000000000}">
    <sortState xmlns:xlrd2="http://schemas.microsoft.com/office/spreadsheetml/2017/richdata2" ref="A9:AT577">
      <sortCondition descending="1" ref="I8:I577"/>
    </sortState>
  </autoFilter>
  <conditionalFormatting sqref="A8">
    <cfRule type="duplicateValues" dxfId="4" priority="2"/>
  </conditionalFormatting>
  <dataValidations disablePrompts="1" count="1">
    <dataValidation type="list" allowBlank="1" showInputMessage="1" showErrorMessage="1" sqref="F2 K1" xr:uid="{4B488668-EEA2-4C94-BBA1-7398C8E4EA20}">
      <formula1>$B$8:$B$577</formula1>
    </dataValidation>
  </dataValidations>
  <hyperlinks>
    <hyperlink ref="A9" r:id="rId1" xr:uid="{00000000-0004-0000-0000-000000000000}"/>
    <hyperlink ref="B9" r:id="rId2" xr:uid="{00000000-0004-0000-0000-000001000000}"/>
    <hyperlink ref="A10" r:id="rId3" xr:uid="{00000000-0004-0000-0000-000002000000}"/>
    <hyperlink ref="B10" r:id="rId4" xr:uid="{00000000-0004-0000-0000-000003000000}"/>
    <hyperlink ref="A11" r:id="rId5" xr:uid="{00000000-0004-0000-0000-000004000000}"/>
    <hyperlink ref="B11" r:id="rId6" xr:uid="{00000000-0004-0000-0000-000005000000}"/>
    <hyperlink ref="A12" r:id="rId7" xr:uid="{00000000-0004-0000-0000-000006000000}"/>
    <hyperlink ref="B12" r:id="rId8" xr:uid="{00000000-0004-0000-0000-000007000000}"/>
    <hyperlink ref="A13" r:id="rId9" xr:uid="{00000000-0004-0000-0000-000008000000}"/>
    <hyperlink ref="B13" r:id="rId10" xr:uid="{00000000-0004-0000-0000-000009000000}"/>
    <hyperlink ref="A14" r:id="rId11" xr:uid="{00000000-0004-0000-0000-00000A000000}"/>
    <hyperlink ref="B14" r:id="rId12" xr:uid="{00000000-0004-0000-0000-00000B000000}"/>
    <hyperlink ref="A15" r:id="rId13" xr:uid="{00000000-0004-0000-0000-00000C000000}"/>
    <hyperlink ref="B15" r:id="rId14" xr:uid="{00000000-0004-0000-0000-00000D000000}"/>
    <hyperlink ref="A16" r:id="rId15" xr:uid="{00000000-0004-0000-0000-00000E000000}"/>
    <hyperlink ref="B16" r:id="rId16" xr:uid="{00000000-0004-0000-0000-00000F000000}"/>
    <hyperlink ref="A17" r:id="rId17" xr:uid="{00000000-0004-0000-0000-000010000000}"/>
    <hyperlink ref="B17" r:id="rId18" xr:uid="{00000000-0004-0000-0000-000011000000}"/>
    <hyperlink ref="A18" r:id="rId19" xr:uid="{00000000-0004-0000-0000-000012000000}"/>
    <hyperlink ref="B18" r:id="rId20" xr:uid="{00000000-0004-0000-0000-000013000000}"/>
    <hyperlink ref="A19" r:id="rId21" xr:uid="{00000000-0004-0000-0000-000014000000}"/>
    <hyperlink ref="B19" r:id="rId22" xr:uid="{00000000-0004-0000-0000-000015000000}"/>
    <hyperlink ref="A20" r:id="rId23" xr:uid="{00000000-0004-0000-0000-000016000000}"/>
    <hyperlink ref="B20" r:id="rId24" xr:uid="{00000000-0004-0000-0000-000017000000}"/>
    <hyperlink ref="A21" r:id="rId25" xr:uid="{00000000-0004-0000-0000-000018000000}"/>
    <hyperlink ref="B21" r:id="rId26" xr:uid="{00000000-0004-0000-0000-000019000000}"/>
    <hyperlink ref="A22" r:id="rId27" xr:uid="{00000000-0004-0000-0000-00001A000000}"/>
    <hyperlink ref="B22" r:id="rId28" xr:uid="{00000000-0004-0000-0000-00001B000000}"/>
    <hyperlink ref="A23" r:id="rId29" xr:uid="{00000000-0004-0000-0000-00001C000000}"/>
    <hyperlink ref="B23" r:id="rId30" xr:uid="{00000000-0004-0000-0000-00001D000000}"/>
    <hyperlink ref="A24" r:id="rId31" xr:uid="{00000000-0004-0000-0000-00001E000000}"/>
    <hyperlink ref="B24" r:id="rId32" xr:uid="{00000000-0004-0000-0000-00001F000000}"/>
    <hyperlink ref="A25" r:id="rId33" xr:uid="{00000000-0004-0000-0000-000020000000}"/>
    <hyperlink ref="B25" r:id="rId34" xr:uid="{00000000-0004-0000-0000-000021000000}"/>
    <hyperlink ref="A26" r:id="rId35" xr:uid="{00000000-0004-0000-0000-000022000000}"/>
    <hyperlink ref="B26" r:id="rId36" xr:uid="{00000000-0004-0000-0000-000023000000}"/>
    <hyperlink ref="A27" r:id="rId37" xr:uid="{00000000-0004-0000-0000-000024000000}"/>
    <hyperlink ref="B27" r:id="rId38" xr:uid="{00000000-0004-0000-0000-000025000000}"/>
    <hyperlink ref="A28" r:id="rId39" xr:uid="{00000000-0004-0000-0000-000026000000}"/>
    <hyperlink ref="B28" r:id="rId40" xr:uid="{00000000-0004-0000-0000-000027000000}"/>
    <hyperlink ref="A29" r:id="rId41" xr:uid="{00000000-0004-0000-0000-000028000000}"/>
    <hyperlink ref="B29" r:id="rId42" xr:uid="{00000000-0004-0000-0000-000029000000}"/>
    <hyperlink ref="A30" r:id="rId43" xr:uid="{00000000-0004-0000-0000-00002A000000}"/>
    <hyperlink ref="B30" r:id="rId44" xr:uid="{00000000-0004-0000-0000-00002B000000}"/>
    <hyperlink ref="A31" r:id="rId45" xr:uid="{00000000-0004-0000-0000-00002C000000}"/>
    <hyperlink ref="B31" r:id="rId46" xr:uid="{00000000-0004-0000-0000-00002D000000}"/>
    <hyperlink ref="A32" r:id="rId47" xr:uid="{00000000-0004-0000-0000-00002E000000}"/>
    <hyperlink ref="B32" r:id="rId48" xr:uid="{00000000-0004-0000-0000-00002F000000}"/>
    <hyperlink ref="A33" r:id="rId49" xr:uid="{00000000-0004-0000-0000-000030000000}"/>
    <hyperlink ref="B33" r:id="rId50" xr:uid="{00000000-0004-0000-0000-000031000000}"/>
    <hyperlink ref="A34" r:id="rId51" xr:uid="{00000000-0004-0000-0000-000032000000}"/>
    <hyperlink ref="B34" r:id="rId52" xr:uid="{00000000-0004-0000-0000-000033000000}"/>
    <hyperlink ref="A35" r:id="rId53" xr:uid="{00000000-0004-0000-0000-000034000000}"/>
    <hyperlink ref="B35" r:id="rId54" xr:uid="{00000000-0004-0000-0000-000035000000}"/>
    <hyperlink ref="A36" r:id="rId55" xr:uid="{00000000-0004-0000-0000-000036000000}"/>
    <hyperlink ref="B36" r:id="rId56" xr:uid="{00000000-0004-0000-0000-000037000000}"/>
    <hyperlink ref="A37" r:id="rId57" xr:uid="{00000000-0004-0000-0000-000038000000}"/>
    <hyperlink ref="B37" r:id="rId58" xr:uid="{00000000-0004-0000-0000-000039000000}"/>
    <hyperlink ref="A38" r:id="rId59" xr:uid="{00000000-0004-0000-0000-00003A000000}"/>
    <hyperlink ref="B38" r:id="rId60" xr:uid="{00000000-0004-0000-0000-00003B000000}"/>
    <hyperlink ref="A39" r:id="rId61" xr:uid="{00000000-0004-0000-0000-00003C000000}"/>
    <hyperlink ref="B39" r:id="rId62" xr:uid="{00000000-0004-0000-0000-00003D000000}"/>
    <hyperlink ref="A40" r:id="rId63" xr:uid="{00000000-0004-0000-0000-00003E000000}"/>
    <hyperlink ref="B40" r:id="rId64" xr:uid="{00000000-0004-0000-0000-00003F000000}"/>
    <hyperlink ref="A41" r:id="rId65" xr:uid="{00000000-0004-0000-0000-000040000000}"/>
    <hyperlink ref="B41" r:id="rId66" xr:uid="{00000000-0004-0000-0000-000041000000}"/>
    <hyperlink ref="A42" r:id="rId67" xr:uid="{00000000-0004-0000-0000-000042000000}"/>
    <hyperlink ref="B42" r:id="rId68" xr:uid="{00000000-0004-0000-0000-000043000000}"/>
    <hyperlink ref="A43" r:id="rId69" xr:uid="{00000000-0004-0000-0000-000044000000}"/>
    <hyperlink ref="B43" r:id="rId70" xr:uid="{00000000-0004-0000-0000-000045000000}"/>
    <hyperlink ref="A44" r:id="rId71" xr:uid="{00000000-0004-0000-0000-000046000000}"/>
    <hyperlink ref="B44" r:id="rId72" xr:uid="{00000000-0004-0000-0000-000047000000}"/>
    <hyperlink ref="A45" r:id="rId73" xr:uid="{00000000-0004-0000-0000-000048000000}"/>
    <hyperlink ref="B45" r:id="rId74" xr:uid="{00000000-0004-0000-0000-000049000000}"/>
    <hyperlink ref="A46" r:id="rId75" xr:uid="{00000000-0004-0000-0000-00004A000000}"/>
    <hyperlink ref="B46" r:id="rId76" xr:uid="{00000000-0004-0000-0000-00004B000000}"/>
    <hyperlink ref="A48" r:id="rId77" xr:uid="{00000000-0004-0000-0000-00004C000000}"/>
    <hyperlink ref="B48" r:id="rId78" xr:uid="{00000000-0004-0000-0000-00004D000000}"/>
    <hyperlink ref="A47" r:id="rId79" xr:uid="{00000000-0004-0000-0000-00004E000000}"/>
    <hyperlink ref="B47" r:id="rId80" xr:uid="{00000000-0004-0000-0000-00004F000000}"/>
    <hyperlink ref="A49" r:id="rId81" xr:uid="{00000000-0004-0000-0000-000050000000}"/>
    <hyperlink ref="B49" r:id="rId82" xr:uid="{00000000-0004-0000-0000-000051000000}"/>
    <hyperlink ref="A51" r:id="rId83" xr:uid="{00000000-0004-0000-0000-000052000000}"/>
    <hyperlink ref="B51" r:id="rId84" xr:uid="{00000000-0004-0000-0000-000053000000}"/>
    <hyperlink ref="A50" r:id="rId85" xr:uid="{00000000-0004-0000-0000-000054000000}"/>
    <hyperlink ref="B50" r:id="rId86" xr:uid="{00000000-0004-0000-0000-000055000000}"/>
    <hyperlink ref="A53" r:id="rId87" xr:uid="{00000000-0004-0000-0000-000056000000}"/>
    <hyperlink ref="B53" r:id="rId88" xr:uid="{00000000-0004-0000-0000-000057000000}"/>
    <hyperlink ref="A52" r:id="rId89" xr:uid="{00000000-0004-0000-0000-000058000000}"/>
    <hyperlink ref="B52" r:id="rId90" xr:uid="{00000000-0004-0000-0000-000059000000}"/>
    <hyperlink ref="A54" r:id="rId91" xr:uid="{00000000-0004-0000-0000-00005A000000}"/>
    <hyperlink ref="B54" r:id="rId92" xr:uid="{00000000-0004-0000-0000-00005B000000}"/>
    <hyperlink ref="A55" r:id="rId93" xr:uid="{00000000-0004-0000-0000-00005C000000}"/>
    <hyperlink ref="B55" r:id="rId94" xr:uid="{00000000-0004-0000-0000-00005D000000}"/>
    <hyperlink ref="A56" r:id="rId95" xr:uid="{00000000-0004-0000-0000-00005E000000}"/>
    <hyperlink ref="B56" r:id="rId96" xr:uid="{00000000-0004-0000-0000-00005F000000}"/>
    <hyperlink ref="A57" r:id="rId97" xr:uid="{00000000-0004-0000-0000-000060000000}"/>
    <hyperlink ref="B57" r:id="rId98" xr:uid="{00000000-0004-0000-0000-000061000000}"/>
    <hyperlink ref="A58" r:id="rId99" xr:uid="{00000000-0004-0000-0000-000062000000}"/>
    <hyperlink ref="B58" r:id="rId100" xr:uid="{00000000-0004-0000-0000-000063000000}"/>
    <hyperlink ref="A59" r:id="rId101" xr:uid="{00000000-0004-0000-0000-000064000000}"/>
    <hyperlink ref="B59" r:id="rId102" xr:uid="{00000000-0004-0000-0000-000065000000}"/>
    <hyperlink ref="A60" r:id="rId103" xr:uid="{00000000-0004-0000-0000-000066000000}"/>
    <hyperlink ref="B60" r:id="rId104" xr:uid="{00000000-0004-0000-0000-000067000000}"/>
    <hyperlink ref="A61" r:id="rId105" xr:uid="{00000000-0004-0000-0000-000068000000}"/>
    <hyperlink ref="B61" r:id="rId106" xr:uid="{00000000-0004-0000-0000-000069000000}"/>
    <hyperlink ref="A62" r:id="rId107" xr:uid="{00000000-0004-0000-0000-00006A000000}"/>
    <hyperlink ref="B62" r:id="rId108" xr:uid="{00000000-0004-0000-0000-00006B000000}"/>
    <hyperlink ref="A63" r:id="rId109" xr:uid="{00000000-0004-0000-0000-00006C000000}"/>
    <hyperlink ref="B63" r:id="rId110" xr:uid="{00000000-0004-0000-0000-00006D000000}"/>
    <hyperlink ref="A65" r:id="rId111" xr:uid="{00000000-0004-0000-0000-00006E000000}"/>
    <hyperlink ref="B65" r:id="rId112" xr:uid="{00000000-0004-0000-0000-00006F000000}"/>
    <hyperlink ref="A64" r:id="rId113" xr:uid="{00000000-0004-0000-0000-000070000000}"/>
    <hyperlink ref="B64" r:id="rId114" xr:uid="{00000000-0004-0000-0000-000071000000}"/>
    <hyperlink ref="A67" r:id="rId115" xr:uid="{00000000-0004-0000-0000-000072000000}"/>
    <hyperlink ref="B67" r:id="rId116" xr:uid="{00000000-0004-0000-0000-000073000000}"/>
    <hyperlink ref="A66" r:id="rId117" xr:uid="{00000000-0004-0000-0000-000074000000}"/>
    <hyperlink ref="B66" r:id="rId118" xr:uid="{00000000-0004-0000-0000-000075000000}"/>
    <hyperlink ref="A68" r:id="rId119" xr:uid="{00000000-0004-0000-0000-000076000000}"/>
    <hyperlink ref="B68" r:id="rId120" xr:uid="{00000000-0004-0000-0000-000077000000}"/>
    <hyperlink ref="A69" r:id="rId121" xr:uid="{00000000-0004-0000-0000-000078000000}"/>
    <hyperlink ref="B69" r:id="rId122" xr:uid="{00000000-0004-0000-0000-000079000000}"/>
    <hyperlink ref="A70" r:id="rId123" xr:uid="{00000000-0004-0000-0000-00007A000000}"/>
    <hyperlink ref="B70" r:id="rId124" xr:uid="{00000000-0004-0000-0000-00007B000000}"/>
    <hyperlink ref="A72" r:id="rId125" xr:uid="{00000000-0004-0000-0000-00007C000000}"/>
    <hyperlink ref="B72" r:id="rId126" xr:uid="{00000000-0004-0000-0000-00007D000000}"/>
    <hyperlink ref="A71" r:id="rId127" xr:uid="{00000000-0004-0000-0000-00007E000000}"/>
    <hyperlink ref="B71" r:id="rId128" xr:uid="{00000000-0004-0000-0000-00007F000000}"/>
    <hyperlink ref="A73" r:id="rId129" xr:uid="{00000000-0004-0000-0000-000080000000}"/>
    <hyperlink ref="B73" r:id="rId130" xr:uid="{00000000-0004-0000-0000-000081000000}"/>
    <hyperlink ref="A74" r:id="rId131" xr:uid="{00000000-0004-0000-0000-000082000000}"/>
    <hyperlink ref="B74" r:id="rId132" xr:uid="{00000000-0004-0000-0000-000083000000}"/>
    <hyperlink ref="A75" r:id="rId133" xr:uid="{00000000-0004-0000-0000-000084000000}"/>
    <hyperlink ref="B75" r:id="rId134" xr:uid="{00000000-0004-0000-0000-000085000000}"/>
    <hyperlink ref="A76" r:id="rId135" xr:uid="{00000000-0004-0000-0000-000086000000}"/>
    <hyperlink ref="B76" r:id="rId136" xr:uid="{00000000-0004-0000-0000-000087000000}"/>
    <hyperlink ref="A77" r:id="rId137" xr:uid="{00000000-0004-0000-0000-000088000000}"/>
    <hyperlink ref="B77" r:id="rId138" xr:uid="{00000000-0004-0000-0000-000089000000}"/>
    <hyperlink ref="A78" r:id="rId139" xr:uid="{00000000-0004-0000-0000-00008A000000}"/>
    <hyperlink ref="B78" r:id="rId140" xr:uid="{00000000-0004-0000-0000-00008B000000}"/>
    <hyperlink ref="A79" r:id="rId141" xr:uid="{00000000-0004-0000-0000-00008C000000}"/>
    <hyperlink ref="B79" r:id="rId142" xr:uid="{00000000-0004-0000-0000-00008D000000}"/>
    <hyperlink ref="A80" r:id="rId143" xr:uid="{00000000-0004-0000-0000-00008E000000}"/>
    <hyperlink ref="B80" r:id="rId144" xr:uid="{00000000-0004-0000-0000-00008F000000}"/>
    <hyperlink ref="A81" r:id="rId145" xr:uid="{00000000-0004-0000-0000-000090000000}"/>
    <hyperlink ref="B81" r:id="rId146" xr:uid="{00000000-0004-0000-0000-000091000000}"/>
    <hyperlink ref="A82" r:id="rId147" xr:uid="{00000000-0004-0000-0000-000092000000}"/>
    <hyperlink ref="B82" r:id="rId148" xr:uid="{00000000-0004-0000-0000-000093000000}"/>
    <hyperlink ref="A83" r:id="rId149" xr:uid="{00000000-0004-0000-0000-000094000000}"/>
    <hyperlink ref="B83" r:id="rId150" xr:uid="{00000000-0004-0000-0000-000095000000}"/>
    <hyperlink ref="A84" r:id="rId151" xr:uid="{00000000-0004-0000-0000-000096000000}"/>
    <hyperlink ref="B84" r:id="rId152" xr:uid="{00000000-0004-0000-0000-000097000000}"/>
    <hyperlink ref="A85" r:id="rId153" xr:uid="{00000000-0004-0000-0000-000098000000}"/>
    <hyperlink ref="B85" r:id="rId154" xr:uid="{00000000-0004-0000-0000-000099000000}"/>
    <hyperlink ref="A86" r:id="rId155" xr:uid="{00000000-0004-0000-0000-00009A000000}"/>
    <hyperlink ref="B86" r:id="rId156" xr:uid="{00000000-0004-0000-0000-00009B000000}"/>
    <hyperlink ref="A87" r:id="rId157" xr:uid="{00000000-0004-0000-0000-00009C000000}"/>
    <hyperlink ref="B87" r:id="rId158" xr:uid="{00000000-0004-0000-0000-00009D000000}"/>
    <hyperlink ref="A88" r:id="rId159" xr:uid="{00000000-0004-0000-0000-00009E000000}"/>
    <hyperlink ref="B88" r:id="rId160" xr:uid="{00000000-0004-0000-0000-00009F000000}"/>
    <hyperlink ref="A89" r:id="rId161" xr:uid="{00000000-0004-0000-0000-0000A0000000}"/>
    <hyperlink ref="B89" r:id="rId162" xr:uid="{00000000-0004-0000-0000-0000A1000000}"/>
    <hyperlink ref="A90" r:id="rId163" xr:uid="{00000000-0004-0000-0000-0000A2000000}"/>
    <hyperlink ref="B90" r:id="rId164" xr:uid="{00000000-0004-0000-0000-0000A3000000}"/>
    <hyperlink ref="A91" r:id="rId165" xr:uid="{00000000-0004-0000-0000-0000A4000000}"/>
    <hyperlink ref="B91" r:id="rId166" xr:uid="{00000000-0004-0000-0000-0000A5000000}"/>
    <hyperlink ref="A92" r:id="rId167" xr:uid="{00000000-0004-0000-0000-0000A6000000}"/>
    <hyperlink ref="B92" r:id="rId168" xr:uid="{00000000-0004-0000-0000-0000A7000000}"/>
    <hyperlink ref="A94" r:id="rId169" xr:uid="{00000000-0004-0000-0000-0000A8000000}"/>
    <hyperlink ref="B94" r:id="rId170" xr:uid="{00000000-0004-0000-0000-0000A9000000}"/>
    <hyperlink ref="A93" r:id="rId171" xr:uid="{00000000-0004-0000-0000-0000AA000000}"/>
    <hyperlink ref="B93" r:id="rId172" xr:uid="{00000000-0004-0000-0000-0000AB000000}"/>
    <hyperlink ref="A95" r:id="rId173" xr:uid="{00000000-0004-0000-0000-0000AC000000}"/>
    <hyperlink ref="B95" r:id="rId174" xr:uid="{00000000-0004-0000-0000-0000AD000000}"/>
    <hyperlink ref="A96" r:id="rId175" xr:uid="{00000000-0004-0000-0000-0000AE000000}"/>
    <hyperlink ref="B96" r:id="rId176" xr:uid="{00000000-0004-0000-0000-0000AF000000}"/>
    <hyperlink ref="A97" r:id="rId177" xr:uid="{00000000-0004-0000-0000-0000B0000000}"/>
    <hyperlink ref="B97" r:id="rId178" xr:uid="{00000000-0004-0000-0000-0000B1000000}"/>
    <hyperlink ref="A98" r:id="rId179" xr:uid="{00000000-0004-0000-0000-0000B2000000}"/>
    <hyperlink ref="B98" r:id="rId180" xr:uid="{00000000-0004-0000-0000-0000B3000000}"/>
    <hyperlink ref="A99" r:id="rId181" xr:uid="{00000000-0004-0000-0000-0000B4000000}"/>
    <hyperlink ref="B99" r:id="rId182" xr:uid="{00000000-0004-0000-0000-0000B5000000}"/>
    <hyperlink ref="A100" r:id="rId183" xr:uid="{00000000-0004-0000-0000-0000B6000000}"/>
    <hyperlink ref="B100" r:id="rId184" xr:uid="{00000000-0004-0000-0000-0000B7000000}"/>
    <hyperlink ref="A101" r:id="rId185" xr:uid="{00000000-0004-0000-0000-0000B8000000}"/>
    <hyperlink ref="B101" r:id="rId186" xr:uid="{00000000-0004-0000-0000-0000B9000000}"/>
    <hyperlink ref="A102" r:id="rId187" xr:uid="{00000000-0004-0000-0000-0000BA000000}"/>
    <hyperlink ref="B102" r:id="rId188" xr:uid="{00000000-0004-0000-0000-0000BB000000}"/>
    <hyperlink ref="A103" r:id="rId189" xr:uid="{00000000-0004-0000-0000-0000BC000000}"/>
    <hyperlink ref="B103" r:id="rId190" xr:uid="{00000000-0004-0000-0000-0000BD000000}"/>
    <hyperlink ref="A104" r:id="rId191" xr:uid="{00000000-0004-0000-0000-0000BE000000}"/>
    <hyperlink ref="B104" r:id="rId192" xr:uid="{00000000-0004-0000-0000-0000BF000000}"/>
    <hyperlink ref="A105" r:id="rId193" xr:uid="{00000000-0004-0000-0000-0000C0000000}"/>
    <hyperlink ref="B105" r:id="rId194" xr:uid="{00000000-0004-0000-0000-0000C1000000}"/>
    <hyperlink ref="A106" r:id="rId195" xr:uid="{00000000-0004-0000-0000-0000C2000000}"/>
    <hyperlink ref="B106" r:id="rId196" xr:uid="{00000000-0004-0000-0000-0000C3000000}"/>
    <hyperlink ref="A107" r:id="rId197" xr:uid="{00000000-0004-0000-0000-0000C4000000}"/>
    <hyperlink ref="B107" r:id="rId198" xr:uid="{00000000-0004-0000-0000-0000C5000000}"/>
    <hyperlink ref="A108" r:id="rId199" xr:uid="{00000000-0004-0000-0000-0000C6000000}"/>
    <hyperlink ref="B108" r:id="rId200" xr:uid="{00000000-0004-0000-0000-0000C7000000}"/>
    <hyperlink ref="A109" r:id="rId201" xr:uid="{00000000-0004-0000-0000-0000C8000000}"/>
    <hyperlink ref="B109" r:id="rId202" xr:uid="{00000000-0004-0000-0000-0000C9000000}"/>
    <hyperlink ref="A110" r:id="rId203" xr:uid="{00000000-0004-0000-0000-0000CA000000}"/>
    <hyperlink ref="B110" r:id="rId204" xr:uid="{00000000-0004-0000-0000-0000CB000000}"/>
    <hyperlink ref="A111" r:id="rId205" xr:uid="{00000000-0004-0000-0000-0000CC000000}"/>
    <hyperlink ref="B111" r:id="rId206" xr:uid="{00000000-0004-0000-0000-0000CD000000}"/>
    <hyperlink ref="A112" r:id="rId207" xr:uid="{00000000-0004-0000-0000-0000CE000000}"/>
    <hyperlink ref="B112" r:id="rId208" xr:uid="{00000000-0004-0000-0000-0000CF000000}"/>
    <hyperlink ref="A113" r:id="rId209" xr:uid="{00000000-0004-0000-0000-0000D0000000}"/>
    <hyperlink ref="B113" r:id="rId210" xr:uid="{00000000-0004-0000-0000-0000D1000000}"/>
    <hyperlink ref="A114" r:id="rId211" xr:uid="{00000000-0004-0000-0000-0000D2000000}"/>
    <hyperlink ref="B114" r:id="rId212" xr:uid="{00000000-0004-0000-0000-0000D3000000}"/>
    <hyperlink ref="A115" r:id="rId213" xr:uid="{00000000-0004-0000-0000-0000D4000000}"/>
    <hyperlink ref="B115" r:id="rId214" xr:uid="{00000000-0004-0000-0000-0000D5000000}"/>
    <hyperlink ref="A116" r:id="rId215" xr:uid="{00000000-0004-0000-0000-0000D6000000}"/>
    <hyperlink ref="B116" r:id="rId216" xr:uid="{00000000-0004-0000-0000-0000D7000000}"/>
    <hyperlink ref="A117" r:id="rId217" xr:uid="{00000000-0004-0000-0000-0000D8000000}"/>
    <hyperlink ref="B117" r:id="rId218" xr:uid="{00000000-0004-0000-0000-0000D9000000}"/>
    <hyperlink ref="A118" r:id="rId219" xr:uid="{00000000-0004-0000-0000-0000DA000000}"/>
    <hyperlink ref="B118" r:id="rId220" xr:uid="{00000000-0004-0000-0000-0000DB000000}"/>
    <hyperlink ref="A120" r:id="rId221" xr:uid="{00000000-0004-0000-0000-0000DC000000}"/>
    <hyperlink ref="B120" r:id="rId222" xr:uid="{00000000-0004-0000-0000-0000DD000000}"/>
    <hyperlink ref="A119" r:id="rId223" xr:uid="{00000000-0004-0000-0000-0000DE000000}"/>
    <hyperlink ref="B119" r:id="rId224" xr:uid="{00000000-0004-0000-0000-0000DF000000}"/>
    <hyperlink ref="A121" r:id="rId225" xr:uid="{00000000-0004-0000-0000-0000E0000000}"/>
    <hyperlink ref="B121" r:id="rId226" xr:uid="{00000000-0004-0000-0000-0000E1000000}"/>
    <hyperlink ref="A122" r:id="rId227" xr:uid="{00000000-0004-0000-0000-0000E2000000}"/>
    <hyperlink ref="B122" r:id="rId228" xr:uid="{00000000-0004-0000-0000-0000E3000000}"/>
    <hyperlink ref="A123" r:id="rId229" xr:uid="{00000000-0004-0000-0000-0000E4000000}"/>
    <hyperlink ref="B123" r:id="rId230" xr:uid="{00000000-0004-0000-0000-0000E5000000}"/>
    <hyperlink ref="A124" r:id="rId231" xr:uid="{00000000-0004-0000-0000-0000E6000000}"/>
    <hyperlink ref="B124" r:id="rId232" xr:uid="{00000000-0004-0000-0000-0000E7000000}"/>
    <hyperlink ref="A125" r:id="rId233" xr:uid="{00000000-0004-0000-0000-0000E8000000}"/>
    <hyperlink ref="B125" r:id="rId234" xr:uid="{00000000-0004-0000-0000-0000E9000000}"/>
    <hyperlink ref="A126" r:id="rId235" xr:uid="{00000000-0004-0000-0000-0000EA000000}"/>
    <hyperlink ref="B126" r:id="rId236" xr:uid="{00000000-0004-0000-0000-0000EB000000}"/>
    <hyperlink ref="A127" r:id="rId237" xr:uid="{00000000-0004-0000-0000-0000EC000000}"/>
    <hyperlink ref="B127" r:id="rId238" xr:uid="{00000000-0004-0000-0000-0000ED000000}"/>
    <hyperlink ref="A128" r:id="rId239" xr:uid="{00000000-0004-0000-0000-0000EE000000}"/>
    <hyperlink ref="B128" r:id="rId240" xr:uid="{00000000-0004-0000-0000-0000EF000000}"/>
    <hyperlink ref="A129" r:id="rId241" xr:uid="{00000000-0004-0000-0000-0000F0000000}"/>
    <hyperlink ref="B129" r:id="rId242" xr:uid="{00000000-0004-0000-0000-0000F1000000}"/>
    <hyperlink ref="A130" r:id="rId243" xr:uid="{00000000-0004-0000-0000-0000F2000000}"/>
    <hyperlink ref="B130" r:id="rId244" xr:uid="{00000000-0004-0000-0000-0000F3000000}"/>
    <hyperlink ref="A131" r:id="rId245" xr:uid="{00000000-0004-0000-0000-0000F4000000}"/>
    <hyperlink ref="B131" r:id="rId246" xr:uid="{00000000-0004-0000-0000-0000F5000000}"/>
    <hyperlink ref="A132" r:id="rId247" xr:uid="{00000000-0004-0000-0000-0000F6000000}"/>
    <hyperlink ref="B132" r:id="rId248" xr:uid="{00000000-0004-0000-0000-0000F7000000}"/>
    <hyperlink ref="A134" r:id="rId249" xr:uid="{00000000-0004-0000-0000-0000F8000000}"/>
    <hyperlink ref="B134" r:id="rId250" xr:uid="{00000000-0004-0000-0000-0000F9000000}"/>
    <hyperlink ref="A133" r:id="rId251" xr:uid="{00000000-0004-0000-0000-0000FA000000}"/>
    <hyperlink ref="B133" r:id="rId252" xr:uid="{00000000-0004-0000-0000-0000FB000000}"/>
    <hyperlink ref="A136" r:id="rId253" xr:uid="{00000000-0004-0000-0000-0000FC000000}"/>
    <hyperlink ref="B136" r:id="rId254" xr:uid="{00000000-0004-0000-0000-0000FD000000}"/>
    <hyperlink ref="A135" r:id="rId255" xr:uid="{00000000-0004-0000-0000-0000FE000000}"/>
    <hyperlink ref="B135" r:id="rId256" xr:uid="{00000000-0004-0000-0000-0000FF000000}"/>
    <hyperlink ref="A137" r:id="rId257" xr:uid="{00000000-0004-0000-0000-000000010000}"/>
    <hyperlink ref="B137" r:id="rId258" xr:uid="{00000000-0004-0000-0000-000001010000}"/>
    <hyperlink ref="A138" r:id="rId259" xr:uid="{00000000-0004-0000-0000-000002010000}"/>
    <hyperlink ref="B138" r:id="rId260" xr:uid="{00000000-0004-0000-0000-000003010000}"/>
    <hyperlink ref="A140" r:id="rId261" xr:uid="{00000000-0004-0000-0000-000004010000}"/>
    <hyperlink ref="B140" r:id="rId262" xr:uid="{00000000-0004-0000-0000-000005010000}"/>
    <hyperlink ref="A139" r:id="rId263" xr:uid="{00000000-0004-0000-0000-000006010000}"/>
    <hyperlink ref="B139" r:id="rId264" xr:uid="{00000000-0004-0000-0000-000007010000}"/>
    <hyperlink ref="A141" r:id="rId265" xr:uid="{00000000-0004-0000-0000-000008010000}"/>
    <hyperlink ref="B141" r:id="rId266" xr:uid="{00000000-0004-0000-0000-000009010000}"/>
    <hyperlink ref="A142" r:id="rId267" xr:uid="{00000000-0004-0000-0000-00000A010000}"/>
    <hyperlink ref="B142" r:id="rId268" xr:uid="{00000000-0004-0000-0000-00000B010000}"/>
    <hyperlink ref="A143" r:id="rId269" xr:uid="{00000000-0004-0000-0000-00000C010000}"/>
    <hyperlink ref="B143" r:id="rId270" xr:uid="{00000000-0004-0000-0000-00000D010000}"/>
    <hyperlink ref="A144" r:id="rId271" xr:uid="{00000000-0004-0000-0000-00000E010000}"/>
    <hyperlink ref="B144" r:id="rId272" xr:uid="{00000000-0004-0000-0000-00000F010000}"/>
    <hyperlink ref="A145" r:id="rId273" xr:uid="{00000000-0004-0000-0000-000010010000}"/>
    <hyperlink ref="B145" r:id="rId274" xr:uid="{00000000-0004-0000-0000-000011010000}"/>
    <hyperlink ref="A146" r:id="rId275" xr:uid="{00000000-0004-0000-0000-000012010000}"/>
    <hyperlink ref="B146" r:id="rId276" xr:uid="{00000000-0004-0000-0000-000013010000}"/>
    <hyperlink ref="A148" r:id="rId277" xr:uid="{00000000-0004-0000-0000-000014010000}"/>
    <hyperlink ref="B148" r:id="rId278" xr:uid="{00000000-0004-0000-0000-000015010000}"/>
    <hyperlink ref="A147" r:id="rId279" xr:uid="{00000000-0004-0000-0000-000016010000}"/>
    <hyperlink ref="B147" r:id="rId280" xr:uid="{00000000-0004-0000-0000-000017010000}"/>
    <hyperlink ref="A149" r:id="rId281" xr:uid="{00000000-0004-0000-0000-000018010000}"/>
    <hyperlink ref="B149" r:id="rId282" xr:uid="{00000000-0004-0000-0000-000019010000}"/>
    <hyperlink ref="A150" r:id="rId283" xr:uid="{00000000-0004-0000-0000-00001A010000}"/>
    <hyperlink ref="B150" r:id="rId284" xr:uid="{00000000-0004-0000-0000-00001B010000}"/>
    <hyperlink ref="A151" r:id="rId285" xr:uid="{00000000-0004-0000-0000-00001C010000}"/>
    <hyperlink ref="B151" r:id="rId286" xr:uid="{00000000-0004-0000-0000-00001D010000}"/>
    <hyperlink ref="A152" r:id="rId287" xr:uid="{00000000-0004-0000-0000-00001E010000}"/>
    <hyperlink ref="B152" r:id="rId288" xr:uid="{00000000-0004-0000-0000-00001F010000}"/>
    <hyperlink ref="A154" r:id="rId289" xr:uid="{00000000-0004-0000-0000-000020010000}"/>
    <hyperlink ref="B154" r:id="rId290" xr:uid="{00000000-0004-0000-0000-000021010000}"/>
    <hyperlink ref="A153" r:id="rId291" xr:uid="{00000000-0004-0000-0000-000022010000}"/>
    <hyperlink ref="B153" r:id="rId292" xr:uid="{00000000-0004-0000-0000-000023010000}"/>
    <hyperlink ref="A155" r:id="rId293" xr:uid="{00000000-0004-0000-0000-000024010000}"/>
    <hyperlink ref="B155" r:id="rId294" xr:uid="{00000000-0004-0000-0000-000025010000}"/>
    <hyperlink ref="A156" r:id="rId295" xr:uid="{00000000-0004-0000-0000-000026010000}"/>
    <hyperlink ref="B156" r:id="rId296" xr:uid="{00000000-0004-0000-0000-000027010000}"/>
    <hyperlink ref="A158" r:id="rId297" xr:uid="{00000000-0004-0000-0000-000028010000}"/>
    <hyperlink ref="B158" r:id="rId298" xr:uid="{00000000-0004-0000-0000-000029010000}"/>
    <hyperlink ref="A157" r:id="rId299" xr:uid="{00000000-0004-0000-0000-00002A010000}"/>
    <hyperlink ref="B157" r:id="rId300" xr:uid="{00000000-0004-0000-0000-00002B010000}"/>
    <hyperlink ref="A159" r:id="rId301" xr:uid="{00000000-0004-0000-0000-00002C010000}"/>
    <hyperlink ref="B159" r:id="rId302" xr:uid="{00000000-0004-0000-0000-00002D010000}"/>
    <hyperlink ref="A160" r:id="rId303" xr:uid="{00000000-0004-0000-0000-00002E010000}"/>
    <hyperlink ref="B160" r:id="rId304" xr:uid="{00000000-0004-0000-0000-00002F010000}"/>
    <hyperlink ref="A161" r:id="rId305" xr:uid="{00000000-0004-0000-0000-000030010000}"/>
    <hyperlink ref="B161" r:id="rId306" xr:uid="{00000000-0004-0000-0000-000031010000}"/>
    <hyperlink ref="A162" r:id="rId307" xr:uid="{00000000-0004-0000-0000-000032010000}"/>
    <hyperlink ref="B162" r:id="rId308" xr:uid="{00000000-0004-0000-0000-000033010000}"/>
    <hyperlink ref="A163" r:id="rId309" xr:uid="{00000000-0004-0000-0000-000034010000}"/>
    <hyperlink ref="B163" r:id="rId310" xr:uid="{00000000-0004-0000-0000-000035010000}"/>
    <hyperlink ref="A164" r:id="rId311" xr:uid="{00000000-0004-0000-0000-000036010000}"/>
    <hyperlink ref="B164" r:id="rId312" xr:uid="{00000000-0004-0000-0000-000037010000}"/>
    <hyperlink ref="A165" r:id="rId313" xr:uid="{00000000-0004-0000-0000-000038010000}"/>
    <hyperlink ref="B165" r:id="rId314" xr:uid="{00000000-0004-0000-0000-000039010000}"/>
    <hyperlink ref="A166" r:id="rId315" xr:uid="{00000000-0004-0000-0000-00003A010000}"/>
    <hyperlink ref="B166" r:id="rId316" xr:uid="{00000000-0004-0000-0000-00003B010000}"/>
    <hyperlink ref="A167" r:id="rId317" xr:uid="{00000000-0004-0000-0000-00003C010000}"/>
    <hyperlink ref="B167" r:id="rId318" xr:uid="{00000000-0004-0000-0000-00003D010000}"/>
    <hyperlink ref="A168" r:id="rId319" xr:uid="{00000000-0004-0000-0000-00003E010000}"/>
    <hyperlink ref="B168" r:id="rId320" xr:uid="{00000000-0004-0000-0000-00003F010000}"/>
    <hyperlink ref="A170" r:id="rId321" xr:uid="{00000000-0004-0000-0000-000040010000}"/>
    <hyperlink ref="B170" r:id="rId322" xr:uid="{00000000-0004-0000-0000-000041010000}"/>
    <hyperlink ref="A169" r:id="rId323" xr:uid="{00000000-0004-0000-0000-000042010000}"/>
    <hyperlink ref="B169" r:id="rId324" xr:uid="{00000000-0004-0000-0000-000043010000}"/>
    <hyperlink ref="A171" r:id="rId325" xr:uid="{00000000-0004-0000-0000-000044010000}"/>
    <hyperlink ref="B171" r:id="rId326" xr:uid="{00000000-0004-0000-0000-000045010000}"/>
    <hyperlink ref="A172" r:id="rId327" xr:uid="{00000000-0004-0000-0000-000046010000}"/>
    <hyperlink ref="B172" r:id="rId328" xr:uid="{00000000-0004-0000-0000-000047010000}"/>
    <hyperlink ref="A173" r:id="rId329" xr:uid="{00000000-0004-0000-0000-000048010000}"/>
    <hyperlink ref="B173" r:id="rId330" xr:uid="{00000000-0004-0000-0000-000049010000}"/>
    <hyperlink ref="A174" r:id="rId331" xr:uid="{00000000-0004-0000-0000-00004A010000}"/>
    <hyperlink ref="B174" r:id="rId332" xr:uid="{00000000-0004-0000-0000-00004B010000}"/>
    <hyperlink ref="A175" r:id="rId333" xr:uid="{00000000-0004-0000-0000-00004C010000}"/>
    <hyperlink ref="B175" r:id="rId334" xr:uid="{00000000-0004-0000-0000-00004D010000}"/>
    <hyperlink ref="A176" r:id="rId335" xr:uid="{00000000-0004-0000-0000-00004E010000}"/>
    <hyperlink ref="B176" r:id="rId336" xr:uid="{00000000-0004-0000-0000-00004F010000}"/>
    <hyperlink ref="A177" r:id="rId337" xr:uid="{00000000-0004-0000-0000-000050010000}"/>
    <hyperlink ref="B177" r:id="rId338" xr:uid="{00000000-0004-0000-0000-000051010000}"/>
    <hyperlink ref="A178" r:id="rId339" xr:uid="{00000000-0004-0000-0000-000052010000}"/>
    <hyperlink ref="B178" r:id="rId340" xr:uid="{00000000-0004-0000-0000-000053010000}"/>
    <hyperlink ref="A181" r:id="rId341" xr:uid="{00000000-0004-0000-0000-000054010000}"/>
    <hyperlink ref="B181" r:id="rId342" xr:uid="{00000000-0004-0000-0000-000055010000}"/>
    <hyperlink ref="A179" r:id="rId343" xr:uid="{00000000-0004-0000-0000-000056010000}"/>
    <hyperlink ref="B179" r:id="rId344" xr:uid="{00000000-0004-0000-0000-000057010000}"/>
    <hyperlink ref="A180" r:id="rId345" xr:uid="{00000000-0004-0000-0000-000058010000}"/>
    <hyperlink ref="B180" r:id="rId346" xr:uid="{00000000-0004-0000-0000-000059010000}"/>
    <hyperlink ref="A182" r:id="rId347" xr:uid="{00000000-0004-0000-0000-00005A010000}"/>
    <hyperlink ref="B182" r:id="rId348" xr:uid="{00000000-0004-0000-0000-00005B010000}"/>
    <hyperlink ref="A183" r:id="rId349" xr:uid="{00000000-0004-0000-0000-00005C010000}"/>
    <hyperlink ref="B183" r:id="rId350" xr:uid="{00000000-0004-0000-0000-00005D010000}"/>
    <hyperlink ref="A184" r:id="rId351" xr:uid="{00000000-0004-0000-0000-00005E010000}"/>
    <hyperlink ref="B184" r:id="rId352" xr:uid="{00000000-0004-0000-0000-00005F010000}"/>
    <hyperlink ref="A185" r:id="rId353" xr:uid="{00000000-0004-0000-0000-000060010000}"/>
    <hyperlink ref="B185" r:id="rId354" xr:uid="{00000000-0004-0000-0000-000061010000}"/>
    <hyperlink ref="A187" r:id="rId355" xr:uid="{00000000-0004-0000-0000-000062010000}"/>
    <hyperlink ref="B187" r:id="rId356" xr:uid="{00000000-0004-0000-0000-000063010000}"/>
    <hyperlink ref="A186" r:id="rId357" xr:uid="{00000000-0004-0000-0000-000064010000}"/>
    <hyperlink ref="B186" r:id="rId358" xr:uid="{00000000-0004-0000-0000-000065010000}"/>
    <hyperlink ref="A188" r:id="rId359" xr:uid="{00000000-0004-0000-0000-000066010000}"/>
    <hyperlink ref="B188" r:id="rId360" xr:uid="{00000000-0004-0000-0000-000067010000}"/>
    <hyperlink ref="A189" r:id="rId361" xr:uid="{00000000-0004-0000-0000-000068010000}"/>
    <hyperlink ref="B189" r:id="rId362" xr:uid="{00000000-0004-0000-0000-000069010000}"/>
    <hyperlink ref="A190" r:id="rId363" xr:uid="{00000000-0004-0000-0000-00006A010000}"/>
    <hyperlink ref="B190" r:id="rId364" xr:uid="{00000000-0004-0000-0000-00006B010000}"/>
    <hyperlink ref="A191" r:id="rId365" xr:uid="{00000000-0004-0000-0000-00006C010000}"/>
    <hyperlink ref="B191" r:id="rId366" xr:uid="{00000000-0004-0000-0000-00006D010000}"/>
    <hyperlink ref="A192" r:id="rId367" xr:uid="{00000000-0004-0000-0000-00006E010000}"/>
    <hyperlink ref="B192" r:id="rId368" xr:uid="{00000000-0004-0000-0000-00006F010000}"/>
    <hyperlink ref="A193" r:id="rId369" xr:uid="{00000000-0004-0000-0000-000070010000}"/>
    <hyperlink ref="B193" r:id="rId370" xr:uid="{00000000-0004-0000-0000-000071010000}"/>
    <hyperlink ref="A194" r:id="rId371" xr:uid="{00000000-0004-0000-0000-000072010000}"/>
    <hyperlink ref="B194" r:id="rId372" xr:uid="{00000000-0004-0000-0000-000073010000}"/>
    <hyperlink ref="A195" r:id="rId373" xr:uid="{00000000-0004-0000-0000-000074010000}"/>
    <hyperlink ref="B195" r:id="rId374" xr:uid="{00000000-0004-0000-0000-000075010000}"/>
    <hyperlink ref="A196" r:id="rId375" xr:uid="{00000000-0004-0000-0000-000076010000}"/>
    <hyperlink ref="B196" r:id="rId376" xr:uid="{00000000-0004-0000-0000-000077010000}"/>
    <hyperlink ref="A197" r:id="rId377" xr:uid="{00000000-0004-0000-0000-000078010000}"/>
    <hyperlink ref="B197" r:id="rId378" xr:uid="{00000000-0004-0000-0000-000079010000}"/>
    <hyperlink ref="A198" r:id="rId379" xr:uid="{00000000-0004-0000-0000-00007A010000}"/>
    <hyperlink ref="B198" r:id="rId380" xr:uid="{00000000-0004-0000-0000-00007B010000}"/>
    <hyperlink ref="A199" r:id="rId381" xr:uid="{00000000-0004-0000-0000-00007C010000}"/>
    <hyperlink ref="B199" r:id="rId382" xr:uid="{00000000-0004-0000-0000-00007D010000}"/>
    <hyperlink ref="A200" r:id="rId383" xr:uid="{00000000-0004-0000-0000-00007E010000}"/>
    <hyperlink ref="B200" r:id="rId384" xr:uid="{00000000-0004-0000-0000-00007F010000}"/>
    <hyperlink ref="A201" r:id="rId385" xr:uid="{00000000-0004-0000-0000-000080010000}"/>
    <hyperlink ref="B201" r:id="rId386" xr:uid="{00000000-0004-0000-0000-000081010000}"/>
    <hyperlink ref="A203" r:id="rId387" xr:uid="{00000000-0004-0000-0000-000082010000}"/>
    <hyperlink ref="B203" r:id="rId388" xr:uid="{00000000-0004-0000-0000-000083010000}"/>
    <hyperlink ref="A202" r:id="rId389" xr:uid="{00000000-0004-0000-0000-000084010000}"/>
    <hyperlink ref="B202" r:id="rId390" xr:uid="{00000000-0004-0000-0000-000085010000}"/>
    <hyperlink ref="A204" r:id="rId391" xr:uid="{00000000-0004-0000-0000-000086010000}"/>
    <hyperlink ref="B204" r:id="rId392" xr:uid="{00000000-0004-0000-0000-000087010000}"/>
    <hyperlink ref="A205" r:id="rId393" xr:uid="{00000000-0004-0000-0000-000088010000}"/>
    <hyperlink ref="B205" r:id="rId394" xr:uid="{00000000-0004-0000-0000-000089010000}"/>
    <hyperlink ref="A206" r:id="rId395" xr:uid="{00000000-0004-0000-0000-00008A010000}"/>
    <hyperlink ref="B206" r:id="rId396" xr:uid="{00000000-0004-0000-0000-00008B010000}"/>
    <hyperlink ref="A207" r:id="rId397" xr:uid="{00000000-0004-0000-0000-00008C010000}"/>
    <hyperlink ref="B207" r:id="rId398" xr:uid="{00000000-0004-0000-0000-00008D010000}"/>
    <hyperlink ref="A208" r:id="rId399" xr:uid="{00000000-0004-0000-0000-00008E010000}"/>
    <hyperlink ref="B208" r:id="rId400" xr:uid="{00000000-0004-0000-0000-00008F010000}"/>
    <hyperlink ref="A209" r:id="rId401" xr:uid="{00000000-0004-0000-0000-000090010000}"/>
    <hyperlink ref="B209" r:id="rId402" xr:uid="{00000000-0004-0000-0000-000091010000}"/>
    <hyperlink ref="A210" r:id="rId403" xr:uid="{00000000-0004-0000-0000-000092010000}"/>
    <hyperlink ref="B210" r:id="rId404" xr:uid="{00000000-0004-0000-0000-000093010000}"/>
    <hyperlink ref="A211" r:id="rId405" xr:uid="{00000000-0004-0000-0000-000094010000}"/>
    <hyperlink ref="B211" r:id="rId406" xr:uid="{00000000-0004-0000-0000-000095010000}"/>
    <hyperlink ref="A214" r:id="rId407" xr:uid="{00000000-0004-0000-0000-000096010000}"/>
    <hyperlink ref="B214" r:id="rId408" xr:uid="{00000000-0004-0000-0000-000097010000}"/>
    <hyperlink ref="A213" r:id="rId409" xr:uid="{00000000-0004-0000-0000-000098010000}"/>
    <hyperlink ref="B213" r:id="rId410" xr:uid="{00000000-0004-0000-0000-000099010000}"/>
    <hyperlink ref="A212" r:id="rId411" xr:uid="{00000000-0004-0000-0000-00009A010000}"/>
    <hyperlink ref="B212" r:id="rId412" xr:uid="{00000000-0004-0000-0000-00009B010000}"/>
    <hyperlink ref="A215" r:id="rId413" xr:uid="{00000000-0004-0000-0000-00009C010000}"/>
    <hyperlink ref="B215" r:id="rId414" xr:uid="{00000000-0004-0000-0000-00009D010000}"/>
    <hyperlink ref="A216" r:id="rId415" xr:uid="{00000000-0004-0000-0000-00009E010000}"/>
    <hyperlink ref="B216" r:id="rId416" xr:uid="{00000000-0004-0000-0000-00009F010000}"/>
    <hyperlink ref="A217" r:id="rId417" xr:uid="{00000000-0004-0000-0000-0000A0010000}"/>
    <hyperlink ref="B217" r:id="rId418" xr:uid="{00000000-0004-0000-0000-0000A1010000}"/>
    <hyperlink ref="A218" r:id="rId419" xr:uid="{00000000-0004-0000-0000-0000A2010000}"/>
    <hyperlink ref="B218" r:id="rId420" xr:uid="{00000000-0004-0000-0000-0000A3010000}"/>
    <hyperlink ref="A219" r:id="rId421" xr:uid="{00000000-0004-0000-0000-0000A4010000}"/>
    <hyperlink ref="B219" r:id="rId422" xr:uid="{00000000-0004-0000-0000-0000A5010000}"/>
    <hyperlink ref="A220" r:id="rId423" xr:uid="{00000000-0004-0000-0000-0000A6010000}"/>
    <hyperlink ref="B220" r:id="rId424" xr:uid="{00000000-0004-0000-0000-0000A7010000}"/>
    <hyperlink ref="A221" r:id="rId425" xr:uid="{00000000-0004-0000-0000-0000A8010000}"/>
    <hyperlink ref="B221" r:id="rId426" xr:uid="{00000000-0004-0000-0000-0000A9010000}"/>
    <hyperlink ref="A223" r:id="rId427" xr:uid="{00000000-0004-0000-0000-0000AA010000}"/>
    <hyperlink ref="B223" r:id="rId428" xr:uid="{00000000-0004-0000-0000-0000AB010000}"/>
    <hyperlink ref="A225" r:id="rId429" xr:uid="{00000000-0004-0000-0000-0000AC010000}"/>
    <hyperlink ref="B225" r:id="rId430" xr:uid="{00000000-0004-0000-0000-0000AD010000}"/>
    <hyperlink ref="A224" r:id="rId431" xr:uid="{00000000-0004-0000-0000-0000AE010000}"/>
    <hyperlink ref="B224" r:id="rId432" xr:uid="{00000000-0004-0000-0000-0000AF010000}"/>
    <hyperlink ref="A222" r:id="rId433" xr:uid="{00000000-0004-0000-0000-0000B0010000}"/>
    <hyperlink ref="B222" r:id="rId434" xr:uid="{00000000-0004-0000-0000-0000B1010000}"/>
    <hyperlink ref="A227" r:id="rId435" xr:uid="{00000000-0004-0000-0000-0000B2010000}"/>
    <hyperlink ref="B227" r:id="rId436" xr:uid="{00000000-0004-0000-0000-0000B3010000}"/>
    <hyperlink ref="A228" r:id="rId437" xr:uid="{00000000-0004-0000-0000-0000B4010000}"/>
    <hyperlink ref="B228" r:id="rId438" xr:uid="{00000000-0004-0000-0000-0000B5010000}"/>
    <hyperlink ref="A226" r:id="rId439" xr:uid="{00000000-0004-0000-0000-0000B6010000}"/>
    <hyperlink ref="B226" r:id="rId440" xr:uid="{00000000-0004-0000-0000-0000B7010000}"/>
    <hyperlink ref="A229" r:id="rId441" xr:uid="{00000000-0004-0000-0000-0000B8010000}"/>
    <hyperlink ref="B229" r:id="rId442" xr:uid="{00000000-0004-0000-0000-0000B9010000}"/>
    <hyperlink ref="A230" r:id="rId443" xr:uid="{00000000-0004-0000-0000-0000BA010000}"/>
    <hyperlink ref="B230" r:id="rId444" xr:uid="{00000000-0004-0000-0000-0000BB010000}"/>
    <hyperlink ref="A231" r:id="rId445" xr:uid="{00000000-0004-0000-0000-0000BC010000}"/>
    <hyperlink ref="B231" r:id="rId446" xr:uid="{00000000-0004-0000-0000-0000BD010000}"/>
    <hyperlink ref="A232" r:id="rId447" xr:uid="{00000000-0004-0000-0000-0000BE010000}"/>
    <hyperlink ref="B232" r:id="rId448" xr:uid="{00000000-0004-0000-0000-0000BF010000}"/>
    <hyperlink ref="A233" r:id="rId449" xr:uid="{00000000-0004-0000-0000-0000C0010000}"/>
    <hyperlink ref="B233" r:id="rId450" xr:uid="{00000000-0004-0000-0000-0000C1010000}"/>
    <hyperlink ref="A234" r:id="rId451" xr:uid="{00000000-0004-0000-0000-0000C2010000}"/>
    <hyperlink ref="B234" r:id="rId452" xr:uid="{00000000-0004-0000-0000-0000C3010000}"/>
    <hyperlink ref="A235" r:id="rId453" xr:uid="{00000000-0004-0000-0000-0000C4010000}"/>
    <hyperlink ref="B235" r:id="rId454" xr:uid="{00000000-0004-0000-0000-0000C5010000}"/>
    <hyperlink ref="A236" r:id="rId455" xr:uid="{00000000-0004-0000-0000-0000C6010000}"/>
    <hyperlink ref="B236" r:id="rId456" xr:uid="{00000000-0004-0000-0000-0000C7010000}"/>
    <hyperlink ref="A237" r:id="rId457" xr:uid="{00000000-0004-0000-0000-0000C8010000}"/>
    <hyperlink ref="B237" r:id="rId458" xr:uid="{00000000-0004-0000-0000-0000C9010000}"/>
    <hyperlink ref="A238" r:id="rId459" xr:uid="{00000000-0004-0000-0000-0000CA010000}"/>
    <hyperlink ref="B238" r:id="rId460" xr:uid="{00000000-0004-0000-0000-0000CB010000}"/>
    <hyperlink ref="A239" r:id="rId461" xr:uid="{00000000-0004-0000-0000-0000CC010000}"/>
    <hyperlink ref="B239" r:id="rId462" xr:uid="{00000000-0004-0000-0000-0000CD010000}"/>
    <hyperlink ref="A240" r:id="rId463" xr:uid="{00000000-0004-0000-0000-0000CE010000}"/>
    <hyperlink ref="B240" r:id="rId464" xr:uid="{00000000-0004-0000-0000-0000CF010000}"/>
    <hyperlink ref="A241" r:id="rId465" xr:uid="{00000000-0004-0000-0000-0000D0010000}"/>
    <hyperlink ref="B241" r:id="rId466" xr:uid="{00000000-0004-0000-0000-0000D1010000}"/>
    <hyperlink ref="A242" r:id="rId467" xr:uid="{00000000-0004-0000-0000-0000D2010000}"/>
    <hyperlink ref="B242" r:id="rId468" xr:uid="{00000000-0004-0000-0000-0000D3010000}"/>
    <hyperlink ref="A243" r:id="rId469" xr:uid="{00000000-0004-0000-0000-0000D4010000}"/>
    <hyperlink ref="B243" r:id="rId470" xr:uid="{00000000-0004-0000-0000-0000D5010000}"/>
    <hyperlink ref="A244" r:id="rId471" xr:uid="{00000000-0004-0000-0000-0000D6010000}"/>
    <hyperlink ref="B244" r:id="rId472" xr:uid="{00000000-0004-0000-0000-0000D7010000}"/>
    <hyperlink ref="A245" r:id="rId473" xr:uid="{00000000-0004-0000-0000-0000D8010000}"/>
    <hyperlink ref="B245" r:id="rId474" xr:uid="{00000000-0004-0000-0000-0000D9010000}"/>
    <hyperlink ref="A246" r:id="rId475" xr:uid="{00000000-0004-0000-0000-0000DA010000}"/>
    <hyperlink ref="B246" r:id="rId476" xr:uid="{00000000-0004-0000-0000-0000DB010000}"/>
    <hyperlink ref="A247" r:id="rId477" xr:uid="{00000000-0004-0000-0000-0000DC010000}"/>
    <hyperlink ref="B247" r:id="rId478" xr:uid="{00000000-0004-0000-0000-0000DD010000}"/>
    <hyperlink ref="A248" r:id="rId479" xr:uid="{00000000-0004-0000-0000-0000DE010000}"/>
    <hyperlink ref="B248" r:id="rId480" xr:uid="{00000000-0004-0000-0000-0000DF010000}"/>
    <hyperlink ref="A249" r:id="rId481" xr:uid="{00000000-0004-0000-0000-0000E0010000}"/>
    <hyperlink ref="B249" r:id="rId482" xr:uid="{00000000-0004-0000-0000-0000E1010000}"/>
    <hyperlink ref="A250" r:id="rId483" xr:uid="{00000000-0004-0000-0000-0000E2010000}"/>
    <hyperlink ref="B250" r:id="rId484" xr:uid="{00000000-0004-0000-0000-0000E3010000}"/>
    <hyperlink ref="A251" r:id="rId485" xr:uid="{00000000-0004-0000-0000-0000E4010000}"/>
    <hyperlink ref="B251" r:id="rId486" xr:uid="{00000000-0004-0000-0000-0000E5010000}"/>
    <hyperlink ref="A252" r:id="rId487" xr:uid="{00000000-0004-0000-0000-0000E6010000}"/>
    <hyperlink ref="B252" r:id="rId488" xr:uid="{00000000-0004-0000-0000-0000E7010000}"/>
    <hyperlink ref="A253" r:id="rId489" xr:uid="{00000000-0004-0000-0000-0000E8010000}"/>
    <hyperlink ref="B253" r:id="rId490" xr:uid="{00000000-0004-0000-0000-0000E9010000}"/>
    <hyperlink ref="A254" r:id="rId491" xr:uid="{00000000-0004-0000-0000-0000EA010000}"/>
    <hyperlink ref="B254" r:id="rId492" xr:uid="{00000000-0004-0000-0000-0000EB010000}"/>
    <hyperlink ref="A255" r:id="rId493" xr:uid="{00000000-0004-0000-0000-0000EC010000}"/>
    <hyperlink ref="B255" r:id="rId494" xr:uid="{00000000-0004-0000-0000-0000ED010000}"/>
    <hyperlink ref="A256" r:id="rId495" xr:uid="{00000000-0004-0000-0000-0000EE010000}"/>
    <hyperlink ref="B256" r:id="rId496" xr:uid="{00000000-0004-0000-0000-0000EF010000}"/>
    <hyperlink ref="A257" r:id="rId497" xr:uid="{00000000-0004-0000-0000-0000F0010000}"/>
    <hyperlink ref="B257" r:id="rId498" xr:uid="{00000000-0004-0000-0000-0000F1010000}"/>
    <hyperlink ref="A258" r:id="rId499" xr:uid="{00000000-0004-0000-0000-0000F2010000}"/>
    <hyperlink ref="B258" r:id="rId500" xr:uid="{00000000-0004-0000-0000-0000F3010000}"/>
    <hyperlink ref="A259" r:id="rId501" xr:uid="{00000000-0004-0000-0000-0000F4010000}"/>
    <hyperlink ref="B259" r:id="rId502" xr:uid="{00000000-0004-0000-0000-0000F5010000}"/>
    <hyperlink ref="A260" r:id="rId503" xr:uid="{00000000-0004-0000-0000-0000F6010000}"/>
    <hyperlink ref="B260" r:id="rId504" xr:uid="{00000000-0004-0000-0000-0000F7010000}"/>
    <hyperlink ref="A261" r:id="rId505" xr:uid="{00000000-0004-0000-0000-0000F8010000}"/>
    <hyperlink ref="B261" r:id="rId506" xr:uid="{00000000-0004-0000-0000-0000F9010000}"/>
    <hyperlink ref="A262" r:id="rId507" xr:uid="{00000000-0004-0000-0000-0000FA010000}"/>
    <hyperlink ref="B262" r:id="rId508" xr:uid="{00000000-0004-0000-0000-0000FB010000}"/>
    <hyperlink ref="A263" r:id="rId509" xr:uid="{00000000-0004-0000-0000-0000FC010000}"/>
    <hyperlink ref="B263" r:id="rId510" xr:uid="{00000000-0004-0000-0000-0000FD010000}"/>
    <hyperlink ref="A264" r:id="rId511" xr:uid="{00000000-0004-0000-0000-0000FE010000}"/>
    <hyperlink ref="B264" r:id="rId512" xr:uid="{00000000-0004-0000-0000-0000FF010000}"/>
    <hyperlink ref="A265" r:id="rId513" xr:uid="{00000000-0004-0000-0000-000000020000}"/>
    <hyperlink ref="B265" r:id="rId514" xr:uid="{00000000-0004-0000-0000-000001020000}"/>
    <hyperlink ref="A266" r:id="rId515" xr:uid="{00000000-0004-0000-0000-000002020000}"/>
    <hyperlink ref="B266" r:id="rId516" xr:uid="{00000000-0004-0000-0000-000003020000}"/>
    <hyperlink ref="A267" r:id="rId517" xr:uid="{00000000-0004-0000-0000-000004020000}"/>
    <hyperlink ref="B267" r:id="rId518" xr:uid="{00000000-0004-0000-0000-000005020000}"/>
    <hyperlink ref="A268" r:id="rId519" xr:uid="{00000000-0004-0000-0000-000006020000}"/>
    <hyperlink ref="B268" r:id="rId520" xr:uid="{00000000-0004-0000-0000-000007020000}"/>
    <hyperlink ref="A270" r:id="rId521" xr:uid="{00000000-0004-0000-0000-000008020000}"/>
    <hyperlink ref="B270" r:id="rId522" xr:uid="{00000000-0004-0000-0000-000009020000}"/>
    <hyperlink ref="A269" r:id="rId523" xr:uid="{00000000-0004-0000-0000-00000A020000}"/>
    <hyperlink ref="B269" r:id="rId524" xr:uid="{00000000-0004-0000-0000-00000B020000}"/>
    <hyperlink ref="A271" r:id="rId525" xr:uid="{00000000-0004-0000-0000-00000C020000}"/>
    <hyperlink ref="B271" r:id="rId526" xr:uid="{00000000-0004-0000-0000-00000D020000}"/>
    <hyperlink ref="A272" r:id="rId527" xr:uid="{00000000-0004-0000-0000-00000E020000}"/>
    <hyperlink ref="B272" r:id="rId528" xr:uid="{00000000-0004-0000-0000-00000F020000}"/>
    <hyperlink ref="A273" r:id="rId529" xr:uid="{00000000-0004-0000-0000-000010020000}"/>
    <hyperlink ref="B273" r:id="rId530" xr:uid="{00000000-0004-0000-0000-000011020000}"/>
    <hyperlink ref="A274" r:id="rId531" xr:uid="{00000000-0004-0000-0000-000012020000}"/>
    <hyperlink ref="B274" r:id="rId532" xr:uid="{00000000-0004-0000-0000-000013020000}"/>
    <hyperlink ref="A275" r:id="rId533" xr:uid="{00000000-0004-0000-0000-000014020000}"/>
    <hyperlink ref="B275" r:id="rId534" xr:uid="{00000000-0004-0000-0000-000015020000}"/>
    <hyperlink ref="A276" r:id="rId535" xr:uid="{00000000-0004-0000-0000-000016020000}"/>
    <hyperlink ref="B276" r:id="rId536" xr:uid="{00000000-0004-0000-0000-000017020000}"/>
    <hyperlink ref="A277" r:id="rId537" xr:uid="{00000000-0004-0000-0000-000018020000}"/>
    <hyperlink ref="B277" r:id="rId538" xr:uid="{00000000-0004-0000-0000-000019020000}"/>
    <hyperlink ref="A278" r:id="rId539" xr:uid="{00000000-0004-0000-0000-00001A020000}"/>
    <hyperlink ref="B278" r:id="rId540" xr:uid="{00000000-0004-0000-0000-00001B020000}"/>
    <hyperlink ref="A279" r:id="rId541" xr:uid="{00000000-0004-0000-0000-00001C020000}"/>
    <hyperlink ref="B279" r:id="rId542" xr:uid="{00000000-0004-0000-0000-00001D020000}"/>
    <hyperlink ref="A280" r:id="rId543" xr:uid="{00000000-0004-0000-0000-00001E020000}"/>
    <hyperlink ref="B280" r:id="rId544" xr:uid="{00000000-0004-0000-0000-00001F020000}"/>
    <hyperlink ref="A281" r:id="rId545" xr:uid="{00000000-0004-0000-0000-000020020000}"/>
    <hyperlink ref="B281" r:id="rId546" xr:uid="{00000000-0004-0000-0000-000021020000}"/>
    <hyperlink ref="A283" r:id="rId547" xr:uid="{00000000-0004-0000-0000-000022020000}"/>
    <hyperlink ref="B283" r:id="rId548" xr:uid="{00000000-0004-0000-0000-000023020000}"/>
    <hyperlink ref="A282" r:id="rId549" xr:uid="{00000000-0004-0000-0000-000024020000}"/>
    <hyperlink ref="B282" r:id="rId550" xr:uid="{00000000-0004-0000-0000-000025020000}"/>
    <hyperlink ref="A284" r:id="rId551" xr:uid="{00000000-0004-0000-0000-000026020000}"/>
    <hyperlink ref="B284" r:id="rId552" xr:uid="{00000000-0004-0000-0000-000027020000}"/>
    <hyperlink ref="A285" r:id="rId553" xr:uid="{00000000-0004-0000-0000-000028020000}"/>
    <hyperlink ref="B285" r:id="rId554" xr:uid="{00000000-0004-0000-0000-000029020000}"/>
    <hyperlink ref="A286" r:id="rId555" xr:uid="{00000000-0004-0000-0000-00002A020000}"/>
    <hyperlink ref="B286" r:id="rId556" xr:uid="{00000000-0004-0000-0000-00002B020000}"/>
    <hyperlink ref="A287" r:id="rId557" xr:uid="{00000000-0004-0000-0000-00002C020000}"/>
    <hyperlink ref="B287" r:id="rId558" xr:uid="{00000000-0004-0000-0000-00002D020000}"/>
    <hyperlink ref="A288" r:id="rId559" xr:uid="{00000000-0004-0000-0000-00002E020000}"/>
    <hyperlink ref="B288" r:id="rId560" xr:uid="{00000000-0004-0000-0000-00002F020000}"/>
    <hyperlink ref="A289" r:id="rId561" xr:uid="{00000000-0004-0000-0000-000030020000}"/>
    <hyperlink ref="B289" r:id="rId562" xr:uid="{00000000-0004-0000-0000-000031020000}"/>
    <hyperlink ref="A290" r:id="rId563" xr:uid="{00000000-0004-0000-0000-000032020000}"/>
    <hyperlink ref="B290" r:id="rId564" xr:uid="{00000000-0004-0000-0000-000033020000}"/>
    <hyperlink ref="A291" r:id="rId565" xr:uid="{00000000-0004-0000-0000-000034020000}"/>
    <hyperlink ref="B291" r:id="rId566" xr:uid="{00000000-0004-0000-0000-000035020000}"/>
    <hyperlink ref="A292" r:id="rId567" xr:uid="{00000000-0004-0000-0000-000036020000}"/>
    <hyperlink ref="B292" r:id="rId568" xr:uid="{00000000-0004-0000-0000-000037020000}"/>
    <hyperlink ref="A293" r:id="rId569" xr:uid="{00000000-0004-0000-0000-000038020000}"/>
    <hyperlink ref="B293" r:id="rId570" xr:uid="{00000000-0004-0000-0000-000039020000}"/>
    <hyperlink ref="A294" r:id="rId571" xr:uid="{00000000-0004-0000-0000-00003A020000}"/>
    <hyperlink ref="B294" r:id="rId572" xr:uid="{00000000-0004-0000-0000-00003B020000}"/>
    <hyperlink ref="A295" r:id="rId573" xr:uid="{00000000-0004-0000-0000-00003C020000}"/>
    <hyperlink ref="B295" r:id="rId574" xr:uid="{00000000-0004-0000-0000-00003D020000}"/>
    <hyperlink ref="A296" r:id="rId575" xr:uid="{00000000-0004-0000-0000-00003E020000}"/>
    <hyperlink ref="B296" r:id="rId576" xr:uid="{00000000-0004-0000-0000-00003F020000}"/>
    <hyperlink ref="A298" r:id="rId577" xr:uid="{00000000-0004-0000-0000-000040020000}"/>
    <hyperlink ref="B298" r:id="rId578" xr:uid="{00000000-0004-0000-0000-000041020000}"/>
    <hyperlink ref="A297" r:id="rId579" xr:uid="{00000000-0004-0000-0000-000042020000}"/>
    <hyperlink ref="B297" r:id="rId580" xr:uid="{00000000-0004-0000-0000-000043020000}"/>
    <hyperlink ref="A299" r:id="rId581" xr:uid="{00000000-0004-0000-0000-000044020000}"/>
    <hyperlink ref="B299" r:id="rId582" xr:uid="{00000000-0004-0000-0000-000045020000}"/>
    <hyperlink ref="A300" r:id="rId583" xr:uid="{00000000-0004-0000-0000-000046020000}"/>
    <hyperlink ref="B300" r:id="rId584" xr:uid="{00000000-0004-0000-0000-000047020000}"/>
    <hyperlink ref="A302" r:id="rId585" xr:uid="{00000000-0004-0000-0000-000048020000}"/>
    <hyperlink ref="B302" r:id="rId586" xr:uid="{00000000-0004-0000-0000-000049020000}"/>
    <hyperlink ref="A301" r:id="rId587" xr:uid="{00000000-0004-0000-0000-00004A020000}"/>
    <hyperlink ref="B301" r:id="rId588" xr:uid="{00000000-0004-0000-0000-00004B020000}"/>
    <hyperlink ref="A303" r:id="rId589" xr:uid="{00000000-0004-0000-0000-00004C020000}"/>
    <hyperlink ref="B303" r:id="rId590" xr:uid="{00000000-0004-0000-0000-00004D020000}"/>
    <hyperlink ref="A304" r:id="rId591" xr:uid="{00000000-0004-0000-0000-00004E020000}"/>
    <hyperlink ref="B304" r:id="rId592" xr:uid="{00000000-0004-0000-0000-00004F020000}"/>
    <hyperlink ref="A305" r:id="rId593" xr:uid="{00000000-0004-0000-0000-000050020000}"/>
    <hyperlink ref="B305" r:id="rId594" xr:uid="{00000000-0004-0000-0000-000051020000}"/>
    <hyperlink ref="A306" r:id="rId595" xr:uid="{00000000-0004-0000-0000-000052020000}"/>
    <hyperlink ref="B306" r:id="rId596" xr:uid="{00000000-0004-0000-0000-000053020000}"/>
    <hyperlink ref="A307" r:id="rId597" xr:uid="{00000000-0004-0000-0000-000054020000}"/>
    <hyperlink ref="B307" r:id="rId598" xr:uid="{00000000-0004-0000-0000-000055020000}"/>
    <hyperlink ref="A308" r:id="rId599" xr:uid="{00000000-0004-0000-0000-000056020000}"/>
    <hyperlink ref="B308" r:id="rId600" xr:uid="{00000000-0004-0000-0000-000057020000}"/>
    <hyperlink ref="A309" r:id="rId601" xr:uid="{00000000-0004-0000-0000-000058020000}"/>
    <hyperlink ref="B309" r:id="rId602" xr:uid="{00000000-0004-0000-0000-000059020000}"/>
    <hyperlink ref="A310" r:id="rId603" xr:uid="{00000000-0004-0000-0000-00005A020000}"/>
    <hyperlink ref="B310" r:id="rId604" xr:uid="{00000000-0004-0000-0000-00005B020000}"/>
    <hyperlink ref="A311" r:id="rId605" xr:uid="{00000000-0004-0000-0000-00005C020000}"/>
    <hyperlink ref="B311" r:id="rId606" xr:uid="{00000000-0004-0000-0000-00005D020000}"/>
    <hyperlink ref="A312" r:id="rId607" xr:uid="{00000000-0004-0000-0000-00005E020000}"/>
    <hyperlink ref="B312" r:id="rId608" xr:uid="{00000000-0004-0000-0000-00005F020000}"/>
    <hyperlink ref="A313" r:id="rId609" xr:uid="{00000000-0004-0000-0000-000060020000}"/>
    <hyperlink ref="B313" r:id="rId610" xr:uid="{00000000-0004-0000-0000-000061020000}"/>
    <hyperlink ref="A314" r:id="rId611" xr:uid="{00000000-0004-0000-0000-000062020000}"/>
    <hyperlink ref="B314" r:id="rId612" xr:uid="{00000000-0004-0000-0000-000063020000}"/>
    <hyperlink ref="A315" r:id="rId613" xr:uid="{00000000-0004-0000-0000-000064020000}"/>
    <hyperlink ref="B315" r:id="rId614" xr:uid="{00000000-0004-0000-0000-000065020000}"/>
    <hyperlink ref="A316" r:id="rId615" xr:uid="{00000000-0004-0000-0000-000066020000}"/>
    <hyperlink ref="B316" r:id="rId616" xr:uid="{00000000-0004-0000-0000-000067020000}"/>
    <hyperlink ref="A317" r:id="rId617" xr:uid="{00000000-0004-0000-0000-000068020000}"/>
    <hyperlink ref="B317" r:id="rId618" xr:uid="{00000000-0004-0000-0000-000069020000}"/>
    <hyperlink ref="A318" r:id="rId619" xr:uid="{00000000-0004-0000-0000-00006A020000}"/>
    <hyperlink ref="B318" r:id="rId620" xr:uid="{00000000-0004-0000-0000-00006B020000}"/>
    <hyperlink ref="A319" r:id="rId621" xr:uid="{00000000-0004-0000-0000-00006C020000}"/>
    <hyperlink ref="B319" r:id="rId622" xr:uid="{00000000-0004-0000-0000-00006D020000}"/>
    <hyperlink ref="A320" r:id="rId623" xr:uid="{00000000-0004-0000-0000-00006E020000}"/>
    <hyperlink ref="B320" r:id="rId624" xr:uid="{00000000-0004-0000-0000-00006F020000}"/>
    <hyperlink ref="A322" r:id="rId625" xr:uid="{00000000-0004-0000-0000-000070020000}"/>
    <hyperlink ref="B322" r:id="rId626" xr:uid="{00000000-0004-0000-0000-000071020000}"/>
    <hyperlink ref="A321" r:id="rId627" xr:uid="{00000000-0004-0000-0000-000072020000}"/>
    <hyperlink ref="B321" r:id="rId628" xr:uid="{00000000-0004-0000-0000-000073020000}"/>
    <hyperlink ref="A323" r:id="rId629" xr:uid="{00000000-0004-0000-0000-000074020000}"/>
    <hyperlink ref="B323" r:id="rId630" xr:uid="{00000000-0004-0000-0000-000075020000}"/>
    <hyperlink ref="A324" r:id="rId631" xr:uid="{00000000-0004-0000-0000-000076020000}"/>
    <hyperlink ref="B324" r:id="rId632" xr:uid="{00000000-0004-0000-0000-000077020000}"/>
    <hyperlink ref="A325" r:id="rId633" xr:uid="{00000000-0004-0000-0000-000078020000}"/>
    <hyperlink ref="B325" r:id="rId634" xr:uid="{00000000-0004-0000-0000-000079020000}"/>
    <hyperlink ref="A326" r:id="rId635" xr:uid="{00000000-0004-0000-0000-00007A020000}"/>
    <hyperlink ref="B326" r:id="rId636" xr:uid="{00000000-0004-0000-0000-00007B020000}"/>
    <hyperlink ref="A327" r:id="rId637" xr:uid="{00000000-0004-0000-0000-00007C020000}"/>
    <hyperlink ref="B327" r:id="rId638" xr:uid="{00000000-0004-0000-0000-00007D020000}"/>
    <hyperlink ref="A328" r:id="rId639" xr:uid="{00000000-0004-0000-0000-00007E020000}"/>
    <hyperlink ref="B328" r:id="rId640" xr:uid="{00000000-0004-0000-0000-00007F020000}"/>
    <hyperlink ref="A329" r:id="rId641" xr:uid="{00000000-0004-0000-0000-000080020000}"/>
    <hyperlink ref="B329" r:id="rId642" xr:uid="{00000000-0004-0000-0000-000081020000}"/>
    <hyperlink ref="A330" r:id="rId643" xr:uid="{00000000-0004-0000-0000-000082020000}"/>
    <hyperlink ref="B330" r:id="rId644" xr:uid="{00000000-0004-0000-0000-000083020000}"/>
    <hyperlink ref="A331" r:id="rId645" xr:uid="{00000000-0004-0000-0000-000084020000}"/>
    <hyperlink ref="B331" r:id="rId646" xr:uid="{00000000-0004-0000-0000-000085020000}"/>
    <hyperlink ref="A332" r:id="rId647" xr:uid="{00000000-0004-0000-0000-000086020000}"/>
    <hyperlink ref="B332" r:id="rId648" xr:uid="{00000000-0004-0000-0000-000087020000}"/>
    <hyperlink ref="A333" r:id="rId649" xr:uid="{00000000-0004-0000-0000-000088020000}"/>
    <hyperlink ref="B333" r:id="rId650" xr:uid="{00000000-0004-0000-0000-000089020000}"/>
    <hyperlink ref="A334" r:id="rId651" xr:uid="{00000000-0004-0000-0000-00008A020000}"/>
    <hyperlink ref="B334" r:id="rId652" xr:uid="{00000000-0004-0000-0000-00008B020000}"/>
    <hyperlink ref="A336" r:id="rId653" xr:uid="{00000000-0004-0000-0000-00008C020000}"/>
    <hyperlink ref="B336" r:id="rId654" xr:uid="{00000000-0004-0000-0000-00008D020000}"/>
    <hyperlink ref="A335" r:id="rId655" xr:uid="{00000000-0004-0000-0000-00008E020000}"/>
    <hyperlink ref="B335" r:id="rId656" xr:uid="{00000000-0004-0000-0000-00008F020000}"/>
    <hyperlink ref="A337" r:id="rId657" xr:uid="{00000000-0004-0000-0000-000090020000}"/>
    <hyperlink ref="B337" r:id="rId658" xr:uid="{00000000-0004-0000-0000-000091020000}"/>
    <hyperlink ref="A338" r:id="rId659" xr:uid="{00000000-0004-0000-0000-000092020000}"/>
    <hyperlink ref="B338" r:id="rId660" xr:uid="{00000000-0004-0000-0000-000093020000}"/>
    <hyperlink ref="A340" r:id="rId661" xr:uid="{00000000-0004-0000-0000-000094020000}"/>
    <hyperlink ref="B340" r:id="rId662" xr:uid="{00000000-0004-0000-0000-000095020000}"/>
    <hyperlink ref="A339" r:id="rId663" xr:uid="{00000000-0004-0000-0000-000096020000}"/>
    <hyperlink ref="B339" r:id="rId664" xr:uid="{00000000-0004-0000-0000-000097020000}"/>
    <hyperlink ref="A341" r:id="rId665" xr:uid="{00000000-0004-0000-0000-000098020000}"/>
    <hyperlink ref="B341" r:id="rId666" xr:uid="{00000000-0004-0000-0000-000099020000}"/>
    <hyperlink ref="A342" r:id="rId667" xr:uid="{00000000-0004-0000-0000-00009A020000}"/>
    <hyperlink ref="B342" r:id="rId668" xr:uid="{00000000-0004-0000-0000-00009B020000}"/>
    <hyperlink ref="A343" r:id="rId669" xr:uid="{00000000-0004-0000-0000-00009C020000}"/>
    <hyperlink ref="B343" r:id="rId670" xr:uid="{00000000-0004-0000-0000-00009D020000}"/>
    <hyperlink ref="A344" r:id="rId671" xr:uid="{00000000-0004-0000-0000-00009E020000}"/>
    <hyperlink ref="B344" r:id="rId672" xr:uid="{00000000-0004-0000-0000-00009F020000}"/>
    <hyperlink ref="A345" r:id="rId673" xr:uid="{00000000-0004-0000-0000-0000A0020000}"/>
    <hyperlink ref="B345" r:id="rId674" xr:uid="{00000000-0004-0000-0000-0000A1020000}"/>
    <hyperlink ref="A346" r:id="rId675" xr:uid="{00000000-0004-0000-0000-0000A2020000}"/>
    <hyperlink ref="B346" r:id="rId676" xr:uid="{00000000-0004-0000-0000-0000A3020000}"/>
    <hyperlink ref="A348" r:id="rId677" xr:uid="{00000000-0004-0000-0000-0000A4020000}"/>
    <hyperlink ref="B348" r:id="rId678" xr:uid="{00000000-0004-0000-0000-0000A5020000}"/>
    <hyperlink ref="A347" r:id="rId679" xr:uid="{00000000-0004-0000-0000-0000A6020000}"/>
    <hyperlink ref="B347" r:id="rId680" xr:uid="{00000000-0004-0000-0000-0000A7020000}"/>
    <hyperlink ref="A349" r:id="rId681" xr:uid="{00000000-0004-0000-0000-0000A8020000}"/>
    <hyperlink ref="B349" r:id="rId682" xr:uid="{00000000-0004-0000-0000-0000A9020000}"/>
    <hyperlink ref="A350" r:id="rId683" xr:uid="{00000000-0004-0000-0000-0000AA020000}"/>
    <hyperlink ref="B350" r:id="rId684" xr:uid="{00000000-0004-0000-0000-0000AB020000}"/>
    <hyperlink ref="A351" r:id="rId685" xr:uid="{00000000-0004-0000-0000-0000AC020000}"/>
    <hyperlink ref="B351" r:id="rId686" xr:uid="{00000000-0004-0000-0000-0000AD020000}"/>
    <hyperlink ref="A352" r:id="rId687" xr:uid="{00000000-0004-0000-0000-0000AE020000}"/>
    <hyperlink ref="B352" r:id="rId688" xr:uid="{00000000-0004-0000-0000-0000AF020000}"/>
    <hyperlink ref="A353" r:id="rId689" xr:uid="{00000000-0004-0000-0000-0000B0020000}"/>
    <hyperlink ref="B353" r:id="rId690" xr:uid="{00000000-0004-0000-0000-0000B1020000}"/>
    <hyperlink ref="A354" r:id="rId691" xr:uid="{00000000-0004-0000-0000-0000B2020000}"/>
    <hyperlink ref="B354" r:id="rId692" xr:uid="{00000000-0004-0000-0000-0000B3020000}"/>
    <hyperlink ref="A355" r:id="rId693" xr:uid="{00000000-0004-0000-0000-0000B4020000}"/>
    <hyperlink ref="B355" r:id="rId694" xr:uid="{00000000-0004-0000-0000-0000B5020000}"/>
    <hyperlink ref="A356" r:id="rId695" xr:uid="{00000000-0004-0000-0000-0000B6020000}"/>
    <hyperlink ref="B356" r:id="rId696" xr:uid="{00000000-0004-0000-0000-0000B7020000}"/>
    <hyperlink ref="A357" r:id="rId697" xr:uid="{00000000-0004-0000-0000-0000B8020000}"/>
    <hyperlink ref="B357" r:id="rId698" xr:uid="{00000000-0004-0000-0000-0000B9020000}"/>
    <hyperlink ref="A358" r:id="rId699" xr:uid="{00000000-0004-0000-0000-0000BA020000}"/>
    <hyperlink ref="B358" r:id="rId700" xr:uid="{00000000-0004-0000-0000-0000BB020000}"/>
    <hyperlink ref="A359" r:id="rId701" xr:uid="{00000000-0004-0000-0000-0000BC020000}"/>
    <hyperlink ref="B359" r:id="rId702" xr:uid="{00000000-0004-0000-0000-0000BD020000}"/>
    <hyperlink ref="A360" r:id="rId703" xr:uid="{00000000-0004-0000-0000-0000BE020000}"/>
    <hyperlink ref="B360" r:id="rId704" xr:uid="{00000000-0004-0000-0000-0000BF020000}"/>
    <hyperlink ref="A361" r:id="rId705" xr:uid="{00000000-0004-0000-0000-0000C0020000}"/>
    <hyperlink ref="B361" r:id="rId706" xr:uid="{00000000-0004-0000-0000-0000C1020000}"/>
    <hyperlink ref="A362" r:id="rId707" xr:uid="{00000000-0004-0000-0000-0000C2020000}"/>
    <hyperlink ref="B362" r:id="rId708" xr:uid="{00000000-0004-0000-0000-0000C3020000}"/>
    <hyperlink ref="A363" r:id="rId709" xr:uid="{00000000-0004-0000-0000-0000C4020000}"/>
    <hyperlink ref="B363" r:id="rId710" xr:uid="{00000000-0004-0000-0000-0000C5020000}"/>
    <hyperlink ref="A364" r:id="rId711" xr:uid="{00000000-0004-0000-0000-0000C6020000}"/>
    <hyperlink ref="B364" r:id="rId712" xr:uid="{00000000-0004-0000-0000-0000C7020000}"/>
    <hyperlink ref="A365" r:id="rId713" xr:uid="{00000000-0004-0000-0000-0000C8020000}"/>
    <hyperlink ref="B365" r:id="rId714" xr:uid="{00000000-0004-0000-0000-0000C9020000}"/>
    <hyperlink ref="A366" r:id="rId715" xr:uid="{00000000-0004-0000-0000-0000CA020000}"/>
    <hyperlink ref="B366" r:id="rId716" xr:uid="{00000000-0004-0000-0000-0000CB020000}"/>
    <hyperlink ref="A367" r:id="rId717" xr:uid="{00000000-0004-0000-0000-0000CC020000}"/>
    <hyperlink ref="B367" r:id="rId718" xr:uid="{00000000-0004-0000-0000-0000CD020000}"/>
    <hyperlink ref="A368" r:id="rId719" xr:uid="{00000000-0004-0000-0000-0000CE020000}"/>
    <hyperlink ref="B368" r:id="rId720" xr:uid="{00000000-0004-0000-0000-0000CF020000}"/>
    <hyperlink ref="A369" r:id="rId721" xr:uid="{00000000-0004-0000-0000-0000D0020000}"/>
    <hyperlink ref="B369" r:id="rId722" xr:uid="{00000000-0004-0000-0000-0000D1020000}"/>
    <hyperlink ref="A370" r:id="rId723" xr:uid="{00000000-0004-0000-0000-0000D2020000}"/>
    <hyperlink ref="B370" r:id="rId724" xr:uid="{00000000-0004-0000-0000-0000D3020000}"/>
    <hyperlink ref="A371" r:id="rId725" xr:uid="{00000000-0004-0000-0000-0000D4020000}"/>
    <hyperlink ref="B371" r:id="rId726" xr:uid="{00000000-0004-0000-0000-0000D5020000}"/>
    <hyperlink ref="A372" r:id="rId727" xr:uid="{00000000-0004-0000-0000-0000D6020000}"/>
    <hyperlink ref="B372" r:id="rId728" xr:uid="{00000000-0004-0000-0000-0000D7020000}"/>
    <hyperlink ref="A373" r:id="rId729" xr:uid="{00000000-0004-0000-0000-0000D8020000}"/>
    <hyperlink ref="B373" r:id="rId730" xr:uid="{00000000-0004-0000-0000-0000D9020000}"/>
    <hyperlink ref="A374" r:id="rId731" xr:uid="{00000000-0004-0000-0000-0000DA020000}"/>
    <hyperlink ref="B374" r:id="rId732" xr:uid="{00000000-0004-0000-0000-0000DB020000}"/>
    <hyperlink ref="A375" r:id="rId733" xr:uid="{00000000-0004-0000-0000-0000DC020000}"/>
    <hyperlink ref="B375" r:id="rId734" xr:uid="{00000000-0004-0000-0000-0000DD020000}"/>
    <hyperlink ref="A376" r:id="rId735" xr:uid="{00000000-0004-0000-0000-0000DE020000}"/>
    <hyperlink ref="B376" r:id="rId736" xr:uid="{00000000-0004-0000-0000-0000DF020000}"/>
    <hyperlink ref="A377" r:id="rId737" xr:uid="{00000000-0004-0000-0000-0000E0020000}"/>
    <hyperlink ref="B377" r:id="rId738" xr:uid="{00000000-0004-0000-0000-0000E1020000}"/>
    <hyperlink ref="A378" r:id="rId739" xr:uid="{00000000-0004-0000-0000-0000E2020000}"/>
    <hyperlink ref="B378" r:id="rId740" xr:uid="{00000000-0004-0000-0000-0000E3020000}"/>
    <hyperlink ref="A379" r:id="rId741" xr:uid="{00000000-0004-0000-0000-0000E4020000}"/>
    <hyperlink ref="B379" r:id="rId742" xr:uid="{00000000-0004-0000-0000-0000E5020000}"/>
    <hyperlink ref="A380" r:id="rId743" xr:uid="{00000000-0004-0000-0000-0000E6020000}"/>
    <hyperlink ref="B380" r:id="rId744" xr:uid="{00000000-0004-0000-0000-0000E7020000}"/>
    <hyperlink ref="A381" r:id="rId745" xr:uid="{00000000-0004-0000-0000-0000E8020000}"/>
    <hyperlink ref="B381" r:id="rId746" xr:uid="{00000000-0004-0000-0000-0000E9020000}"/>
    <hyperlink ref="A382" r:id="rId747" xr:uid="{00000000-0004-0000-0000-0000EA020000}"/>
    <hyperlink ref="B382" r:id="rId748" xr:uid="{00000000-0004-0000-0000-0000EB020000}"/>
    <hyperlink ref="A383" r:id="rId749" xr:uid="{00000000-0004-0000-0000-0000EC020000}"/>
    <hyperlink ref="B383" r:id="rId750" xr:uid="{00000000-0004-0000-0000-0000ED020000}"/>
    <hyperlink ref="A384" r:id="rId751" xr:uid="{00000000-0004-0000-0000-0000EE020000}"/>
    <hyperlink ref="B384" r:id="rId752" xr:uid="{00000000-0004-0000-0000-0000EF020000}"/>
    <hyperlink ref="A385" r:id="rId753" xr:uid="{00000000-0004-0000-0000-0000F0020000}"/>
    <hyperlink ref="B385" r:id="rId754" xr:uid="{00000000-0004-0000-0000-0000F1020000}"/>
    <hyperlink ref="A386" r:id="rId755" xr:uid="{00000000-0004-0000-0000-0000F2020000}"/>
    <hyperlink ref="B386" r:id="rId756" xr:uid="{00000000-0004-0000-0000-0000F3020000}"/>
    <hyperlink ref="A387" r:id="rId757" xr:uid="{00000000-0004-0000-0000-0000F4020000}"/>
    <hyperlink ref="B387" r:id="rId758" xr:uid="{00000000-0004-0000-0000-0000F5020000}"/>
    <hyperlink ref="A388" r:id="rId759" xr:uid="{00000000-0004-0000-0000-0000F6020000}"/>
    <hyperlink ref="B388" r:id="rId760" xr:uid="{00000000-0004-0000-0000-0000F7020000}"/>
    <hyperlink ref="A389" r:id="rId761" xr:uid="{00000000-0004-0000-0000-0000F8020000}"/>
    <hyperlink ref="B389" r:id="rId762" xr:uid="{00000000-0004-0000-0000-0000F9020000}"/>
    <hyperlink ref="A391" r:id="rId763" xr:uid="{00000000-0004-0000-0000-0000FA020000}"/>
    <hyperlink ref="B391" r:id="rId764" xr:uid="{00000000-0004-0000-0000-0000FB020000}"/>
    <hyperlink ref="A390" r:id="rId765" xr:uid="{00000000-0004-0000-0000-0000FC020000}"/>
    <hyperlink ref="B390" r:id="rId766" xr:uid="{00000000-0004-0000-0000-0000FD020000}"/>
    <hyperlink ref="A392" r:id="rId767" xr:uid="{00000000-0004-0000-0000-0000FE020000}"/>
    <hyperlink ref="B392" r:id="rId768" xr:uid="{00000000-0004-0000-0000-0000FF020000}"/>
    <hyperlink ref="A394" r:id="rId769" xr:uid="{00000000-0004-0000-0000-000000030000}"/>
    <hyperlink ref="B394" r:id="rId770" xr:uid="{00000000-0004-0000-0000-000001030000}"/>
    <hyperlink ref="A395" r:id="rId771" xr:uid="{00000000-0004-0000-0000-000002030000}"/>
    <hyperlink ref="B395" r:id="rId772" xr:uid="{00000000-0004-0000-0000-000003030000}"/>
    <hyperlink ref="A393" r:id="rId773" xr:uid="{00000000-0004-0000-0000-000004030000}"/>
    <hyperlink ref="B393" r:id="rId774" xr:uid="{00000000-0004-0000-0000-000005030000}"/>
    <hyperlink ref="A396" r:id="rId775" xr:uid="{00000000-0004-0000-0000-000006030000}"/>
    <hyperlink ref="B396" r:id="rId776" xr:uid="{00000000-0004-0000-0000-000007030000}"/>
    <hyperlink ref="A397" r:id="rId777" xr:uid="{00000000-0004-0000-0000-000008030000}"/>
    <hyperlink ref="B397" r:id="rId778" xr:uid="{00000000-0004-0000-0000-000009030000}"/>
    <hyperlink ref="A398" r:id="rId779" xr:uid="{00000000-0004-0000-0000-00000A030000}"/>
    <hyperlink ref="B398" r:id="rId780" xr:uid="{00000000-0004-0000-0000-00000B030000}"/>
    <hyperlink ref="A399" r:id="rId781" xr:uid="{00000000-0004-0000-0000-00000C030000}"/>
    <hyperlink ref="B399" r:id="rId782" xr:uid="{00000000-0004-0000-0000-00000D030000}"/>
    <hyperlink ref="A400" r:id="rId783" xr:uid="{00000000-0004-0000-0000-00000E030000}"/>
    <hyperlink ref="B400" r:id="rId784" xr:uid="{00000000-0004-0000-0000-00000F030000}"/>
    <hyperlink ref="A401" r:id="rId785" xr:uid="{00000000-0004-0000-0000-000010030000}"/>
    <hyperlink ref="B401" r:id="rId786" xr:uid="{00000000-0004-0000-0000-000011030000}"/>
    <hyperlink ref="A402" r:id="rId787" xr:uid="{00000000-0004-0000-0000-000012030000}"/>
    <hyperlink ref="B402" r:id="rId788" xr:uid="{00000000-0004-0000-0000-000013030000}"/>
    <hyperlink ref="A404" r:id="rId789" xr:uid="{00000000-0004-0000-0000-000014030000}"/>
    <hyperlink ref="B404" r:id="rId790" xr:uid="{00000000-0004-0000-0000-000015030000}"/>
    <hyperlink ref="A403" r:id="rId791" xr:uid="{00000000-0004-0000-0000-000016030000}"/>
    <hyperlink ref="B403" r:id="rId792" xr:uid="{00000000-0004-0000-0000-000017030000}"/>
    <hyperlink ref="A405" r:id="rId793" xr:uid="{00000000-0004-0000-0000-000018030000}"/>
    <hyperlink ref="B405" r:id="rId794" xr:uid="{00000000-0004-0000-0000-000019030000}"/>
    <hyperlink ref="A406" r:id="rId795" xr:uid="{00000000-0004-0000-0000-00001A030000}"/>
    <hyperlink ref="B406" r:id="rId796" xr:uid="{00000000-0004-0000-0000-00001B030000}"/>
    <hyperlink ref="A409" r:id="rId797" xr:uid="{00000000-0004-0000-0000-00001C030000}"/>
    <hyperlink ref="B409" r:id="rId798" xr:uid="{00000000-0004-0000-0000-00001D030000}"/>
    <hyperlink ref="A407" r:id="rId799" xr:uid="{00000000-0004-0000-0000-00001E030000}"/>
    <hyperlink ref="B407" r:id="rId800" xr:uid="{00000000-0004-0000-0000-00001F030000}"/>
    <hyperlink ref="A408" r:id="rId801" xr:uid="{00000000-0004-0000-0000-000020030000}"/>
    <hyperlink ref="B408" r:id="rId802" xr:uid="{00000000-0004-0000-0000-000021030000}"/>
    <hyperlink ref="A411" r:id="rId803" xr:uid="{00000000-0004-0000-0000-000022030000}"/>
    <hyperlink ref="B411" r:id="rId804" xr:uid="{00000000-0004-0000-0000-000023030000}"/>
    <hyperlink ref="A410" r:id="rId805" xr:uid="{00000000-0004-0000-0000-000024030000}"/>
    <hyperlink ref="B410" r:id="rId806" xr:uid="{00000000-0004-0000-0000-000025030000}"/>
    <hyperlink ref="A412" r:id="rId807" xr:uid="{00000000-0004-0000-0000-000026030000}"/>
    <hyperlink ref="B412" r:id="rId808" xr:uid="{00000000-0004-0000-0000-000027030000}"/>
    <hyperlink ref="A413" r:id="rId809" xr:uid="{00000000-0004-0000-0000-000028030000}"/>
    <hyperlink ref="B413" r:id="rId810" xr:uid="{00000000-0004-0000-0000-000029030000}"/>
    <hyperlink ref="A414" r:id="rId811" xr:uid="{00000000-0004-0000-0000-00002A030000}"/>
    <hyperlink ref="B414" r:id="rId812" xr:uid="{00000000-0004-0000-0000-00002B030000}"/>
    <hyperlink ref="A415" r:id="rId813" xr:uid="{00000000-0004-0000-0000-00002C030000}"/>
    <hyperlink ref="B415" r:id="rId814" xr:uid="{00000000-0004-0000-0000-00002D030000}"/>
    <hyperlink ref="A416" r:id="rId815" xr:uid="{00000000-0004-0000-0000-00002E030000}"/>
    <hyperlink ref="B416" r:id="rId816" xr:uid="{00000000-0004-0000-0000-00002F030000}"/>
    <hyperlink ref="A418" r:id="rId817" xr:uid="{00000000-0004-0000-0000-000030030000}"/>
    <hyperlink ref="B418" r:id="rId818" xr:uid="{00000000-0004-0000-0000-000031030000}"/>
    <hyperlink ref="A419" r:id="rId819" xr:uid="{00000000-0004-0000-0000-000032030000}"/>
    <hyperlink ref="B419" r:id="rId820" xr:uid="{00000000-0004-0000-0000-000033030000}"/>
    <hyperlink ref="A417" r:id="rId821" xr:uid="{00000000-0004-0000-0000-000034030000}"/>
    <hyperlink ref="B417" r:id="rId822" xr:uid="{00000000-0004-0000-0000-000035030000}"/>
    <hyperlink ref="A420" r:id="rId823" xr:uid="{00000000-0004-0000-0000-000036030000}"/>
    <hyperlink ref="B420" r:id="rId824" xr:uid="{00000000-0004-0000-0000-000037030000}"/>
    <hyperlink ref="A421" r:id="rId825" xr:uid="{00000000-0004-0000-0000-000038030000}"/>
    <hyperlink ref="B421" r:id="rId826" xr:uid="{00000000-0004-0000-0000-000039030000}"/>
    <hyperlink ref="A422" r:id="rId827" xr:uid="{00000000-0004-0000-0000-00003A030000}"/>
    <hyperlink ref="B422" r:id="rId828" xr:uid="{00000000-0004-0000-0000-00003B030000}"/>
    <hyperlink ref="A423" r:id="rId829" xr:uid="{00000000-0004-0000-0000-00003C030000}"/>
    <hyperlink ref="B423" r:id="rId830" xr:uid="{00000000-0004-0000-0000-00003D030000}"/>
    <hyperlink ref="A424" r:id="rId831" xr:uid="{00000000-0004-0000-0000-00003E030000}"/>
    <hyperlink ref="B424" r:id="rId832" xr:uid="{00000000-0004-0000-0000-00003F030000}"/>
    <hyperlink ref="A425" r:id="rId833" xr:uid="{00000000-0004-0000-0000-000040030000}"/>
    <hyperlink ref="B425" r:id="rId834" xr:uid="{00000000-0004-0000-0000-000041030000}"/>
    <hyperlink ref="A426" r:id="rId835" xr:uid="{00000000-0004-0000-0000-000042030000}"/>
    <hyperlink ref="B426" r:id="rId836" xr:uid="{00000000-0004-0000-0000-000043030000}"/>
    <hyperlink ref="A427" r:id="rId837" xr:uid="{00000000-0004-0000-0000-000044030000}"/>
    <hyperlink ref="B427" r:id="rId838" xr:uid="{00000000-0004-0000-0000-000045030000}"/>
    <hyperlink ref="A428" r:id="rId839" xr:uid="{00000000-0004-0000-0000-000046030000}"/>
    <hyperlink ref="B428" r:id="rId840" xr:uid="{00000000-0004-0000-0000-000047030000}"/>
    <hyperlink ref="A429" r:id="rId841" xr:uid="{00000000-0004-0000-0000-000048030000}"/>
    <hyperlink ref="B429" r:id="rId842" xr:uid="{00000000-0004-0000-0000-000049030000}"/>
    <hyperlink ref="A431" r:id="rId843" xr:uid="{00000000-0004-0000-0000-00004A030000}"/>
    <hyperlink ref="B431" r:id="rId844" xr:uid="{00000000-0004-0000-0000-00004B030000}"/>
    <hyperlink ref="A430" r:id="rId845" xr:uid="{00000000-0004-0000-0000-00004C030000}"/>
    <hyperlink ref="B430" r:id="rId846" xr:uid="{00000000-0004-0000-0000-00004D030000}"/>
    <hyperlink ref="A432" r:id="rId847" xr:uid="{00000000-0004-0000-0000-00004E030000}"/>
    <hyperlink ref="B432" r:id="rId848" xr:uid="{00000000-0004-0000-0000-00004F030000}"/>
    <hyperlink ref="A433" r:id="rId849" xr:uid="{00000000-0004-0000-0000-000050030000}"/>
    <hyperlink ref="B433" r:id="rId850" xr:uid="{00000000-0004-0000-0000-000051030000}"/>
    <hyperlink ref="A434" r:id="rId851" xr:uid="{00000000-0004-0000-0000-000052030000}"/>
    <hyperlink ref="B434" r:id="rId852" xr:uid="{00000000-0004-0000-0000-000053030000}"/>
    <hyperlink ref="A436" r:id="rId853" xr:uid="{00000000-0004-0000-0000-000054030000}"/>
    <hyperlink ref="B436" r:id="rId854" xr:uid="{00000000-0004-0000-0000-000055030000}"/>
    <hyperlink ref="A435" r:id="rId855" xr:uid="{00000000-0004-0000-0000-000056030000}"/>
    <hyperlink ref="B435" r:id="rId856" xr:uid="{00000000-0004-0000-0000-000057030000}"/>
    <hyperlink ref="A437" r:id="rId857" xr:uid="{00000000-0004-0000-0000-000058030000}"/>
    <hyperlink ref="B437" r:id="rId858" xr:uid="{00000000-0004-0000-0000-000059030000}"/>
    <hyperlink ref="A438" r:id="rId859" xr:uid="{00000000-0004-0000-0000-00005A030000}"/>
    <hyperlink ref="B438" r:id="rId860" xr:uid="{00000000-0004-0000-0000-00005B030000}"/>
    <hyperlink ref="A440" r:id="rId861" xr:uid="{00000000-0004-0000-0000-00005C030000}"/>
    <hyperlink ref="B440" r:id="rId862" xr:uid="{00000000-0004-0000-0000-00005D030000}"/>
    <hyperlink ref="A439" r:id="rId863" xr:uid="{00000000-0004-0000-0000-00005E030000}"/>
    <hyperlink ref="B439" r:id="rId864" xr:uid="{00000000-0004-0000-0000-00005F030000}"/>
    <hyperlink ref="A441" r:id="rId865" xr:uid="{00000000-0004-0000-0000-000060030000}"/>
    <hyperlink ref="B441" r:id="rId866" xr:uid="{00000000-0004-0000-0000-000061030000}"/>
    <hyperlink ref="A442" r:id="rId867" xr:uid="{00000000-0004-0000-0000-000062030000}"/>
    <hyperlink ref="B442" r:id="rId868" xr:uid="{00000000-0004-0000-0000-000063030000}"/>
    <hyperlink ref="A443" r:id="rId869" xr:uid="{00000000-0004-0000-0000-000064030000}"/>
    <hyperlink ref="B443" r:id="rId870" xr:uid="{00000000-0004-0000-0000-000065030000}"/>
    <hyperlink ref="A445" r:id="rId871" xr:uid="{00000000-0004-0000-0000-000066030000}"/>
    <hyperlink ref="B445" r:id="rId872" xr:uid="{00000000-0004-0000-0000-000067030000}"/>
    <hyperlink ref="A444" r:id="rId873" xr:uid="{00000000-0004-0000-0000-000068030000}"/>
    <hyperlink ref="B444" r:id="rId874" xr:uid="{00000000-0004-0000-0000-000069030000}"/>
    <hyperlink ref="A446" r:id="rId875" xr:uid="{00000000-0004-0000-0000-00006A030000}"/>
    <hyperlink ref="B446" r:id="rId876" xr:uid="{00000000-0004-0000-0000-00006B030000}"/>
    <hyperlink ref="A447" r:id="rId877" xr:uid="{00000000-0004-0000-0000-00006C030000}"/>
    <hyperlink ref="B447" r:id="rId878" xr:uid="{00000000-0004-0000-0000-00006D030000}"/>
    <hyperlink ref="A448" r:id="rId879" xr:uid="{00000000-0004-0000-0000-00006E030000}"/>
    <hyperlink ref="B448" r:id="rId880" xr:uid="{00000000-0004-0000-0000-00006F030000}"/>
    <hyperlink ref="A449" r:id="rId881" xr:uid="{00000000-0004-0000-0000-000070030000}"/>
    <hyperlink ref="B449" r:id="rId882" xr:uid="{00000000-0004-0000-0000-000071030000}"/>
    <hyperlink ref="A450" r:id="rId883" xr:uid="{00000000-0004-0000-0000-000072030000}"/>
    <hyperlink ref="B450" r:id="rId884" xr:uid="{00000000-0004-0000-0000-000073030000}"/>
    <hyperlink ref="A451" r:id="rId885" xr:uid="{00000000-0004-0000-0000-000074030000}"/>
    <hyperlink ref="B451" r:id="rId886" xr:uid="{00000000-0004-0000-0000-000075030000}"/>
    <hyperlink ref="A452" r:id="rId887" xr:uid="{00000000-0004-0000-0000-000076030000}"/>
    <hyperlink ref="B452" r:id="rId888" xr:uid="{00000000-0004-0000-0000-000077030000}"/>
    <hyperlink ref="A453" r:id="rId889" xr:uid="{00000000-0004-0000-0000-000078030000}"/>
    <hyperlink ref="B453" r:id="rId890" xr:uid="{00000000-0004-0000-0000-000079030000}"/>
    <hyperlink ref="A454" r:id="rId891" xr:uid="{00000000-0004-0000-0000-00007A030000}"/>
    <hyperlink ref="B454" r:id="rId892" xr:uid="{00000000-0004-0000-0000-00007B030000}"/>
    <hyperlink ref="A455" r:id="rId893" xr:uid="{00000000-0004-0000-0000-00007C030000}"/>
    <hyperlink ref="B455" r:id="rId894" xr:uid="{00000000-0004-0000-0000-00007D030000}"/>
    <hyperlink ref="A456" r:id="rId895" xr:uid="{00000000-0004-0000-0000-00007E030000}"/>
    <hyperlink ref="B456" r:id="rId896" xr:uid="{00000000-0004-0000-0000-00007F030000}"/>
    <hyperlink ref="A457" r:id="rId897" xr:uid="{00000000-0004-0000-0000-000080030000}"/>
    <hyperlink ref="B457" r:id="rId898" xr:uid="{00000000-0004-0000-0000-000081030000}"/>
    <hyperlink ref="A458" r:id="rId899" xr:uid="{00000000-0004-0000-0000-000082030000}"/>
    <hyperlink ref="B458" r:id="rId900" xr:uid="{00000000-0004-0000-0000-000083030000}"/>
    <hyperlink ref="A459" r:id="rId901" xr:uid="{00000000-0004-0000-0000-000084030000}"/>
    <hyperlink ref="B459" r:id="rId902" xr:uid="{00000000-0004-0000-0000-000085030000}"/>
    <hyperlink ref="A461" r:id="rId903" xr:uid="{00000000-0004-0000-0000-000086030000}"/>
    <hyperlink ref="B461" r:id="rId904" xr:uid="{00000000-0004-0000-0000-000087030000}"/>
    <hyperlink ref="A460" r:id="rId905" xr:uid="{00000000-0004-0000-0000-000088030000}"/>
    <hyperlink ref="B460" r:id="rId906" xr:uid="{00000000-0004-0000-0000-000089030000}"/>
    <hyperlink ref="A462" r:id="rId907" xr:uid="{00000000-0004-0000-0000-00008A030000}"/>
    <hyperlink ref="B462" r:id="rId908" xr:uid="{00000000-0004-0000-0000-00008B030000}"/>
    <hyperlink ref="A463" r:id="rId909" xr:uid="{00000000-0004-0000-0000-00008C030000}"/>
    <hyperlink ref="B463" r:id="rId910" xr:uid="{00000000-0004-0000-0000-00008D030000}"/>
    <hyperlink ref="A464" r:id="rId911" xr:uid="{00000000-0004-0000-0000-00008E030000}"/>
    <hyperlink ref="B464" r:id="rId912" xr:uid="{00000000-0004-0000-0000-00008F030000}"/>
    <hyperlink ref="A468" r:id="rId913" xr:uid="{00000000-0004-0000-0000-000090030000}"/>
    <hyperlink ref="B468" r:id="rId914" xr:uid="{00000000-0004-0000-0000-000091030000}"/>
    <hyperlink ref="A465" r:id="rId915" xr:uid="{00000000-0004-0000-0000-000092030000}"/>
    <hyperlink ref="B465" r:id="rId916" xr:uid="{00000000-0004-0000-0000-000093030000}"/>
    <hyperlink ref="A466" r:id="rId917" xr:uid="{00000000-0004-0000-0000-000094030000}"/>
    <hyperlink ref="B466" r:id="rId918" xr:uid="{00000000-0004-0000-0000-000095030000}"/>
    <hyperlink ref="A467" r:id="rId919" xr:uid="{00000000-0004-0000-0000-000096030000}"/>
    <hyperlink ref="B467" r:id="rId920" xr:uid="{00000000-0004-0000-0000-000097030000}"/>
    <hyperlink ref="A469" r:id="rId921" xr:uid="{00000000-0004-0000-0000-000098030000}"/>
    <hyperlink ref="B469" r:id="rId922" xr:uid="{00000000-0004-0000-0000-000099030000}"/>
    <hyperlink ref="A471" r:id="rId923" xr:uid="{00000000-0004-0000-0000-00009A030000}"/>
    <hyperlink ref="B471" r:id="rId924" xr:uid="{00000000-0004-0000-0000-00009B030000}"/>
    <hyperlink ref="A472" r:id="rId925" xr:uid="{00000000-0004-0000-0000-00009C030000}"/>
    <hyperlink ref="B472" r:id="rId926" xr:uid="{00000000-0004-0000-0000-00009D030000}"/>
    <hyperlink ref="A470" r:id="rId927" xr:uid="{00000000-0004-0000-0000-00009E030000}"/>
    <hyperlink ref="B470" r:id="rId928" xr:uid="{00000000-0004-0000-0000-00009F030000}"/>
    <hyperlink ref="A473" r:id="rId929" xr:uid="{00000000-0004-0000-0000-0000A0030000}"/>
    <hyperlink ref="B473" r:id="rId930" xr:uid="{00000000-0004-0000-0000-0000A1030000}"/>
    <hyperlink ref="A474" r:id="rId931" xr:uid="{00000000-0004-0000-0000-0000A2030000}"/>
    <hyperlink ref="B474" r:id="rId932" xr:uid="{00000000-0004-0000-0000-0000A3030000}"/>
    <hyperlink ref="A475" r:id="rId933" xr:uid="{00000000-0004-0000-0000-0000A4030000}"/>
    <hyperlink ref="B475" r:id="rId934" xr:uid="{00000000-0004-0000-0000-0000A5030000}"/>
    <hyperlink ref="A476" r:id="rId935" xr:uid="{00000000-0004-0000-0000-0000A6030000}"/>
    <hyperlink ref="B476" r:id="rId936" xr:uid="{00000000-0004-0000-0000-0000A7030000}"/>
    <hyperlink ref="A477" r:id="rId937" xr:uid="{00000000-0004-0000-0000-0000A8030000}"/>
    <hyperlink ref="B477" r:id="rId938" xr:uid="{00000000-0004-0000-0000-0000A9030000}"/>
    <hyperlink ref="A479" r:id="rId939" xr:uid="{00000000-0004-0000-0000-0000AA030000}"/>
    <hyperlink ref="B479" r:id="rId940" xr:uid="{00000000-0004-0000-0000-0000AB030000}"/>
    <hyperlink ref="A478" r:id="rId941" xr:uid="{00000000-0004-0000-0000-0000AC030000}"/>
    <hyperlink ref="B478" r:id="rId942" xr:uid="{00000000-0004-0000-0000-0000AD030000}"/>
    <hyperlink ref="A480" r:id="rId943" xr:uid="{00000000-0004-0000-0000-0000AE030000}"/>
    <hyperlink ref="B480" r:id="rId944" xr:uid="{00000000-0004-0000-0000-0000AF030000}"/>
    <hyperlink ref="A482" r:id="rId945" xr:uid="{00000000-0004-0000-0000-0000B0030000}"/>
    <hyperlink ref="B482" r:id="rId946" xr:uid="{00000000-0004-0000-0000-0000B1030000}"/>
    <hyperlink ref="A483" r:id="rId947" xr:uid="{00000000-0004-0000-0000-0000B2030000}"/>
    <hyperlink ref="B483" r:id="rId948" xr:uid="{00000000-0004-0000-0000-0000B3030000}"/>
    <hyperlink ref="A484" r:id="rId949" xr:uid="{00000000-0004-0000-0000-0000B4030000}"/>
    <hyperlink ref="B484" r:id="rId950" xr:uid="{00000000-0004-0000-0000-0000B5030000}"/>
    <hyperlink ref="A481" r:id="rId951" xr:uid="{00000000-0004-0000-0000-0000B6030000}"/>
    <hyperlink ref="B481" r:id="rId952" xr:uid="{00000000-0004-0000-0000-0000B7030000}"/>
    <hyperlink ref="A485" r:id="rId953" xr:uid="{00000000-0004-0000-0000-0000B8030000}"/>
    <hyperlink ref="B485" r:id="rId954" xr:uid="{00000000-0004-0000-0000-0000B9030000}"/>
    <hyperlink ref="A486" r:id="rId955" xr:uid="{00000000-0004-0000-0000-0000BA030000}"/>
    <hyperlink ref="B486" r:id="rId956" xr:uid="{00000000-0004-0000-0000-0000BB030000}"/>
    <hyperlink ref="A488" r:id="rId957" xr:uid="{00000000-0004-0000-0000-0000BC030000}"/>
    <hyperlink ref="B488" r:id="rId958" xr:uid="{00000000-0004-0000-0000-0000BD030000}"/>
    <hyperlink ref="A487" r:id="rId959" xr:uid="{00000000-0004-0000-0000-0000BE030000}"/>
    <hyperlink ref="B487" r:id="rId960" xr:uid="{00000000-0004-0000-0000-0000BF030000}"/>
    <hyperlink ref="A490" r:id="rId961" xr:uid="{00000000-0004-0000-0000-0000C0030000}"/>
    <hyperlink ref="B490" r:id="rId962" xr:uid="{00000000-0004-0000-0000-0000C1030000}"/>
    <hyperlink ref="A489" r:id="rId963" xr:uid="{00000000-0004-0000-0000-0000C2030000}"/>
    <hyperlink ref="B489" r:id="rId964" xr:uid="{00000000-0004-0000-0000-0000C3030000}"/>
    <hyperlink ref="A491" r:id="rId965" xr:uid="{00000000-0004-0000-0000-0000C4030000}"/>
    <hyperlink ref="B491" r:id="rId966" xr:uid="{00000000-0004-0000-0000-0000C5030000}"/>
    <hyperlink ref="A492" r:id="rId967" xr:uid="{00000000-0004-0000-0000-0000C6030000}"/>
    <hyperlink ref="B492" r:id="rId968" xr:uid="{00000000-0004-0000-0000-0000C7030000}"/>
    <hyperlink ref="A493" r:id="rId969" xr:uid="{00000000-0004-0000-0000-0000C8030000}"/>
    <hyperlink ref="B493" r:id="rId970" xr:uid="{00000000-0004-0000-0000-0000C9030000}"/>
    <hyperlink ref="A494" r:id="rId971" xr:uid="{00000000-0004-0000-0000-0000CA030000}"/>
    <hyperlink ref="B494" r:id="rId972" xr:uid="{00000000-0004-0000-0000-0000CB030000}"/>
    <hyperlink ref="A496" r:id="rId973" xr:uid="{00000000-0004-0000-0000-0000CC030000}"/>
    <hyperlink ref="B496" r:id="rId974" xr:uid="{00000000-0004-0000-0000-0000CD030000}"/>
    <hyperlink ref="A495" r:id="rId975" xr:uid="{00000000-0004-0000-0000-0000CE030000}"/>
    <hyperlink ref="B495" r:id="rId976" xr:uid="{00000000-0004-0000-0000-0000CF030000}"/>
    <hyperlink ref="A499" r:id="rId977" xr:uid="{00000000-0004-0000-0000-0000D0030000}"/>
    <hyperlink ref="B499" r:id="rId978" xr:uid="{00000000-0004-0000-0000-0000D1030000}"/>
    <hyperlink ref="A497" r:id="rId979" xr:uid="{00000000-0004-0000-0000-0000D2030000}"/>
    <hyperlink ref="B497" r:id="rId980" xr:uid="{00000000-0004-0000-0000-0000D3030000}"/>
    <hyperlink ref="A498" r:id="rId981" xr:uid="{00000000-0004-0000-0000-0000D4030000}"/>
    <hyperlink ref="B498" r:id="rId982" xr:uid="{00000000-0004-0000-0000-0000D5030000}"/>
    <hyperlink ref="A500" r:id="rId983" xr:uid="{00000000-0004-0000-0000-0000D6030000}"/>
    <hyperlink ref="B500" r:id="rId984" xr:uid="{00000000-0004-0000-0000-0000D7030000}"/>
    <hyperlink ref="A501" r:id="rId985" xr:uid="{00000000-0004-0000-0000-0000D8030000}"/>
    <hyperlink ref="B501" r:id="rId986" xr:uid="{00000000-0004-0000-0000-0000D9030000}"/>
    <hyperlink ref="A503" r:id="rId987" xr:uid="{00000000-0004-0000-0000-0000DA030000}"/>
    <hyperlink ref="B503" r:id="rId988" xr:uid="{00000000-0004-0000-0000-0000DB030000}"/>
    <hyperlink ref="A502" r:id="rId989" xr:uid="{00000000-0004-0000-0000-0000DC030000}"/>
    <hyperlink ref="B502" r:id="rId990" xr:uid="{00000000-0004-0000-0000-0000DD030000}"/>
    <hyperlink ref="A506" r:id="rId991" xr:uid="{00000000-0004-0000-0000-0000DE030000}"/>
    <hyperlink ref="B506" r:id="rId992" xr:uid="{00000000-0004-0000-0000-0000DF030000}"/>
    <hyperlink ref="A504" r:id="rId993" xr:uid="{00000000-0004-0000-0000-0000E0030000}"/>
    <hyperlink ref="B504" r:id="rId994" xr:uid="{00000000-0004-0000-0000-0000E1030000}"/>
    <hyperlink ref="A505" r:id="rId995" xr:uid="{00000000-0004-0000-0000-0000E2030000}"/>
    <hyperlink ref="B505" r:id="rId996" xr:uid="{00000000-0004-0000-0000-0000E3030000}"/>
    <hyperlink ref="A507" r:id="rId997" xr:uid="{00000000-0004-0000-0000-0000E4030000}"/>
    <hyperlink ref="B507" r:id="rId998" xr:uid="{00000000-0004-0000-0000-0000E5030000}"/>
    <hyperlink ref="A508" r:id="rId999" xr:uid="{00000000-0004-0000-0000-0000E6030000}"/>
    <hyperlink ref="B508" r:id="rId1000" xr:uid="{00000000-0004-0000-0000-0000E7030000}"/>
    <hyperlink ref="A509" r:id="rId1001" xr:uid="{00000000-0004-0000-0000-0000E8030000}"/>
    <hyperlink ref="B509" r:id="rId1002" xr:uid="{00000000-0004-0000-0000-0000E9030000}"/>
    <hyperlink ref="A510" r:id="rId1003" xr:uid="{00000000-0004-0000-0000-0000EA030000}"/>
    <hyperlink ref="B510" r:id="rId1004" xr:uid="{00000000-0004-0000-0000-0000EB030000}"/>
    <hyperlink ref="A511" r:id="rId1005" xr:uid="{00000000-0004-0000-0000-0000EC030000}"/>
    <hyperlink ref="B511" r:id="rId1006" xr:uid="{00000000-0004-0000-0000-0000ED030000}"/>
    <hyperlink ref="A512" r:id="rId1007" xr:uid="{00000000-0004-0000-0000-0000EE030000}"/>
    <hyperlink ref="B512" r:id="rId1008" xr:uid="{00000000-0004-0000-0000-0000EF030000}"/>
    <hyperlink ref="A513" r:id="rId1009" xr:uid="{00000000-0004-0000-0000-0000F0030000}"/>
    <hyperlink ref="B513" r:id="rId1010" xr:uid="{00000000-0004-0000-0000-0000F1030000}"/>
    <hyperlink ref="A514" r:id="rId1011" xr:uid="{00000000-0004-0000-0000-0000F2030000}"/>
    <hyperlink ref="B514" r:id="rId1012" xr:uid="{00000000-0004-0000-0000-0000F3030000}"/>
    <hyperlink ref="A515" r:id="rId1013" xr:uid="{00000000-0004-0000-0000-0000F4030000}"/>
    <hyperlink ref="B515" r:id="rId1014" xr:uid="{00000000-0004-0000-0000-0000F5030000}"/>
    <hyperlink ref="A516" r:id="rId1015" xr:uid="{00000000-0004-0000-0000-0000F6030000}"/>
    <hyperlink ref="B516" r:id="rId1016" xr:uid="{00000000-0004-0000-0000-0000F7030000}"/>
    <hyperlink ref="A517" r:id="rId1017" xr:uid="{00000000-0004-0000-0000-0000F8030000}"/>
    <hyperlink ref="B517" r:id="rId1018" xr:uid="{00000000-0004-0000-0000-0000F9030000}"/>
    <hyperlink ref="A519" r:id="rId1019" xr:uid="{00000000-0004-0000-0000-0000FA030000}"/>
    <hyperlink ref="B519" r:id="rId1020" xr:uid="{00000000-0004-0000-0000-0000FB030000}"/>
    <hyperlink ref="A520" r:id="rId1021" xr:uid="{00000000-0004-0000-0000-0000FC030000}"/>
    <hyperlink ref="B520" r:id="rId1022" xr:uid="{00000000-0004-0000-0000-0000FD030000}"/>
    <hyperlink ref="A518" r:id="rId1023" xr:uid="{00000000-0004-0000-0000-0000FE030000}"/>
    <hyperlink ref="B518" r:id="rId1024" xr:uid="{00000000-0004-0000-0000-0000FF030000}"/>
    <hyperlink ref="A522" r:id="rId1025" xr:uid="{00000000-0004-0000-0000-000000040000}"/>
    <hyperlink ref="B522" r:id="rId1026" xr:uid="{00000000-0004-0000-0000-000001040000}"/>
    <hyperlink ref="A521" r:id="rId1027" xr:uid="{00000000-0004-0000-0000-000002040000}"/>
    <hyperlink ref="B521" r:id="rId1028" xr:uid="{00000000-0004-0000-0000-000003040000}"/>
    <hyperlink ref="A523" r:id="rId1029" xr:uid="{00000000-0004-0000-0000-000004040000}"/>
    <hyperlink ref="B523" r:id="rId1030" xr:uid="{00000000-0004-0000-0000-000005040000}"/>
    <hyperlink ref="A524" r:id="rId1031" xr:uid="{00000000-0004-0000-0000-000006040000}"/>
    <hyperlink ref="B524" r:id="rId1032" xr:uid="{00000000-0004-0000-0000-000007040000}"/>
    <hyperlink ref="A525" r:id="rId1033" xr:uid="{00000000-0004-0000-0000-000008040000}"/>
    <hyperlink ref="B525" r:id="rId1034" xr:uid="{00000000-0004-0000-0000-000009040000}"/>
    <hyperlink ref="A526" r:id="rId1035" xr:uid="{00000000-0004-0000-0000-00000A040000}"/>
    <hyperlink ref="B526" r:id="rId1036" xr:uid="{00000000-0004-0000-0000-00000B040000}"/>
    <hyperlink ref="A527" r:id="rId1037" xr:uid="{00000000-0004-0000-0000-00000C040000}"/>
    <hyperlink ref="B527" r:id="rId1038" xr:uid="{00000000-0004-0000-0000-00000D040000}"/>
    <hyperlink ref="A528" r:id="rId1039" xr:uid="{00000000-0004-0000-0000-00000E040000}"/>
    <hyperlink ref="B528" r:id="rId1040" xr:uid="{00000000-0004-0000-0000-00000F040000}"/>
    <hyperlink ref="A530" r:id="rId1041" xr:uid="{00000000-0004-0000-0000-000010040000}"/>
    <hyperlink ref="B530" r:id="rId1042" xr:uid="{00000000-0004-0000-0000-000011040000}"/>
    <hyperlink ref="A531" r:id="rId1043" xr:uid="{00000000-0004-0000-0000-000012040000}"/>
    <hyperlink ref="B531" r:id="rId1044" xr:uid="{00000000-0004-0000-0000-000013040000}"/>
    <hyperlink ref="A529" r:id="rId1045" xr:uid="{00000000-0004-0000-0000-000014040000}"/>
    <hyperlink ref="B529" r:id="rId1046" xr:uid="{00000000-0004-0000-0000-000015040000}"/>
    <hyperlink ref="A536" r:id="rId1047" xr:uid="{00000000-0004-0000-0000-000016040000}"/>
    <hyperlink ref="B536" r:id="rId1048" xr:uid="{00000000-0004-0000-0000-000017040000}"/>
    <hyperlink ref="A535" r:id="rId1049" xr:uid="{00000000-0004-0000-0000-000018040000}"/>
    <hyperlink ref="B535" r:id="rId1050" xr:uid="{00000000-0004-0000-0000-000019040000}"/>
    <hyperlink ref="A534" r:id="rId1051" xr:uid="{00000000-0004-0000-0000-00001A040000}"/>
    <hyperlink ref="B534" r:id="rId1052" xr:uid="{00000000-0004-0000-0000-00001B040000}"/>
    <hyperlink ref="A533" r:id="rId1053" xr:uid="{00000000-0004-0000-0000-00001C040000}"/>
    <hyperlink ref="B533" r:id="rId1054" xr:uid="{00000000-0004-0000-0000-00001D040000}"/>
    <hyperlink ref="A532" r:id="rId1055" xr:uid="{00000000-0004-0000-0000-00001E040000}"/>
    <hyperlink ref="B532" r:id="rId1056" xr:uid="{00000000-0004-0000-0000-00001F040000}"/>
    <hyperlink ref="A537" r:id="rId1057" xr:uid="{00000000-0004-0000-0000-000020040000}"/>
    <hyperlink ref="B537" r:id="rId1058" xr:uid="{00000000-0004-0000-0000-000021040000}"/>
    <hyperlink ref="A538" r:id="rId1059" xr:uid="{00000000-0004-0000-0000-000022040000}"/>
    <hyperlink ref="B538" r:id="rId1060" xr:uid="{00000000-0004-0000-0000-000023040000}"/>
    <hyperlink ref="A539" r:id="rId1061" xr:uid="{00000000-0004-0000-0000-000024040000}"/>
    <hyperlink ref="B539" r:id="rId1062" xr:uid="{00000000-0004-0000-0000-000025040000}"/>
    <hyperlink ref="A540" r:id="rId1063" xr:uid="{00000000-0004-0000-0000-000026040000}"/>
    <hyperlink ref="B540" r:id="rId1064" xr:uid="{00000000-0004-0000-0000-000027040000}"/>
    <hyperlink ref="A541" r:id="rId1065" xr:uid="{00000000-0004-0000-0000-000028040000}"/>
    <hyperlink ref="B541" r:id="rId1066" xr:uid="{00000000-0004-0000-0000-000029040000}"/>
    <hyperlink ref="A542" r:id="rId1067" xr:uid="{00000000-0004-0000-0000-00002A040000}"/>
    <hyperlink ref="B542" r:id="rId1068" xr:uid="{00000000-0004-0000-0000-00002B040000}"/>
    <hyperlink ref="A543" r:id="rId1069" xr:uid="{00000000-0004-0000-0000-00002C040000}"/>
    <hyperlink ref="B543" r:id="rId1070" xr:uid="{00000000-0004-0000-0000-00002D040000}"/>
    <hyperlink ref="A544" r:id="rId1071" xr:uid="{00000000-0004-0000-0000-00002E040000}"/>
    <hyperlink ref="B544" r:id="rId1072" xr:uid="{00000000-0004-0000-0000-00002F040000}"/>
    <hyperlink ref="A548" r:id="rId1073" xr:uid="{00000000-0004-0000-0000-000030040000}"/>
    <hyperlink ref="B548" r:id="rId1074" xr:uid="{00000000-0004-0000-0000-000031040000}"/>
    <hyperlink ref="A545" r:id="rId1075" xr:uid="{00000000-0004-0000-0000-000032040000}"/>
    <hyperlink ref="B545" r:id="rId1076" xr:uid="{00000000-0004-0000-0000-000033040000}"/>
    <hyperlink ref="A547" r:id="rId1077" xr:uid="{00000000-0004-0000-0000-000034040000}"/>
    <hyperlink ref="B547" r:id="rId1078" xr:uid="{00000000-0004-0000-0000-000035040000}"/>
    <hyperlink ref="A546" r:id="rId1079" xr:uid="{00000000-0004-0000-0000-000036040000}"/>
    <hyperlink ref="B546" r:id="rId1080" xr:uid="{00000000-0004-0000-0000-000037040000}"/>
    <hyperlink ref="A551" r:id="rId1081" xr:uid="{00000000-0004-0000-0000-000038040000}"/>
    <hyperlink ref="B551" r:id="rId1082" xr:uid="{00000000-0004-0000-0000-000039040000}"/>
    <hyperlink ref="A550" r:id="rId1083" xr:uid="{00000000-0004-0000-0000-00003A040000}"/>
    <hyperlink ref="B550" r:id="rId1084" xr:uid="{00000000-0004-0000-0000-00003B040000}"/>
    <hyperlink ref="A549" r:id="rId1085" xr:uid="{00000000-0004-0000-0000-00003C040000}"/>
    <hyperlink ref="B549" r:id="rId1086" xr:uid="{00000000-0004-0000-0000-00003D040000}"/>
    <hyperlink ref="A555" r:id="rId1087" xr:uid="{00000000-0004-0000-0000-00003E040000}"/>
    <hyperlink ref="B555" r:id="rId1088" xr:uid="{00000000-0004-0000-0000-00003F040000}"/>
    <hyperlink ref="A553" r:id="rId1089" xr:uid="{00000000-0004-0000-0000-000040040000}"/>
    <hyperlink ref="B553" r:id="rId1090" xr:uid="{00000000-0004-0000-0000-000041040000}"/>
    <hyperlink ref="A552" r:id="rId1091" xr:uid="{00000000-0004-0000-0000-000042040000}"/>
    <hyperlink ref="B552" r:id="rId1092" xr:uid="{00000000-0004-0000-0000-000043040000}"/>
    <hyperlink ref="A554" r:id="rId1093" xr:uid="{00000000-0004-0000-0000-000044040000}"/>
    <hyperlink ref="B554" r:id="rId1094" xr:uid="{00000000-0004-0000-0000-000045040000}"/>
    <hyperlink ref="A558" r:id="rId1095" xr:uid="{00000000-0004-0000-0000-000046040000}"/>
    <hyperlink ref="B558" r:id="rId1096" xr:uid="{00000000-0004-0000-0000-000047040000}"/>
    <hyperlink ref="A557" r:id="rId1097" xr:uid="{00000000-0004-0000-0000-000048040000}"/>
    <hyperlink ref="B557" r:id="rId1098" xr:uid="{00000000-0004-0000-0000-000049040000}"/>
    <hyperlink ref="A556" r:id="rId1099" xr:uid="{00000000-0004-0000-0000-00004A040000}"/>
    <hyperlink ref="B556" r:id="rId1100" xr:uid="{00000000-0004-0000-0000-00004B040000}"/>
    <hyperlink ref="A560" r:id="rId1101" xr:uid="{00000000-0004-0000-0000-00004C040000}"/>
    <hyperlink ref="B560" r:id="rId1102" xr:uid="{00000000-0004-0000-0000-00004D040000}"/>
    <hyperlink ref="A559" r:id="rId1103" xr:uid="{00000000-0004-0000-0000-00004E040000}"/>
    <hyperlink ref="B559" r:id="rId1104" xr:uid="{00000000-0004-0000-0000-00004F040000}"/>
    <hyperlink ref="A564" r:id="rId1105" xr:uid="{00000000-0004-0000-0000-000050040000}"/>
    <hyperlink ref="B564" r:id="rId1106" xr:uid="{00000000-0004-0000-0000-000051040000}"/>
    <hyperlink ref="A565" r:id="rId1107" xr:uid="{00000000-0004-0000-0000-000052040000}"/>
    <hyperlink ref="B565" r:id="rId1108" xr:uid="{00000000-0004-0000-0000-000053040000}"/>
    <hyperlink ref="A563" r:id="rId1109" xr:uid="{00000000-0004-0000-0000-000054040000}"/>
    <hyperlink ref="B563" r:id="rId1110" xr:uid="{00000000-0004-0000-0000-000055040000}"/>
    <hyperlink ref="A562" r:id="rId1111" xr:uid="{00000000-0004-0000-0000-000056040000}"/>
    <hyperlink ref="B562" r:id="rId1112" xr:uid="{00000000-0004-0000-0000-000057040000}"/>
    <hyperlink ref="A561" r:id="rId1113" xr:uid="{00000000-0004-0000-0000-000058040000}"/>
    <hyperlink ref="B561" r:id="rId1114" xr:uid="{00000000-0004-0000-0000-000059040000}"/>
    <hyperlink ref="A566" r:id="rId1115" xr:uid="{00000000-0004-0000-0000-00005A040000}"/>
    <hyperlink ref="B566" r:id="rId1116" xr:uid="{00000000-0004-0000-0000-00005B040000}"/>
    <hyperlink ref="A567" r:id="rId1117" xr:uid="{00000000-0004-0000-0000-00005C040000}"/>
    <hyperlink ref="B567" r:id="rId1118" xr:uid="{00000000-0004-0000-0000-00005D040000}"/>
    <hyperlink ref="A568" r:id="rId1119" xr:uid="{00000000-0004-0000-0000-00005E040000}"/>
    <hyperlink ref="B568" r:id="rId1120" xr:uid="{00000000-0004-0000-0000-00005F040000}"/>
    <hyperlink ref="A571" r:id="rId1121" xr:uid="{00000000-0004-0000-0000-000060040000}"/>
    <hyperlink ref="B571" r:id="rId1122" xr:uid="{00000000-0004-0000-0000-000061040000}"/>
    <hyperlink ref="A577" r:id="rId1123" xr:uid="{00000000-0004-0000-0000-000062040000}"/>
    <hyperlink ref="B577" r:id="rId1124" xr:uid="{00000000-0004-0000-0000-000063040000}"/>
    <hyperlink ref="A575" r:id="rId1125" xr:uid="{00000000-0004-0000-0000-000064040000}"/>
    <hyperlink ref="B575" r:id="rId1126" xr:uid="{00000000-0004-0000-0000-000065040000}"/>
    <hyperlink ref="A573" r:id="rId1127" xr:uid="{00000000-0004-0000-0000-000066040000}"/>
    <hyperlink ref="B573" r:id="rId1128" xr:uid="{00000000-0004-0000-0000-000067040000}"/>
    <hyperlink ref="A569" r:id="rId1129" xr:uid="{00000000-0004-0000-0000-000068040000}"/>
    <hyperlink ref="B569" r:id="rId1130" xr:uid="{00000000-0004-0000-0000-000069040000}"/>
    <hyperlink ref="A572" r:id="rId1131" xr:uid="{00000000-0004-0000-0000-00006A040000}"/>
    <hyperlink ref="B572" r:id="rId1132" xr:uid="{00000000-0004-0000-0000-00006B040000}"/>
    <hyperlink ref="A570" r:id="rId1133" xr:uid="{00000000-0004-0000-0000-00006C040000}"/>
    <hyperlink ref="B570" r:id="rId1134" xr:uid="{00000000-0004-0000-0000-00006D040000}"/>
    <hyperlink ref="A576" r:id="rId1135" xr:uid="{00000000-0004-0000-0000-00006E040000}"/>
    <hyperlink ref="B576" r:id="rId1136" xr:uid="{00000000-0004-0000-0000-00006F040000}"/>
    <hyperlink ref="A574" r:id="rId1137" xr:uid="{00000000-0004-0000-0000-000070040000}"/>
    <hyperlink ref="B574" r:id="rId1138" xr:uid="{00000000-0004-0000-0000-000071040000}"/>
  </hyperlinks>
  <pageMargins left="0.7" right="0.7" top="0.75" bottom="0.75" header="0.3" footer="0.3"/>
  <pageSetup paperSize="9" orientation="portrait" r:id="rId113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B92B-8D69-457F-9659-533378173977}">
  <dimension ref="A1:D34"/>
  <sheetViews>
    <sheetView workbookViewId="0">
      <selection activeCell="F31" sqref="F31"/>
    </sheetView>
  </sheetViews>
  <sheetFormatPr baseColWidth="10" defaultRowHeight="13.2"/>
  <cols>
    <col min="1" max="1" width="20.5546875" bestFit="1" customWidth="1"/>
    <col min="2" max="2" width="24.77734375" bestFit="1" customWidth="1"/>
    <col min="3" max="3" width="16.6640625" bestFit="1" customWidth="1"/>
    <col min="4" max="4" width="14.21875" bestFit="1" customWidth="1"/>
    <col min="5" max="5" width="13.33203125" bestFit="1" customWidth="1"/>
  </cols>
  <sheetData>
    <row r="1" spans="1:4">
      <c r="A1" s="56" t="s">
        <v>1340</v>
      </c>
    </row>
    <row r="3" spans="1:4">
      <c r="A3" s="14" t="s">
        <v>1287</v>
      </c>
      <c r="B3" s="14" t="s">
        <v>1180</v>
      </c>
      <c r="C3" t="s">
        <v>1290</v>
      </c>
      <c r="D3" t="s">
        <v>1293</v>
      </c>
    </row>
    <row r="4" spans="1:4">
      <c r="A4" t="s">
        <v>1181</v>
      </c>
      <c r="B4" t="s">
        <v>1182</v>
      </c>
      <c r="C4">
        <v>18</v>
      </c>
      <c r="D4">
        <v>9689</v>
      </c>
    </row>
    <row r="5" spans="1:4">
      <c r="A5" t="s">
        <v>1183</v>
      </c>
      <c r="B5" t="s">
        <v>1184</v>
      </c>
      <c r="C5">
        <v>20</v>
      </c>
      <c r="D5">
        <v>7999</v>
      </c>
    </row>
    <row r="6" spans="1:4">
      <c r="A6" t="s">
        <v>1185</v>
      </c>
      <c r="B6" t="s">
        <v>1186</v>
      </c>
      <c r="C6">
        <v>17</v>
      </c>
      <c r="D6">
        <v>9551</v>
      </c>
    </row>
    <row r="7" spans="1:4">
      <c r="A7" t="s">
        <v>1187</v>
      </c>
      <c r="B7" t="s">
        <v>1188</v>
      </c>
      <c r="C7">
        <v>22</v>
      </c>
      <c r="D7">
        <v>8278</v>
      </c>
    </row>
    <row r="8" spans="1:4">
      <c r="A8" t="s">
        <v>1189</v>
      </c>
      <c r="B8" t="s">
        <v>1190</v>
      </c>
      <c r="C8">
        <v>20</v>
      </c>
      <c r="D8">
        <v>9230</v>
      </c>
    </row>
    <row r="9" spans="1:4">
      <c r="A9" t="s">
        <v>1191</v>
      </c>
      <c r="B9" t="s">
        <v>1192</v>
      </c>
      <c r="C9">
        <v>18</v>
      </c>
      <c r="D9">
        <v>10180</v>
      </c>
    </row>
    <row r="10" spans="1:4">
      <c r="A10" t="s">
        <v>1193</v>
      </c>
      <c r="B10" t="s">
        <v>1194</v>
      </c>
      <c r="C10">
        <v>19</v>
      </c>
      <c r="D10">
        <v>9970</v>
      </c>
    </row>
    <row r="11" spans="1:4">
      <c r="A11" t="s">
        <v>1195</v>
      </c>
      <c r="B11" t="s">
        <v>1196</v>
      </c>
      <c r="C11">
        <v>17</v>
      </c>
      <c r="D11">
        <v>9899</v>
      </c>
    </row>
    <row r="12" spans="1:4">
      <c r="A12" t="s">
        <v>1197</v>
      </c>
      <c r="B12" t="s">
        <v>1198</v>
      </c>
      <c r="C12">
        <v>19</v>
      </c>
      <c r="D12">
        <v>10292</v>
      </c>
    </row>
    <row r="13" spans="1:4">
      <c r="A13" t="s">
        <v>1199</v>
      </c>
      <c r="B13" t="s">
        <v>1200</v>
      </c>
      <c r="C13">
        <v>17</v>
      </c>
      <c r="D13">
        <v>8288</v>
      </c>
    </row>
    <row r="14" spans="1:4">
      <c r="A14" t="s">
        <v>1201</v>
      </c>
      <c r="B14" t="s">
        <v>1202</v>
      </c>
      <c r="C14">
        <v>18</v>
      </c>
      <c r="D14">
        <v>9515</v>
      </c>
    </row>
    <row r="15" spans="1:4">
      <c r="A15" t="s">
        <v>1203</v>
      </c>
      <c r="B15" t="s">
        <v>1204</v>
      </c>
      <c r="C15">
        <v>20</v>
      </c>
      <c r="D15">
        <v>9630</v>
      </c>
    </row>
    <row r="16" spans="1:4">
      <c r="A16" t="s">
        <v>1205</v>
      </c>
      <c r="B16" t="s">
        <v>1206</v>
      </c>
      <c r="C16">
        <v>17</v>
      </c>
      <c r="D16">
        <v>9050</v>
      </c>
    </row>
    <row r="17" spans="1:4">
      <c r="A17" t="s">
        <v>1207</v>
      </c>
      <c r="B17" t="s">
        <v>1208</v>
      </c>
      <c r="C17">
        <v>20</v>
      </c>
      <c r="D17">
        <v>8691</v>
      </c>
    </row>
    <row r="18" spans="1:4">
      <c r="A18" t="s">
        <v>1209</v>
      </c>
      <c r="B18" t="s">
        <v>1210</v>
      </c>
      <c r="C18">
        <v>18</v>
      </c>
      <c r="D18">
        <v>9552</v>
      </c>
    </row>
    <row r="19" spans="1:4">
      <c r="A19" t="s">
        <v>1211</v>
      </c>
      <c r="B19" t="s">
        <v>1212</v>
      </c>
      <c r="C19">
        <v>19</v>
      </c>
      <c r="D19">
        <v>9828</v>
      </c>
    </row>
    <row r="20" spans="1:4">
      <c r="A20" t="s">
        <v>1213</v>
      </c>
      <c r="B20" t="s">
        <v>1214</v>
      </c>
      <c r="C20">
        <v>19</v>
      </c>
      <c r="D20">
        <v>10016</v>
      </c>
    </row>
    <row r="21" spans="1:4">
      <c r="A21" t="s">
        <v>1215</v>
      </c>
      <c r="B21" t="s">
        <v>1216</v>
      </c>
      <c r="C21">
        <v>20</v>
      </c>
      <c r="D21">
        <v>9523</v>
      </c>
    </row>
    <row r="22" spans="1:4">
      <c r="A22" t="s">
        <v>1217</v>
      </c>
      <c r="B22" t="s">
        <v>1218</v>
      </c>
      <c r="C22">
        <v>22</v>
      </c>
      <c r="D22">
        <v>8763</v>
      </c>
    </row>
    <row r="23" spans="1:4">
      <c r="A23" t="s">
        <v>1219</v>
      </c>
      <c r="B23" t="s">
        <v>1220</v>
      </c>
      <c r="C23">
        <v>19</v>
      </c>
      <c r="D23">
        <v>9540</v>
      </c>
    </row>
    <row r="24" spans="1:4">
      <c r="A24" t="s">
        <v>1221</v>
      </c>
      <c r="B24" t="s">
        <v>1222</v>
      </c>
      <c r="C24">
        <v>18</v>
      </c>
      <c r="D24">
        <v>9880</v>
      </c>
    </row>
    <row r="25" spans="1:4">
      <c r="A25" t="s">
        <v>1223</v>
      </c>
      <c r="B25" t="s">
        <v>1224</v>
      </c>
      <c r="C25">
        <v>17</v>
      </c>
      <c r="D25">
        <v>8648</v>
      </c>
    </row>
    <row r="26" spans="1:4">
      <c r="A26" t="s">
        <v>1225</v>
      </c>
      <c r="B26" t="s">
        <v>1226</v>
      </c>
      <c r="C26">
        <v>23</v>
      </c>
      <c r="D26">
        <v>9142</v>
      </c>
    </row>
    <row r="27" spans="1:4">
      <c r="A27" t="s">
        <v>1227</v>
      </c>
      <c r="B27" t="s">
        <v>1228</v>
      </c>
      <c r="C27">
        <v>18</v>
      </c>
      <c r="D27">
        <v>9719</v>
      </c>
    </row>
    <row r="28" spans="1:4">
      <c r="A28" t="s">
        <v>1229</v>
      </c>
      <c r="B28" t="s">
        <v>1230</v>
      </c>
      <c r="C28">
        <v>19</v>
      </c>
      <c r="D28">
        <v>9113</v>
      </c>
    </row>
    <row r="29" spans="1:4">
      <c r="A29" t="s">
        <v>1231</v>
      </c>
      <c r="B29" t="s">
        <v>1232</v>
      </c>
      <c r="C29">
        <v>19</v>
      </c>
      <c r="D29">
        <v>9786</v>
      </c>
    </row>
    <row r="30" spans="1:4">
      <c r="A30" t="s">
        <v>1233</v>
      </c>
      <c r="B30" t="s">
        <v>1234</v>
      </c>
      <c r="C30">
        <v>18</v>
      </c>
      <c r="D30">
        <v>10198</v>
      </c>
    </row>
    <row r="31" spans="1:4">
      <c r="A31" t="s">
        <v>1235</v>
      </c>
      <c r="B31" t="s">
        <v>1236</v>
      </c>
      <c r="C31">
        <v>21</v>
      </c>
      <c r="D31">
        <v>8963</v>
      </c>
    </row>
    <row r="32" spans="1:4">
      <c r="A32" t="s">
        <v>1237</v>
      </c>
      <c r="B32" t="s">
        <v>1238</v>
      </c>
      <c r="C32">
        <v>18</v>
      </c>
      <c r="D32">
        <v>9096</v>
      </c>
    </row>
    <row r="33" spans="1:4">
      <c r="A33" t="s">
        <v>1239</v>
      </c>
      <c r="B33" t="s">
        <v>1240</v>
      </c>
      <c r="C33">
        <v>19</v>
      </c>
      <c r="D33">
        <v>7986</v>
      </c>
    </row>
    <row r="34" spans="1:4">
      <c r="A34" t="s">
        <v>1289</v>
      </c>
      <c r="C34">
        <v>569</v>
      </c>
      <c r="D34">
        <v>280015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FC81-369D-45DF-886C-14BE6598BFC5}">
  <dimension ref="A1:I34"/>
  <sheetViews>
    <sheetView topLeftCell="A4" zoomScaleNormal="100" workbookViewId="0">
      <selection activeCell="M21" sqref="M21"/>
    </sheetView>
  </sheetViews>
  <sheetFormatPr baseColWidth="10" defaultRowHeight="13.2"/>
  <cols>
    <col min="1" max="1" width="14.21875" customWidth="1"/>
    <col min="2" max="2" width="20.88671875" customWidth="1"/>
    <col min="3" max="3" width="13.21875" customWidth="1"/>
    <col min="4" max="4" width="15.44140625" customWidth="1"/>
  </cols>
  <sheetData>
    <row r="1" spans="1:4" ht="17.399999999999999">
      <c r="A1" s="38" t="s">
        <v>1341</v>
      </c>
      <c r="B1" s="37"/>
      <c r="C1" s="37"/>
    </row>
    <row r="2" spans="1:4">
      <c r="A2" s="22"/>
    </row>
    <row r="4" spans="1:4" ht="39.6">
      <c r="A4" s="35" t="s">
        <v>1326</v>
      </c>
      <c r="B4" s="35" t="s">
        <v>1180</v>
      </c>
      <c r="C4" s="35" t="s">
        <v>1327</v>
      </c>
      <c r="D4" s="35" t="s">
        <v>1328</v>
      </c>
    </row>
    <row r="5" spans="1:4">
      <c r="A5" t="s">
        <v>1181</v>
      </c>
      <c r="B5" t="s">
        <v>1182</v>
      </c>
      <c r="C5">
        <v>18</v>
      </c>
      <c r="D5">
        <v>9689</v>
      </c>
    </row>
    <row r="6" spans="1:4">
      <c r="A6" t="s">
        <v>1183</v>
      </c>
      <c r="B6" t="s">
        <v>1184</v>
      </c>
      <c r="C6">
        <v>20</v>
      </c>
      <c r="D6">
        <v>7999</v>
      </c>
    </row>
    <row r="7" spans="1:4">
      <c r="A7" t="s">
        <v>1185</v>
      </c>
      <c r="B7" t="s">
        <v>1186</v>
      </c>
      <c r="C7">
        <v>17</v>
      </c>
      <c r="D7">
        <v>9551</v>
      </c>
    </row>
    <row r="8" spans="1:4">
      <c r="A8" t="s">
        <v>1187</v>
      </c>
      <c r="B8" t="s">
        <v>1188</v>
      </c>
      <c r="C8">
        <v>22</v>
      </c>
      <c r="D8">
        <v>8278</v>
      </c>
    </row>
    <row r="9" spans="1:4">
      <c r="A9" t="s">
        <v>1189</v>
      </c>
      <c r="B9" t="s">
        <v>1190</v>
      </c>
      <c r="C9">
        <v>20</v>
      </c>
      <c r="D9">
        <v>9230</v>
      </c>
    </row>
    <row r="10" spans="1:4">
      <c r="A10" t="s">
        <v>1191</v>
      </c>
      <c r="B10" t="s">
        <v>1192</v>
      </c>
      <c r="C10">
        <v>18</v>
      </c>
      <c r="D10">
        <v>10180</v>
      </c>
    </row>
    <row r="11" spans="1:4">
      <c r="A11" t="s">
        <v>1193</v>
      </c>
      <c r="B11" t="s">
        <v>1194</v>
      </c>
      <c r="C11">
        <v>19</v>
      </c>
      <c r="D11">
        <v>9970</v>
      </c>
    </row>
    <row r="12" spans="1:4">
      <c r="A12" t="s">
        <v>1195</v>
      </c>
      <c r="B12" t="s">
        <v>1196</v>
      </c>
      <c r="C12">
        <v>17</v>
      </c>
      <c r="D12">
        <v>9899</v>
      </c>
    </row>
    <row r="13" spans="1:4">
      <c r="A13" t="s">
        <v>1197</v>
      </c>
      <c r="B13" t="s">
        <v>1198</v>
      </c>
      <c r="C13">
        <v>19</v>
      </c>
      <c r="D13">
        <v>10292</v>
      </c>
    </row>
    <row r="14" spans="1:4">
      <c r="A14" t="s">
        <v>1199</v>
      </c>
      <c r="B14" t="s">
        <v>1200</v>
      </c>
      <c r="C14">
        <v>17</v>
      </c>
      <c r="D14">
        <v>8288</v>
      </c>
    </row>
    <row r="15" spans="1:4">
      <c r="A15" t="s">
        <v>1201</v>
      </c>
      <c r="B15" t="s">
        <v>1202</v>
      </c>
      <c r="C15">
        <v>18</v>
      </c>
      <c r="D15">
        <v>9515</v>
      </c>
    </row>
    <row r="16" spans="1:4">
      <c r="A16" t="s">
        <v>1203</v>
      </c>
      <c r="B16" t="s">
        <v>1204</v>
      </c>
      <c r="C16">
        <v>20</v>
      </c>
      <c r="D16">
        <v>9630</v>
      </c>
    </row>
    <row r="17" spans="1:9">
      <c r="A17" t="s">
        <v>1205</v>
      </c>
      <c r="B17" t="s">
        <v>1206</v>
      </c>
      <c r="C17">
        <v>17</v>
      </c>
      <c r="D17">
        <v>9050</v>
      </c>
    </row>
    <row r="18" spans="1:9">
      <c r="A18" t="s">
        <v>1207</v>
      </c>
      <c r="B18" t="s">
        <v>1208</v>
      </c>
      <c r="C18">
        <v>20</v>
      </c>
      <c r="D18">
        <v>8691</v>
      </c>
    </row>
    <row r="19" spans="1:9">
      <c r="A19" t="s">
        <v>1209</v>
      </c>
      <c r="B19" t="s">
        <v>1210</v>
      </c>
      <c r="C19">
        <v>18</v>
      </c>
      <c r="D19">
        <v>9552</v>
      </c>
    </row>
    <row r="20" spans="1:9">
      <c r="A20" t="s">
        <v>1211</v>
      </c>
      <c r="B20" t="s">
        <v>1212</v>
      </c>
      <c r="C20">
        <v>19</v>
      </c>
      <c r="D20">
        <v>9828</v>
      </c>
    </row>
    <row r="21" spans="1:9">
      <c r="A21" t="s">
        <v>1213</v>
      </c>
      <c r="B21" t="s">
        <v>1214</v>
      </c>
      <c r="C21">
        <v>19</v>
      </c>
      <c r="D21">
        <v>10016</v>
      </c>
    </row>
    <row r="22" spans="1:9">
      <c r="A22" t="s">
        <v>1215</v>
      </c>
      <c r="B22" t="s">
        <v>1216</v>
      </c>
      <c r="C22">
        <v>20</v>
      </c>
      <c r="D22">
        <v>9523</v>
      </c>
    </row>
    <row r="23" spans="1:9">
      <c r="A23" t="s">
        <v>1217</v>
      </c>
      <c r="B23" t="s">
        <v>1218</v>
      </c>
      <c r="C23">
        <v>22</v>
      </c>
      <c r="D23">
        <v>8763</v>
      </c>
    </row>
    <row r="24" spans="1:9">
      <c r="A24" t="s">
        <v>1219</v>
      </c>
      <c r="B24" t="s">
        <v>1220</v>
      </c>
      <c r="C24">
        <v>19</v>
      </c>
      <c r="D24">
        <v>9540</v>
      </c>
    </row>
    <row r="25" spans="1:9">
      <c r="A25" t="s">
        <v>1221</v>
      </c>
      <c r="B25" t="s">
        <v>1222</v>
      </c>
      <c r="C25">
        <v>18</v>
      </c>
      <c r="D25">
        <v>9880</v>
      </c>
    </row>
    <row r="26" spans="1:9">
      <c r="A26" t="s">
        <v>1223</v>
      </c>
      <c r="B26" t="s">
        <v>1224</v>
      </c>
      <c r="C26">
        <v>17</v>
      </c>
      <c r="D26">
        <v>8648</v>
      </c>
    </row>
    <row r="27" spans="1:9">
      <c r="A27" t="s">
        <v>1225</v>
      </c>
      <c r="B27" t="s">
        <v>1226</v>
      </c>
      <c r="C27">
        <v>23</v>
      </c>
      <c r="D27">
        <v>9142</v>
      </c>
      <c r="I27" s="22" t="s">
        <v>1329</v>
      </c>
    </row>
    <row r="28" spans="1:9">
      <c r="A28" t="s">
        <v>1227</v>
      </c>
      <c r="B28" t="s">
        <v>1228</v>
      </c>
      <c r="C28">
        <v>18</v>
      </c>
      <c r="D28">
        <v>9719</v>
      </c>
    </row>
    <row r="29" spans="1:9">
      <c r="A29" t="s">
        <v>1229</v>
      </c>
      <c r="B29" t="s">
        <v>1230</v>
      </c>
      <c r="C29">
        <v>19</v>
      </c>
      <c r="D29">
        <v>9113</v>
      </c>
    </row>
    <row r="30" spans="1:9">
      <c r="A30" t="s">
        <v>1231</v>
      </c>
      <c r="B30" t="s">
        <v>1232</v>
      </c>
      <c r="C30">
        <v>19</v>
      </c>
      <c r="D30">
        <v>9786</v>
      </c>
    </row>
    <row r="31" spans="1:9">
      <c r="A31" t="s">
        <v>1233</v>
      </c>
      <c r="B31" s="22" t="s">
        <v>1234</v>
      </c>
      <c r="C31">
        <v>18</v>
      </c>
      <c r="D31">
        <v>10198</v>
      </c>
    </row>
    <row r="32" spans="1:9">
      <c r="A32" t="s">
        <v>1235</v>
      </c>
      <c r="B32" t="s">
        <v>1236</v>
      </c>
      <c r="C32">
        <v>21</v>
      </c>
      <c r="D32">
        <v>8963</v>
      </c>
    </row>
    <row r="33" spans="1:4">
      <c r="A33" t="s">
        <v>1237</v>
      </c>
      <c r="B33" t="s">
        <v>1238</v>
      </c>
      <c r="C33">
        <v>18</v>
      </c>
      <c r="D33">
        <v>9096</v>
      </c>
    </row>
    <row r="34" spans="1:4">
      <c r="A34" s="48" t="s">
        <v>1239</v>
      </c>
      <c r="B34" t="s">
        <v>1240</v>
      </c>
      <c r="C34">
        <v>19</v>
      </c>
      <c r="D34">
        <v>7986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A73F-285F-41C7-A635-7DE03DB663F9}">
  <dimension ref="A2:G24"/>
  <sheetViews>
    <sheetView workbookViewId="0">
      <selection activeCell="G36" sqref="G36"/>
    </sheetView>
  </sheetViews>
  <sheetFormatPr baseColWidth="10" defaultRowHeight="13.2"/>
  <cols>
    <col min="1" max="1" width="20.5546875" bestFit="1" customWidth="1"/>
    <col min="2" max="2" width="16.109375" bestFit="1" customWidth="1"/>
    <col min="3" max="3" width="15.88671875" bestFit="1" customWidth="1"/>
    <col min="4" max="4" width="13.5546875" bestFit="1" customWidth="1"/>
    <col min="5" max="5" width="14.21875" bestFit="1" customWidth="1"/>
    <col min="6" max="6" width="14.109375" bestFit="1" customWidth="1"/>
    <col min="7" max="7" width="14.44140625" bestFit="1" customWidth="1"/>
  </cols>
  <sheetData>
    <row r="2" spans="1:7">
      <c r="A2" s="14" t="s">
        <v>1</v>
      </c>
      <c r="B2" t="s">
        <v>1197</v>
      </c>
    </row>
    <row r="4" spans="1:7">
      <c r="A4" s="14" t="s">
        <v>1287</v>
      </c>
      <c r="B4" t="s">
        <v>1294</v>
      </c>
      <c r="C4" t="s">
        <v>1295</v>
      </c>
      <c r="D4" t="s">
        <v>1296</v>
      </c>
      <c r="E4" t="s">
        <v>1297</v>
      </c>
      <c r="F4" t="s">
        <v>1298</v>
      </c>
      <c r="G4" t="s">
        <v>1299</v>
      </c>
    </row>
    <row r="5" spans="1:7">
      <c r="A5" s="15" t="s">
        <v>1342</v>
      </c>
      <c r="B5">
        <v>0</v>
      </c>
      <c r="C5">
        <v>0</v>
      </c>
      <c r="D5">
        <v>40</v>
      </c>
      <c r="E5">
        <v>1</v>
      </c>
      <c r="F5">
        <v>0</v>
      </c>
      <c r="G5">
        <v>0</v>
      </c>
    </row>
    <row r="6" spans="1:7">
      <c r="A6" s="15" t="s">
        <v>1343</v>
      </c>
      <c r="B6">
        <v>112</v>
      </c>
      <c r="C6">
        <v>195</v>
      </c>
      <c r="D6">
        <v>10.4</v>
      </c>
      <c r="E6">
        <v>136</v>
      </c>
      <c r="F6">
        <v>100</v>
      </c>
      <c r="G6">
        <v>41</v>
      </c>
    </row>
    <row r="7" spans="1:7">
      <c r="A7" s="15" t="s">
        <v>1344</v>
      </c>
      <c r="B7">
        <v>1</v>
      </c>
      <c r="C7">
        <v>6</v>
      </c>
      <c r="D7">
        <v>9.5</v>
      </c>
      <c r="E7">
        <v>7</v>
      </c>
      <c r="F7">
        <v>2</v>
      </c>
      <c r="G7">
        <v>1</v>
      </c>
    </row>
    <row r="8" spans="1:7">
      <c r="A8" s="15" t="s">
        <v>1345</v>
      </c>
      <c r="B8">
        <v>56</v>
      </c>
      <c r="C8">
        <v>371</v>
      </c>
      <c r="D8">
        <v>15.2</v>
      </c>
      <c r="E8">
        <v>637</v>
      </c>
      <c r="F8">
        <v>70</v>
      </c>
      <c r="G8">
        <v>56</v>
      </c>
    </row>
    <row r="9" spans="1:7">
      <c r="A9" s="15" t="s">
        <v>1346</v>
      </c>
      <c r="B9">
        <v>0</v>
      </c>
      <c r="C9">
        <v>2</v>
      </c>
      <c r="D9">
        <v>0</v>
      </c>
      <c r="E9">
        <v>3</v>
      </c>
      <c r="F9">
        <v>0</v>
      </c>
      <c r="G9">
        <v>0</v>
      </c>
    </row>
    <row r="10" spans="1:7">
      <c r="A10" s="15" t="s">
        <v>1347</v>
      </c>
      <c r="B10">
        <v>30</v>
      </c>
      <c r="C10">
        <v>173</v>
      </c>
      <c r="D10">
        <v>9.1</v>
      </c>
      <c r="E10">
        <v>405</v>
      </c>
      <c r="F10">
        <v>68</v>
      </c>
      <c r="G10">
        <v>15</v>
      </c>
    </row>
    <row r="11" spans="1:7">
      <c r="A11" s="15" t="s">
        <v>1348</v>
      </c>
      <c r="B11">
        <v>130</v>
      </c>
      <c r="C11">
        <v>266</v>
      </c>
      <c r="D11">
        <v>9.6</v>
      </c>
      <c r="E11">
        <v>122</v>
      </c>
      <c r="F11">
        <v>29</v>
      </c>
      <c r="G11">
        <v>101</v>
      </c>
    </row>
    <row r="12" spans="1:7">
      <c r="A12" s="15" t="s">
        <v>1349</v>
      </c>
      <c r="B12">
        <v>39</v>
      </c>
      <c r="C12">
        <v>84</v>
      </c>
      <c r="D12">
        <v>9.9</v>
      </c>
      <c r="E12">
        <v>120</v>
      </c>
      <c r="F12">
        <v>27</v>
      </c>
      <c r="G12">
        <v>12</v>
      </c>
    </row>
    <row r="13" spans="1:7">
      <c r="A13" s="15" t="s">
        <v>1350</v>
      </c>
      <c r="B13">
        <v>281</v>
      </c>
      <c r="C13">
        <v>530</v>
      </c>
      <c r="D13">
        <v>14</v>
      </c>
      <c r="E13">
        <v>211</v>
      </c>
      <c r="F13">
        <v>55</v>
      </c>
      <c r="G13">
        <v>86</v>
      </c>
    </row>
    <row r="14" spans="1:7">
      <c r="A14" s="15" t="s">
        <v>1351</v>
      </c>
      <c r="B14">
        <v>21</v>
      </c>
      <c r="C14">
        <v>88</v>
      </c>
      <c r="D14">
        <v>6.1</v>
      </c>
      <c r="E14">
        <v>52</v>
      </c>
      <c r="F14">
        <v>26</v>
      </c>
      <c r="G14">
        <v>10</v>
      </c>
    </row>
    <row r="15" spans="1:7">
      <c r="A15" s="15" t="s">
        <v>1352</v>
      </c>
      <c r="B15">
        <v>49</v>
      </c>
      <c r="C15">
        <v>164</v>
      </c>
      <c r="D15">
        <v>9.1</v>
      </c>
      <c r="E15">
        <v>139</v>
      </c>
      <c r="F15">
        <v>74</v>
      </c>
      <c r="G15">
        <v>8</v>
      </c>
    </row>
    <row r="16" spans="1:7">
      <c r="A16" s="15" t="s">
        <v>1353</v>
      </c>
      <c r="B16">
        <v>17</v>
      </c>
      <c r="C16">
        <v>51</v>
      </c>
      <c r="D16">
        <v>9.5</v>
      </c>
      <c r="E16">
        <v>131</v>
      </c>
      <c r="F16">
        <v>34</v>
      </c>
      <c r="G16">
        <v>6</v>
      </c>
    </row>
    <row r="17" spans="1:7">
      <c r="A17" s="15" t="s">
        <v>1354</v>
      </c>
      <c r="B17">
        <v>41</v>
      </c>
      <c r="C17">
        <v>81</v>
      </c>
      <c r="D17">
        <v>11.5</v>
      </c>
      <c r="E17">
        <v>45</v>
      </c>
      <c r="F17">
        <v>41</v>
      </c>
      <c r="G17">
        <v>27</v>
      </c>
    </row>
    <row r="18" spans="1:7">
      <c r="A18" s="15" t="s">
        <v>1355</v>
      </c>
      <c r="B18">
        <v>4</v>
      </c>
      <c r="C18">
        <v>3</v>
      </c>
      <c r="D18">
        <v>7.1</v>
      </c>
      <c r="E18">
        <v>2</v>
      </c>
      <c r="F18">
        <v>0</v>
      </c>
      <c r="G18">
        <v>0</v>
      </c>
    </row>
    <row r="19" spans="1:7">
      <c r="A19" s="15" t="s">
        <v>1356</v>
      </c>
      <c r="B19">
        <v>41</v>
      </c>
      <c r="C19">
        <v>178</v>
      </c>
      <c r="D19">
        <v>7.8</v>
      </c>
      <c r="E19">
        <v>81</v>
      </c>
      <c r="F19">
        <v>49</v>
      </c>
      <c r="G19">
        <v>16</v>
      </c>
    </row>
    <row r="20" spans="1:7">
      <c r="A20" s="15" t="s">
        <v>1357</v>
      </c>
      <c r="B20">
        <v>53</v>
      </c>
      <c r="C20">
        <v>165</v>
      </c>
      <c r="D20">
        <v>6.8</v>
      </c>
      <c r="E20">
        <v>68</v>
      </c>
      <c r="F20">
        <v>30</v>
      </c>
      <c r="G20">
        <v>15</v>
      </c>
    </row>
    <row r="21" spans="1:7">
      <c r="A21" s="15" t="s">
        <v>1358</v>
      </c>
      <c r="B21">
        <v>15</v>
      </c>
      <c r="C21">
        <v>162</v>
      </c>
      <c r="D21">
        <v>6.6</v>
      </c>
      <c r="E21">
        <v>123</v>
      </c>
      <c r="F21">
        <v>39</v>
      </c>
      <c r="G21">
        <v>8</v>
      </c>
    </row>
    <row r="22" spans="1:7">
      <c r="A22" s="15" t="s">
        <v>1359</v>
      </c>
      <c r="B22">
        <v>66</v>
      </c>
      <c r="C22">
        <v>365</v>
      </c>
      <c r="D22">
        <v>10</v>
      </c>
      <c r="E22">
        <v>161</v>
      </c>
      <c r="F22">
        <v>73</v>
      </c>
      <c r="G22">
        <v>58</v>
      </c>
    </row>
    <row r="23" spans="1:7">
      <c r="A23" s="15" t="s">
        <v>1360</v>
      </c>
      <c r="B23">
        <v>4</v>
      </c>
      <c r="C23">
        <v>4</v>
      </c>
      <c r="D23">
        <v>14.9</v>
      </c>
      <c r="E23">
        <v>0</v>
      </c>
      <c r="F23">
        <v>0</v>
      </c>
      <c r="G23">
        <v>0</v>
      </c>
    </row>
    <row r="24" spans="1:7">
      <c r="A24" s="15" t="s">
        <v>1289</v>
      </c>
      <c r="B24">
        <v>960</v>
      </c>
      <c r="C24">
        <v>2888</v>
      </c>
      <c r="D24">
        <v>207.1</v>
      </c>
      <c r="E24">
        <v>2444</v>
      </c>
      <c r="F24">
        <v>717</v>
      </c>
      <c r="G24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CC56-261E-41C0-A2AD-53A5DEB3BF70}">
  <dimension ref="A1:G22"/>
  <sheetViews>
    <sheetView topLeftCell="A41" zoomScale="90" zoomScaleNormal="90" workbookViewId="0">
      <selection activeCell="I18" sqref="I18"/>
    </sheetView>
  </sheetViews>
  <sheetFormatPr baseColWidth="10" defaultRowHeight="13.2"/>
  <cols>
    <col min="1" max="1" width="19.77734375" customWidth="1"/>
    <col min="2" max="2" width="16.33203125" customWidth="1"/>
    <col min="3" max="3" width="15.6640625" bestFit="1" customWidth="1"/>
    <col min="4" max="4" width="17.109375" customWidth="1"/>
    <col min="5" max="5" width="14.88671875" customWidth="1"/>
    <col min="6" max="6" width="15.21875" customWidth="1"/>
    <col min="7" max="7" width="13.6640625" bestFit="1" customWidth="1"/>
  </cols>
  <sheetData>
    <row r="1" spans="1:7" ht="15.6">
      <c r="A1" s="57" t="s">
        <v>1361</v>
      </c>
      <c r="B1" s="58"/>
      <c r="C1" s="58"/>
      <c r="D1" s="58"/>
    </row>
    <row r="3" spans="1:7" s="36" customFormat="1" ht="39.6">
      <c r="A3" s="59" t="s">
        <v>1242</v>
      </c>
      <c r="B3" s="69" t="s">
        <v>1891</v>
      </c>
      <c r="C3" s="59" t="s">
        <v>1892</v>
      </c>
      <c r="D3" s="69" t="s">
        <v>1895</v>
      </c>
      <c r="E3" s="59" t="s">
        <v>1893</v>
      </c>
      <c r="F3" s="59" t="s">
        <v>1894</v>
      </c>
      <c r="G3" s="65" t="s">
        <v>1896</v>
      </c>
    </row>
    <row r="4" spans="1:7">
      <c r="A4" s="66" t="s">
        <v>1342</v>
      </c>
      <c r="B4" s="60">
        <v>0</v>
      </c>
      <c r="C4" s="66">
        <v>0</v>
      </c>
      <c r="D4" s="60">
        <v>40</v>
      </c>
      <c r="E4" s="66">
        <v>1</v>
      </c>
      <c r="F4" s="66">
        <v>0</v>
      </c>
      <c r="G4" s="61">
        <v>0</v>
      </c>
    </row>
    <row r="5" spans="1:7">
      <c r="A5" s="67" t="s">
        <v>1343</v>
      </c>
      <c r="B5">
        <v>112</v>
      </c>
      <c r="C5" s="67">
        <v>195</v>
      </c>
      <c r="D5">
        <v>10.4</v>
      </c>
      <c r="E5" s="67">
        <v>136</v>
      </c>
      <c r="F5" s="67">
        <v>100</v>
      </c>
      <c r="G5" s="62">
        <v>41</v>
      </c>
    </row>
    <row r="6" spans="1:7">
      <c r="A6" s="67" t="s">
        <v>1344</v>
      </c>
      <c r="B6">
        <v>1</v>
      </c>
      <c r="C6" s="67">
        <v>6</v>
      </c>
      <c r="D6">
        <v>9.5</v>
      </c>
      <c r="E6" s="67">
        <v>7</v>
      </c>
      <c r="F6" s="67">
        <v>2</v>
      </c>
      <c r="G6" s="62">
        <v>1</v>
      </c>
    </row>
    <row r="7" spans="1:7">
      <c r="A7" s="67" t="s">
        <v>1345</v>
      </c>
      <c r="B7">
        <v>56</v>
      </c>
      <c r="C7" s="67">
        <v>371</v>
      </c>
      <c r="D7">
        <v>15.2</v>
      </c>
      <c r="E7" s="67">
        <v>637</v>
      </c>
      <c r="F7" s="67">
        <v>70</v>
      </c>
      <c r="G7" s="62">
        <v>56</v>
      </c>
    </row>
    <row r="8" spans="1:7">
      <c r="A8" s="67" t="s">
        <v>1346</v>
      </c>
      <c r="B8">
        <v>0</v>
      </c>
      <c r="C8" s="67">
        <v>2</v>
      </c>
      <c r="D8">
        <v>0</v>
      </c>
      <c r="E8" s="67">
        <v>3</v>
      </c>
      <c r="F8" s="67">
        <v>0</v>
      </c>
      <c r="G8" s="62">
        <v>0</v>
      </c>
    </row>
    <row r="9" spans="1:7">
      <c r="A9" s="67" t="s">
        <v>1347</v>
      </c>
      <c r="B9">
        <v>30</v>
      </c>
      <c r="C9" s="67">
        <v>173</v>
      </c>
      <c r="D9">
        <v>9.1</v>
      </c>
      <c r="E9" s="67">
        <v>405</v>
      </c>
      <c r="F9" s="67">
        <v>68</v>
      </c>
      <c r="G9" s="62">
        <v>15</v>
      </c>
    </row>
    <row r="10" spans="1:7">
      <c r="A10" s="67" t="s">
        <v>1348</v>
      </c>
      <c r="B10">
        <v>130</v>
      </c>
      <c r="C10" s="67">
        <v>266</v>
      </c>
      <c r="D10">
        <v>9.6</v>
      </c>
      <c r="E10" s="67">
        <v>122</v>
      </c>
      <c r="F10" s="67">
        <v>29</v>
      </c>
      <c r="G10" s="62">
        <v>101</v>
      </c>
    </row>
    <row r="11" spans="1:7">
      <c r="A11" s="67" t="s">
        <v>1349</v>
      </c>
      <c r="B11">
        <v>39</v>
      </c>
      <c r="C11" s="67">
        <v>84</v>
      </c>
      <c r="D11">
        <v>9.9</v>
      </c>
      <c r="E11" s="67">
        <v>120</v>
      </c>
      <c r="F11" s="67">
        <v>27</v>
      </c>
      <c r="G11" s="62">
        <v>12</v>
      </c>
    </row>
    <row r="12" spans="1:7">
      <c r="A12" s="67" t="s">
        <v>1350</v>
      </c>
      <c r="B12">
        <v>281</v>
      </c>
      <c r="C12" s="67">
        <v>530</v>
      </c>
      <c r="D12">
        <v>14</v>
      </c>
      <c r="E12" s="67">
        <v>211</v>
      </c>
      <c r="F12" s="67">
        <v>55</v>
      </c>
      <c r="G12" s="62">
        <v>86</v>
      </c>
    </row>
    <row r="13" spans="1:7">
      <c r="A13" s="70" t="s">
        <v>1351</v>
      </c>
      <c r="B13">
        <v>21</v>
      </c>
      <c r="C13" s="67">
        <v>88</v>
      </c>
      <c r="D13">
        <v>6.1</v>
      </c>
      <c r="E13" s="67">
        <v>52</v>
      </c>
      <c r="F13" s="67">
        <v>26</v>
      </c>
      <c r="G13" s="62">
        <v>10</v>
      </c>
    </row>
    <row r="14" spans="1:7">
      <c r="A14" s="67" t="s">
        <v>1352</v>
      </c>
      <c r="B14">
        <v>49</v>
      </c>
      <c r="C14" s="67">
        <v>164</v>
      </c>
      <c r="D14">
        <v>9.1</v>
      </c>
      <c r="E14" s="67">
        <v>139</v>
      </c>
      <c r="F14" s="67">
        <v>74</v>
      </c>
      <c r="G14" s="62">
        <v>8</v>
      </c>
    </row>
    <row r="15" spans="1:7">
      <c r="A15" s="67" t="s">
        <v>1353</v>
      </c>
      <c r="B15">
        <v>17</v>
      </c>
      <c r="C15" s="67">
        <v>51</v>
      </c>
      <c r="D15">
        <v>9.5</v>
      </c>
      <c r="E15" s="67">
        <v>131</v>
      </c>
      <c r="F15" s="67">
        <v>34</v>
      </c>
      <c r="G15" s="62">
        <v>6</v>
      </c>
    </row>
    <row r="16" spans="1:7">
      <c r="A16" s="67" t="s">
        <v>1354</v>
      </c>
      <c r="B16">
        <v>41</v>
      </c>
      <c r="C16" s="67">
        <v>81</v>
      </c>
      <c r="D16">
        <v>11.5</v>
      </c>
      <c r="E16" s="67">
        <v>45</v>
      </c>
      <c r="F16" s="67">
        <v>41</v>
      </c>
      <c r="G16" s="62">
        <v>27</v>
      </c>
    </row>
    <row r="17" spans="1:7">
      <c r="A17" s="67" t="s">
        <v>1355</v>
      </c>
      <c r="B17">
        <v>4</v>
      </c>
      <c r="C17" s="67">
        <v>3</v>
      </c>
      <c r="D17">
        <v>7.1</v>
      </c>
      <c r="E17" s="67">
        <v>2</v>
      </c>
      <c r="F17" s="67">
        <v>0</v>
      </c>
      <c r="G17" s="62">
        <v>0</v>
      </c>
    </row>
    <row r="18" spans="1:7">
      <c r="A18" s="67" t="s">
        <v>1356</v>
      </c>
      <c r="B18">
        <v>41</v>
      </c>
      <c r="C18" s="67">
        <v>178</v>
      </c>
      <c r="D18">
        <v>7.8</v>
      </c>
      <c r="E18" s="67">
        <v>81</v>
      </c>
      <c r="F18" s="67">
        <v>49</v>
      </c>
      <c r="G18" s="62">
        <v>16</v>
      </c>
    </row>
    <row r="19" spans="1:7">
      <c r="A19" s="67" t="s">
        <v>1357</v>
      </c>
      <c r="B19">
        <v>53</v>
      </c>
      <c r="C19" s="67">
        <v>165</v>
      </c>
      <c r="D19">
        <v>6.8</v>
      </c>
      <c r="E19" s="67">
        <v>68</v>
      </c>
      <c r="F19" s="67">
        <v>30</v>
      </c>
      <c r="G19" s="62">
        <v>15</v>
      </c>
    </row>
    <row r="20" spans="1:7">
      <c r="A20" s="67" t="s">
        <v>1358</v>
      </c>
      <c r="B20">
        <v>15</v>
      </c>
      <c r="C20" s="67">
        <v>162</v>
      </c>
      <c r="D20">
        <v>6.6</v>
      </c>
      <c r="E20" s="67">
        <v>123</v>
      </c>
      <c r="F20" s="67">
        <v>39</v>
      </c>
      <c r="G20" s="62">
        <v>8</v>
      </c>
    </row>
    <row r="21" spans="1:7">
      <c r="A21" s="67" t="s">
        <v>1359</v>
      </c>
      <c r="B21">
        <v>66</v>
      </c>
      <c r="C21" s="67">
        <v>365</v>
      </c>
      <c r="D21">
        <v>10</v>
      </c>
      <c r="E21" s="67">
        <v>161</v>
      </c>
      <c r="F21" s="67">
        <v>73</v>
      </c>
      <c r="G21" s="62">
        <v>58</v>
      </c>
    </row>
    <row r="22" spans="1:7">
      <c r="A22" s="71" t="s">
        <v>1360</v>
      </c>
      <c r="B22" s="63">
        <v>4</v>
      </c>
      <c r="C22" s="68">
        <v>4</v>
      </c>
      <c r="D22" s="63">
        <v>14.9</v>
      </c>
      <c r="E22" s="68">
        <v>0</v>
      </c>
      <c r="F22" s="68">
        <v>0</v>
      </c>
      <c r="G22" s="64">
        <v>0</v>
      </c>
    </row>
  </sheetData>
  <conditionalFormatting sqref="B4:B2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{89AC799F-C1FE-4E35-8FFA-6E5279B8862A}</x14:id>
        </ext>
      </extLst>
    </cfRule>
  </conditionalFormatting>
  <conditionalFormatting sqref="C4:C2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{F413E9CD-6A81-4898-93ED-E1F151D689E8}</x14:id>
        </ext>
      </extLst>
    </cfRule>
  </conditionalFormatting>
  <conditionalFormatting sqref="D4:D2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{91A154D1-B070-4199-930E-4C65F27D9D61}</x14:id>
        </ext>
      </extLst>
    </cfRule>
  </conditionalFormatting>
  <conditionalFormatting sqref="D4:D24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{AE38BA97-EE17-401A-8FD9-76395557B317}</x14:id>
        </ext>
      </extLst>
    </cfRule>
  </conditionalFormatting>
  <conditionalFormatting sqref="E4:E2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{4F173B73-1987-4972-A52E-46C0F9654D6C}</x14:id>
        </ext>
      </extLst>
    </cfRule>
  </conditionalFormatting>
  <conditionalFormatting sqref="F4:F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{4670301B-812F-4D62-9E11-5C717029FD05}</x14:id>
        </ext>
      </extLst>
    </cfRule>
  </conditionalFormatting>
  <conditionalFormatting sqref="G4:G2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{496397DD-246B-4655-8740-5748FA240E3A}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AC799F-C1FE-4E35-8FFA-6E5279B886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B4:B22</xm:sqref>
        </x14:conditionalFormatting>
        <x14:conditionalFormatting xmlns:xm="http://schemas.microsoft.com/office/excel/2006/main">
          <x14:cfRule type="dataBar" id="{F413E9CD-6A81-4898-93ED-E1F151D689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C4:C22</xm:sqref>
        </x14:conditionalFormatting>
        <x14:conditionalFormatting xmlns:xm="http://schemas.microsoft.com/office/excel/2006/main">
          <x14:cfRule type="dataBar" id="{91A154D1-B070-4199-930E-4C65F27D9D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D4:D22</xm:sqref>
        </x14:conditionalFormatting>
        <x14:conditionalFormatting xmlns:xm="http://schemas.microsoft.com/office/excel/2006/main">
          <x14:cfRule type="dataBar" id="{AE38BA97-EE17-401A-8FD9-76395557B31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D4:D24</xm:sqref>
        </x14:conditionalFormatting>
        <x14:conditionalFormatting xmlns:xm="http://schemas.microsoft.com/office/excel/2006/main">
          <x14:cfRule type="dataBar" id="{4F173B73-1987-4972-A52E-46C0F9654D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E4:E22</xm:sqref>
        </x14:conditionalFormatting>
        <x14:conditionalFormatting xmlns:xm="http://schemas.microsoft.com/office/excel/2006/main">
          <x14:cfRule type="dataBar" id="{4670301B-812F-4D62-9E11-5C717029FD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F4:F22</xm:sqref>
        </x14:conditionalFormatting>
        <x14:conditionalFormatting xmlns:xm="http://schemas.microsoft.com/office/excel/2006/main">
          <x14:cfRule type="dataBar" id="{496397DD-246B-4655-8740-5748FA240E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G4:G27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4DCD-186B-4488-8674-7495F267EE99}">
  <sheetPr>
    <outlinePr summaryBelow="0" summaryRight="0"/>
  </sheetPr>
  <dimension ref="A1:AF25"/>
  <sheetViews>
    <sheetView topLeftCell="A39" workbookViewId="0">
      <selection activeCell="G67" sqref="G67"/>
    </sheetView>
  </sheetViews>
  <sheetFormatPr baseColWidth="10" defaultColWidth="12.6640625" defaultRowHeight="15.75" customHeight="1"/>
  <cols>
    <col min="1" max="1" width="25.33203125" customWidth="1"/>
    <col min="2" max="2" width="25.88671875" customWidth="1"/>
    <col min="3" max="3" width="14.6640625" customWidth="1"/>
    <col min="4" max="4" width="17.5546875" customWidth="1"/>
    <col min="5" max="5" width="24.77734375" customWidth="1"/>
    <col min="6" max="6" width="21.6640625" customWidth="1"/>
    <col min="7" max="7" width="14.88671875" customWidth="1"/>
    <col min="8" max="8" width="21" customWidth="1"/>
    <col min="9" max="9" width="10.109375" customWidth="1"/>
    <col min="10" max="32" width="6.44140625" customWidth="1"/>
  </cols>
  <sheetData>
    <row r="1" spans="1:32" ht="15.75" customHeight="1">
      <c r="A1" s="39" t="s">
        <v>1325</v>
      </c>
      <c r="B1" s="39"/>
      <c r="C1" s="39"/>
    </row>
    <row r="3" spans="1:32" s="35" customFormat="1" ht="29.4" customHeight="1">
      <c r="A3" s="49" t="s">
        <v>0</v>
      </c>
      <c r="B3" s="49" t="s">
        <v>1362</v>
      </c>
      <c r="C3" s="50" t="s">
        <v>1333</v>
      </c>
      <c r="D3" s="50" t="s">
        <v>1320</v>
      </c>
      <c r="E3" s="50" t="s">
        <v>1321</v>
      </c>
      <c r="F3" s="50" t="s">
        <v>1322</v>
      </c>
      <c r="G3" s="50" t="s">
        <v>1323</v>
      </c>
      <c r="H3" s="51" t="s">
        <v>1324</v>
      </c>
      <c r="I3" s="32"/>
      <c r="J3" s="32"/>
      <c r="K3" s="32"/>
      <c r="L3" s="32"/>
      <c r="M3" s="34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3"/>
    </row>
    <row r="4" spans="1:32" ht="13.2">
      <c r="A4" s="1" t="s">
        <v>43</v>
      </c>
      <c r="B4" s="3">
        <v>2485</v>
      </c>
      <c r="C4" s="4">
        <v>859</v>
      </c>
      <c r="D4" s="3">
        <v>51.9</v>
      </c>
      <c r="E4" s="3">
        <v>37.5</v>
      </c>
      <c r="F4" s="3">
        <v>89.8</v>
      </c>
      <c r="G4" s="4">
        <v>68</v>
      </c>
      <c r="H4" s="2">
        <v>19.899999999999999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6"/>
    </row>
    <row r="5" spans="1:32" ht="13.2">
      <c r="A5" s="16" t="s">
        <v>1335</v>
      </c>
      <c r="B5" s="3">
        <v>2180</v>
      </c>
      <c r="C5" s="4">
        <v>719</v>
      </c>
      <c r="D5" s="3">
        <v>44.7</v>
      </c>
      <c r="E5" s="3">
        <v>39.5</v>
      </c>
      <c r="F5" s="3">
        <v>83.7</v>
      </c>
      <c r="G5" s="4">
        <v>63</v>
      </c>
      <c r="H5" s="2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</row>
    <row r="6" spans="1:32" ht="13.2">
      <c r="A6" s="16" t="s">
        <v>1336</v>
      </c>
      <c r="B6" s="3">
        <v>2072</v>
      </c>
      <c r="C6" s="4">
        <v>784</v>
      </c>
      <c r="D6" s="3">
        <v>57.6</v>
      </c>
      <c r="E6" s="3">
        <v>41.7</v>
      </c>
      <c r="F6" s="3">
        <v>80</v>
      </c>
      <c r="G6" s="4">
        <v>203</v>
      </c>
      <c r="H6" s="2">
        <v>20.6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6"/>
    </row>
    <row r="7" spans="1:32" ht="13.2">
      <c r="A7" s="1" t="s">
        <v>49</v>
      </c>
      <c r="B7" s="3">
        <v>2037</v>
      </c>
      <c r="C7" s="4">
        <v>791</v>
      </c>
      <c r="D7" s="3">
        <v>60.1</v>
      </c>
      <c r="E7" s="3">
        <v>22.2</v>
      </c>
      <c r="F7" s="3">
        <v>61.7</v>
      </c>
      <c r="G7" s="4">
        <v>147</v>
      </c>
      <c r="H7" s="2">
        <v>21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/>
    </row>
    <row r="8" spans="1:32" ht="13.2">
      <c r="A8" s="1" t="s">
        <v>51</v>
      </c>
      <c r="B8" s="3">
        <v>1930</v>
      </c>
      <c r="C8" s="4">
        <v>662</v>
      </c>
      <c r="D8" s="3">
        <v>45.2</v>
      </c>
      <c r="E8" s="3">
        <v>34.299999999999997</v>
      </c>
      <c r="F8" s="3">
        <v>81.400000000000006</v>
      </c>
      <c r="G8" s="4">
        <v>50</v>
      </c>
      <c r="H8" s="2">
        <v>15.8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6"/>
    </row>
    <row r="9" spans="1:32" ht="13.2">
      <c r="A9" s="7" t="s">
        <v>53</v>
      </c>
      <c r="B9" s="3">
        <v>1920</v>
      </c>
      <c r="C9" s="4">
        <v>653</v>
      </c>
      <c r="D9" s="3">
        <v>46.1</v>
      </c>
      <c r="E9" s="3">
        <v>33.200000000000003</v>
      </c>
      <c r="F9" s="3">
        <v>89.4</v>
      </c>
      <c r="G9" s="4">
        <v>75</v>
      </c>
      <c r="H9" s="2">
        <v>12.2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/>
    </row>
    <row r="10" spans="1:32" ht="13.2">
      <c r="A10" s="1" t="s">
        <v>55</v>
      </c>
      <c r="B10" s="3">
        <v>1840</v>
      </c>
      <c r="C10" s="4">
        <v>655</v>
      </c>
      <c r="D10" s="3">
        <v>47.2</v>
      </c>
      <c r="E10" s="3">
        <v>37.5</v>
      </c>
      <c r="F10" s="3">
        <v>87.8</v>
      </c>
      <c r="G10" s="4">
        <v>39</v>
      </c>
      <c r="H10" s="2">
        <v>13.9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/>
    </row>
    <row r="11" spans="1:32" ht="13.2">
      <c r="A11" s="1" t="s">
        <v>57</v>
      </c>
      <c r="B11" s="3">
        <v>1839</v>
      </c>
      <c r="C11" s="4">
        <v>562</v>
      </c>
      <c r="D11" s="3">
        <v>41.1</v>
      </c>
      <c r="E11" s="3">
        <v>34</v>
      </c>
      <c r="F11" s="3">
        <v>87.5</v>
      </c>
      <c r="G11" s="4">
        <v>38</v>
      </c>
      <c r="H11" s="2">
        <v>12.9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/>
    </row>
    <row r="12" spans="1:32" ht="13.2">
      <c r="A12" s="1" t="s">
        <v>58</v>
      </c>
      <c r="B12" s="3">
        <v>1827</v>
      </c>
      <c r="C12" s="4">
        <v>686</v>
      </c>
      <c r="D12" s="3">
        <v>46.9</v>
      </c>
      <c r="E12" s="3">
        <v>35.6</v>
      </c>
      <c r="F12" s="3">
        <v>84.6</v>
      </c>
      <c r="G12" s="4">
        <v>56</v>
      </c>
      <c r="H12" s="2">
        <v>15.2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6"/>
    </row>
    <row r="13" spans="1:32" ht="13.2">
      <c r="A13" s="1" t="s">
        <v>60</v>
      </c>
      <c r="B13" s="3">
        <v>1801</v>
      </c>
      <c r="C13" s="4">
        <v>529</v>
      </c>
      <c r="D13" s="3">
        <v>41</v>
      </c>
      <c r="E13" s="3">
        <v>35.200000000000003</v>
      </c>
      <c r="F13" s="3">
        <v>87.4</v>
      </c>
      <c r="G13" s="4">
        <v>55</v>
      </c>
      <c r="H13" s="2">
        <v>14.5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6"/>
    </row>
    <row r="14" spans="1:32" ht="13.2">
      <c r="A14" s="16" t="s">
        <v>1339</v>
      </c>
      <c r="B14" s="3">
        <v>1757</v>
      </c>
      <c r="C14" s="4">
        <v>641</v>
      </c>
      <c r="D14" s="3">
        <v>52.6</v>
      </c>
      <c r="E14" s="3">
        <v>42</v>
      </c>
      <c r="F14" s="3">
        <v>82.9</v>
      </c>
      <c r="G14" s="4">
        <v>209</v>
      </c>
      <c r="H14" s="2">
        <v>16.100000000000001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6"/>
    </row>
    <row r="15" spans="1:32" ht="13.2">
      <c r="A15" s="16" t="s">
        <v>1338</v>
      </c>
      <c r="B15" s="3">
        <v>1724</v>
      </c>
      <c r="C15" s="4">
        <v>622</v>
      </c>
      <c r="D15" s="3">
        <v>51.1</v>
      </c>
      <c r="E15" s="3">
        <v>44.6</v>
      </c>
      <c r="F15" s="3">
        <v>82.5</v>
      </c>
      <c r="G15" s="4">
        <v>22</v>
      </c>
      <c r="H15" s="2">
        <v>11.5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/>
    </row>
    <row r="16" spans="1:32" ht="13.2">
      <c r="A16" s="1" t="s">
        <v>66</v>
      </c>
      <c r="B16" s="3">
        <v>1722</v>
      </c>
      <c r="C16" s="4">
        <v>607</v>
      </c>
      <c r="D16" s="3">
        <v>42.3</v>
      </c>
      <c r="E16" s="3">
        <v>35.4</v>
      </c>
      <c r="F16" s="3">
        <v>81.3</v>
      </c>
      <c r="G16" s="4">
        <v>41</v>
      </c>
      <c r="H16" s="2">
        <v>11.1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6"/>
    </row>
    <row r="17" spans="1:32" ht="13.2">
      <c r="A17" s="1" t="s">
        <v>68</v>
      </c>
      <c r="B17" s="3">
        <v>1715</v>
      </c>
      <c r="C17" s="4">
        <v>567</v>
      </c>
      <c r="D17" s="3">
        <v>44.8</v>
      </c>
      <c r="E17" s="3">
        <v>39.700000000000003</v>
      </c>
      <c r="F17" s="3">
        <v>93.3</v>
      </c>
      <c r="G17" s="4">
        <v>42</v>
      </c>
      <c r="H17" s="2">
        <v>14.5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6"/>
    </row>
    <row r="18" spans="1:32" ht="13.2">
      <c r="A18" s="16" t="s">
        <v>1371</v>
      </c>
      <c r="B18" s="3">
        <v>1709</v>
      </c>
      <c r="C18" s="4">
        <v>624</v>
      </c>
      <c r="D18" s="3">
        <v>47.7</v>
      </c>
      <c r="E18" s="3">
        <v>32.799999999999997</v>
      </c>
      <c r="F18" s="3">
        <v>85.7</v>
      </c>
      <c r="G18" s="4">
        <v>46</v>
      </c>
      <c r="H18" s="2">
        <v>11.2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6"/>
    </row>
    <row r="20" spans="1:32" ht="15.75" customHeight="1">
      <c r="A20" s="22"/>
    </row>
    <row r="23" spans="1:32" ht="15.75" customHeight="1">
      <c r="A23" s="22"/>
    </row>
    <row r="25" spans="1:32" ht="15.75" customHeight="1">
      <c r="A25" s="22"/>
    </row>
  </sheetData>
  <conditionalFormatting sqref="A3">
    <cfRule type="top10" dxfId="3" priority="11" rank="15"/>
  </conditionalFormatting>
  <conditionalFormatting sqref="A4">
    <cfRule type="top10" dxfId="2" priority="13" rank="15"/>
  </conditionalFormatting>
  <conditionalFormatting sqref="A4:A18">
    <cfRule type="duplicateValues" dxfId="1" priority="16"/>
  </conditionalFormatting>
  <conditionalFormatting sqref="B3">
    <cfRule type="top10" dxfId="0" priority="10" rank="15"/>
  </conditionalFormatting>
  <conditionalFormatting sqref="D3:D18">
    <cfRule type="colorScale" priority="5">
      <colorScale>
        <cfvo type="min"/>
        <cfvo type="max"/>
        <color rgb="FFFCFCFF"/>
        <color rgb="FF63BE7B"/>
      </colorScale>
    </cfRule>
  </conditionalFormatting>
  <conditionalFormatting sqref="D4:D18">
    <cfRule type="colorScale" priority="8">
      <colorScale>
        <cfvo type="min"/>
        <cfvo type="max"/>
        <color theme="7" tint="-0.249977111117893"/>
        <color theme="7" tint="0.59999389629810485"/>
      </colorScale>
    </cfRule>
  </conditionalFormatting>
  <conditionalFormatting sqref="E3:E18">
    <cfRule type="colorScale" priority="4">
      <colorScale>
        <cfvo type="min"/>
        <cfvo type="max"/>
        <color rgb="FFFCFCFF"/>
        <color rgb="FF63BE7B"/>
      </colorScale>
    </cfRule>
  </conditionalFormatting>
  <conditionalFormatting sqref="F3:F1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:G18">
    <cfRule type="colorScale" priority="2">
      <colorScale>
        <cfvo type="min"/>
        <cfvo type="max"/>
        <color rgb="FFFCFCFF"/>
        <color rgb="FF63BE7B"/>
      </colorScale>
    </cfRule>
  </conditionalFormatting>
  <conditionalFormatting sqref="H4:H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A17" r:id="rId1" xr:uid="{6DE7B74A-59BD-42E5-8E8E-790F3E4005EA}"/>
    <hyperlink ref="A16" r:id="rId2" xr:uid="{6E6FE3AD-99B6-40D1-A362-4F61DEABD65A}"/>
    <hyperlink ref="A15" r:id="rId3" xr:uid="{40B86859-375D-4E2A-80A1-FC1065C0D8AC}"/>
    <hyperlink ref="A14" r:id="rId4" xr:uid="{9E10ACF9-9F23-45CE-8F37-238AC3B2C05E}"/>
    <hyperlink ref="A13" r:id="rId5" xr:uid="{B6269974-AD43-40A1-B166-65F2D1F99F54}"/>
    <hyperlink ref="A12" r:id="rId6" xr:uid="{6C30CDC7-BBFF-4F93-B8D2-8DB8BB63CFA6}"/>
    <hyperlink ref="A11" r:id="rId7" xr:uid="{E149C378-6611-47E5-9969-A0939D9A2C0B}"/>
    <hyperlink ref="A10" r:id="rId8" xr:uid="{5452FD97-7DE7-4D20-9ECC-F118409B7CA0}"/>
    <hyperlink ref="A9" r:id="rId9" xr:uid="{7A62A17B-3C60-4C7E-8BBE-7B4FB78D1094}"/>
    <hyperlink ref="A8" r:id="rId10" xr:uid="{53558834-E519-46FC-8120-4B4F0EAF6E9A}"/>
    <hyperlink ref="A7" r:id="rId11" xr:uid="{683F7EF7-1033-4699-AA9A-A7E98BECE33C}"/>
    <hyperlink ref="A6" r:id="rId12" xr:uid="{87AD843A-45D7-4576-A838-EAF26C96F22A}"/>
    <hyperlink ref="A5" r:id="rId13" xr:uid="{4C1455A6-2DEF-45E0-9875-A88961D813BA}"/>
    <hyperlink ref="A4" r:id="rId14" xr:uid="{20F72DDC-3C19-40E9-B136-8F46537C18CD}"/>
    <hyperlink ref="A18" r:id="rId15" xr:uid="{24F3585F-E569-43C7-A0AA-97EB2F086D25}"/>
  </hyperlinks>
  <pageMargins left="0.7" right="0.7" top="0.75" bottom="0.75" header="0.3" footer="0.3"/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EF1B-91E7-4375-93AA-1104BF9073C4}">
  <dimension ref="A1:D572"/>
  <sheetViews>
    <sheetView workbookViewId="0">
      <selection activeCell="Q23" sqref="Q23"/>
    </sheetView>
  </sheetViews>
  <sheetFormatPr baseColWidth="10" defaultRowHeight="13.2"/>
  <cols>
    <col min="1" max="1" width="21" customWidth="1"/>
    <col min="3" max="3" width="12.88671875" customWidth="1"/>
  </cols>
  <sheetData>
    <row r="1" spans="1:4" ht="15.6">
      <c r="A1" s="55" t="s">
        <v>1890</v>
      </c>
      <c r="B1" s="37"/>
    </row>
    <row r="3" spans="1:4" s="72" customFormat="1" ht="39.6">
      <c r="A3" s="73" t="s">
        <v>0</v>
      </c>
      <c r="B3" s="73" t="s">
        <v>1</v>
      </c>
      <c r="C3" s="74" t="s">
        <v>1362</v>
      </c>
      <c r="D3" s="74" t="s">
        <v>1887</v>
      </c>
    </row>
    <row r="4" spans="1:4">
      <c r="A4" t="s">
        <v>1363</v>
      </c>
      <c r="B4" t="s">
        <v>1221</v>
      </c>
      <c r="C4">
        <v>2485</v>
      </c>
      <c r="D4">
        <v>4112</v>
      </c>
    </row>
    <row r="5" spans="1:4">
      <c r="A5" t="s">
        <v>1335</v>
      </c>
      <c r="B5" t="s">
        <v>1215</v>
      </c>
      <c r="C5">
        <v>2180</v>
      </c>
      <c r="D5">
        <v>3429</v>
      </c>
    </row>
    <row r="6" spans="1:4">
      <c r="A6" t="s">
        <v>1336</v>
      </c>
      <c r="B6" t="s">
        <v>1195</v>
      </c>
      <c r="C6">
        <v>2072</v>
      </c>
      <c r="D6" s="22">
        <v>4501</v>
      </c>
    </row>
    <row r="7" spans="1:4">
      <c r="A7" t="s">
        <v>1364</v>
      </c>
      <c r="B7" t="s">
        <v>1213</v>
      </c>
      <c r="C7">
        <v>2037</v>
      </c>
      <c r="D7">
        <v>3846</v>
      </c>
    </row>
    <row r="8" spans="1:4">
      <c r="A8" t="s">
        <v>1365</v>
      </c>
      <c r="B8" t="s">
        <v>1185</v>
      </c>
      <c r="C8">
        <v>1930</v>
      </c>
      <c r="D8">
        <v>3456</v>
      </c>
    </row>
    <row r="9" spans="1:4">
      <c r="A9" t="s">
        <v>53</v>
      </c>
      <c r="B9" t="s">
        <v>1227</v>
      </c>
      <c r="C9">
        <v>1920</v>
      </c>
      <c r="D9">
        <v>3113</v>
      </c>
    </row>
    <row r="10" spans="1:4">
      <c r="A10" t="s">
        <v>1366</v>
      </c>
      <c r="B10" t="s">
        <v>1211</v>
      </c>
      <c r="C10">
        <v>1840</v>
      </c>
      <c r="D10">
        <v>3018</v>
      </c>
    </row>
    <row r="11" spans="1:4">
      <c r="A11" t="s">
        <v>1367</v>
      </c>
      <c r="B11" t="s">
        <v>1181</v>
      </c>
      <c r="C11">
        <v>1839</v>
      </c>
      <c r="D11">
        <v>3397</v>
      </c>
    </row>
    <row r="12" spans="1:4">
      <c r="A12" t="s">
        <v>1345</v>
      </c>
      <c r="B12" t="s">
        <v>1197</v>
      </c>
      <c r="C12">
        <v>1827</v>
      </c>
      <c r="D12">
        <v>3360</v>
      </c>
    </row>
    <row r="13" spans="1:4">
      <c r="A13" t="s">
        <v>1368</v>
      </c>
      <c r="B13" t="s">
        <v>1205</v>
      </c>
      <c r="C13">
        <v>1801</v>
      </c>
      <c r="D13">
        <v>3555</v>
      </c>
    </row>
    <row r="14" spans="1:4">
      <c r="A14" t="s">
        <v>1339</v>
      </c>
      <c r="B14" t="s">
        <v>1219</v>
      </c>
      <c r="C14">
        <v>1757</v>
      </c>
      <c r="D14">
        <v>3370</v>
      </c>
    </row>
    <row r="15" spans="1:4">
      <c r="A15" t="s">
        <v>1338</v>
      </c>
      <c r="B15" t="s">
        <v>1231</v>
      </c>
      <c r="C15">
        <v>1724</v>
      </c>
      <c r="D15">
        <v>2568</v>
      </c>
    </row>
    <row r="16" spans="1:4">
      <c r="A16" t="s">
        <v>1369</v>
      </c>
      <c r="B16" t="s">
        <v>1201</v>
      </c>
      <c r="C16">
        <v>1722</v>
      </c>
      <c r="D16">
        <v>2690</v>
      </c>
    </row>
    <row r="17" spans="1:4">
      <c r="A17" t="s">
        <v>1370</v>
      </c>
      <c r="B17" t="s">
        <v>1199</v>
      </c>
      <c r="C17">
        <v>1715</v>
      </c>
      <c r="D17">
        <v>2849</v>
      </c>
    </row>
    <row r="18" spans="1:4">
      <c r="A18" t="s">
        <v>1371</v>
      </c>
      <c r="B18" t="s">
        <v>1231</v>
      </c>
      <c r="C18">
        <v>1709</v>
      </c>
      <c r="D18">
        <v>2757</v>
      </c>
    </row>
    <row r="19" spans="1:4">
      <c r="A19" t="s">
        <v>1312</v>
      </c>
      <c r="B19" t="s">
        <v>1207</v>
      </c>
      <c r="C19">
        <v>1708</v>
      </c>
      <c r="D19">
        <v>3297</v>
      </c>
    </row>
    <row r="20" spans="1:4">
      <c r="A20" t="s">
        <v>1372</v>
      </c>
      <c r="B20" t="s">
        <v>1191</v>
      </c>
      <c r="C20">
        <v>1704</v>
      </c>
      <c r="D20">
        <v>2805</v>
      </c>
    </row>
    <row r="21" spans="1:4">
      <c r="A21" t="s">
        <v>1373</v>
      </c>
      <c r="B21" t="s">
        <v>1219</v>
      </c>
      <c r="C21">
        <v>1690</v>
      </c>
      <c r="D21">
        <v>2665</v>
      </c>
    </row>
    <row r="22" spans="1:4">
      <c r="A22" t="s">
        <v>1374</v>
      </c>
      <c r="B22" t="s">
        <v>1227</v>
      </c>
      <c r="C22">
        <v>1649</v>
      </c>
      <c r="D22">
        <v>2678</v>
      </c>
    </row>
    <row r="23" spans="1:4">
      <c r="A23" t="s">
        <v>1375</v>
      </c>
      <c r="B23" t="s">
        <v>1209</v>
      </c>
      <c r="C23">
        <v>1643</v>
      </c>
      <c r="D23">
        <v>2827</v>
      </c>
    </row>
    <row r="24" spans="1:4">
      <c r="A24" t="s">
        <v>1376</v>
      </c>
      <c r="B24" t="s">
        <v>1203</v>
      </c>
      <c r="C24">
        <v>1576</v>
      </c>
      <c r="D24">
        <v>2847</v>
      </c>
    </row>
    <row r="25" spans="1:4">
      <c r="A25" t="s">
        <v>1377</v>
      </c>
      <c r="B25" t="s">
        <v>1191</v>
      </c>
      <c r="C25">
        <v>1545</v>
      </c>
      <c r="D25">
        <v>2678</v>
      </c>
    </row>
    <row r="26" spans="1:4">
      <c r="A26" t="s">
        <v>1378</v>
      </c>
      <c r="B26" t="s">
        <v>1189</v>
      </c>
      <c r="C26">
        <v>1510</v>
      </c>
      <c r="D26">
        <v>2412</v>
      </c>
    </row>
    <row r="27" spans="1:4">
      <c r="A27" t="s">
        <v>1379</v>
      </c>
      <c r="B27" t="s">
        <v>1221</v>
      </c>
      <c r="C27">
        <v>1490</v>
      </c>
      <c r="D27">
        <v>2788</v>
      </c>
    </row>
    <row r="28" spans="1:4">
      <c r="A28" t="s">
        <v>1302</v>
      </c>
      <c r="B28" t="s">
        <v>1207</v>
      </c>
      <c r="C28">
        <v>1475</v>
      </c>
      <c r="D28">
        <v>2635</v>
      </c>
    </row>
    <row r="29" spans="1:4">
      <c r="A29" t="s">
        <v>1380</v>
      </c>
      <c r="B29" t="s">
        <v>1233</v>
      </c>
      <c r="C29">
        <v>1457</v>
      </c>
      <c r="D29">
        <v>2579</v>
      </c>
    </row>
    <row r="30" spans="1:4">
      <c r="A30" t="s">
        <v>1381</v>
      </c>
      <c r="B30" t="s">
        <v>1201</v>
      </c>
      <c r="C30">
        <v>1452</v>
      </c>
      <c r="D30">
        <v>3192</v>
      </c>
    </row>
    <row r="31" spans="1:4">
      <c r="A31" t="s">
        <v>1382</v>
      </c>
      <c r="B31" t="s">
        <v>1223</v>
      </c>
      <c r="C31">
        <v>1452</v>
      </c>
      <c r="D31">
        <v>2436</v>
      </c>
    </row>
    <row r="32" spans="1:4">
      <c r="A32" t="s">
        <v>1383</v>
      </c>
      <c r="B32" t="s">
        <v>1213</v>
      </c>
      <c r="C32">
        <v>1444</v>
      </c>
      <c r="D32">
        <v>2465</v>
      </c>
    </row>
    <row r="33" spans="1:4">
      <c r="A33" t="s">
        <v>1384</v>
      </c>
      <c r="B33" t="s">
        <v>1219</v>
      </c>
      <c r="C33">
        <v>1443</v>
      </c>
      <c r="D33">
        <v>2435</v>
      </c>
    </row>
    <row r="34" spans="1:4">
      <c r="A34" t="s">
        <v>1385</v>
      </c>
      <c r="B34" t="s">
        <v>1195</v>
      </c>
      <c r="C34">
        <v>1434</v>
      </c>
      <c r="D34">
        <v>2586</v>
      </c>
    </row>
    <row r="35" spans="1:4">
      <c r="A35" t="s">
        <v>1386</v>
      </c>
      <c r="B35" t="s">
        <v>1211</v>
      </c>
      <c r="C35">
        <v>1412</v>
      </c>
      <c r="D35">
        <v>3104</v>
      </c>
    </row>
    <row r="36" spans="1:4">
      <c r="A36" t="s">
        <v>1313</v>
      </c>
      <c r="B36" t="s">
        <v>1207</v>
      </c>
      <c r="C36">
        <v>1410</v>
      </c>
      <c r="D36">
        <v>2625</v>
      </c>
    </row>
    <row r="37" spans="1:4">
      <c r="A37" t="s">
        <v>1387</v>
      </c>
      <c r="B37" t="s">
        <v>1195</v>
      </c>
      <c r="C37">
        <v>1401</v>
      </c>
      <c r="D37">
        <v>2456</v>
      </c>
    </row>
    <row r="38" spans="1:4">
      <c r="A38" t="s">
        <v>1388</v>
      </c>
      <c r="B38" t="s">
        <v>1185</v>
      </c>
      <c r="C38">
        <v>1399</v>
      </c>
      <c r="D38">
        <v>2381</v>
      </c>
    </row>
    <row r="39" spans="1:4">
      <c r="A39" t="s">
        <v>1389</v>
      </c>
      <c r="B39" t="s">
        <v>1239</v>
      </c>
      <c r="C39">
        <v>1394</v>
      </c>
      <c r="D39">
        <v>2224</v>
      </c>
    </row>
    <row r="40" spans="1:4">
      <c r="A40" t="s">
        <v>1390</v>
      </c>
      <c r="B40" t="s">
        <v>1225</v>
      </c>
      <c r="C40">
        <v>1368</v>
      </c>
      <c r="D40">
        <v>2267</v>
      </c>
    </row>
    <row r="41" spans="1:4">
      <c r="A41" t="s">
        <v>1391</v>
      </c>
      <c r="B41" t="s">
        <v>1203</v>
      </c>
      <c r="C41">
        <v>1358</v>
      </c>
      <c r="D41">
        <v>3022</v>
      </c>
    </row>
    <row r="42" spans="1:4">
      <c r="A42" t="s">
        <v>1392</v>
      </c>
      <c r="B42" t="s">
        <v>1229</v>
      </c>
      <c r="C42">
        <v>1351</v>
      </c>
      <c r="D42">
        <v>2135</v>
      </c>
    </row>
    <row r="43" spans="1:4">
      <c r="A43" t="s">
        <v>1393</v>
      </c>
      <c r="B43" t="s">
        <v>1189</v>
      </c>
      <c r="C43">
        <v>1351</v>
      </c>
      <c r="D43">
        <v>2832</v>
      </c>
    </row>
    <row r="44" spans="1:4">
      <c r="A44" t="s">
        <v>1394</v>
      </c>
      <c r="B44" t="s">
        <v>1205</v>
      </c>
      <c r="C44">
        <v>1344</v>
      </c>
      <c r="D44">
        <v>3184</v>
      </c>
    </row>
    <row r="45" spans="1:4">
      <c r="A45" t="s">
        <v>1395</v>
      </c>
      <c r="B45" t="s">
        <v>1231</v>
      </c>
      <c r="C45">
        <v>1337</v>
      </c>
      <c r="D45">
        <v>3157</v>
      </c>
    </row>
    <row r="46" spans="1:4">
      <c r="A46" t="s">
        <v>1352</v>
      </c>
      <c r="B46" t="s">
        <v>1197</v>
      </c>
      <c r="C46">
        <v>1337</v>
      </c>
      <c r="D46">
        <v>1952</v>
      </c>
    </row>
    <row r="47" spans="1:4">
      <c r="A47" t="s">
        <v>1396</v>
      </c>
      <c r="B47" t="s">
        <v>1229</v>
      </c>
      <c r="C47">
        <v>1332</v>
      </c>
      <c r="D47">
        <v>2102</v>
      </c>
    </row>
    <row r="48" spans="1:4">
      <c r="A48" t="s">
        <v>1397</v>
      </c>
      <c r="B48" t="s">
        <v>1219</v>
      </c>
      <c r="C48">
        <v>1332</v>
      </c>
      <c r="D48">
        <v>2427</v>
      </c>
    </row>
    <row r="49" spans="1:4">
      <c r="A49" t="s">
        <v>1398</v>
      </c>
      <c r="B49" t="s">
        <v>1209</v>
      </c>
      <c r="C49">
        <v>1325</v>
      </c>
      <c r="D49">
        <v>2539</v>
      </c>
    </row>
    <row r="50" spans="1:4">
      <c r="A50" t="s">
        <v>1399</v>
      </c>
      <c r="B50" t="s">
        <v>1191</v>
      </c>
      <c r="C50">
        <v>1314</v>
      </c>
      <c r="D50">
        <v>2826</v>
      </c>
    </row>
    <row r="51" spans="1:4">
      <c r="A51" t="s">
        <v>1400</v>
      </c>
      <c r="B51" t="s">
        <v>1205</v>
      </c>
      <c r="C51">
        <v>1308</v>
      </c>
      <c r="D51">
        <v>1860</v>
      </c>
    </row>
    <row r="52" spans="1:4">
      <c r="A52" t="s">
        <v>1401</v>
      </c>
      <c r="B52" t="s">
        <v>1187</v>
      </c>
      <c r="C52">
        <v>1299</v>
      </c>
      <c r="D52">
        <v>2381</v>
      </c>
    </row>
    <row r="53" spans="1:4">
      <c r="A53" t="s">
        <v>1402</v>
      </c>
      <c r="B53" t="s">
        <v>1215</v>
      </c>
      <c r="C53">
        <v>1290</v>
      </c>
      <c r="D53">
        <v>2353</v>
      </c>
    </row>
    <row r="54" spans="1:4">
      <c r="A54" t="s">
        <v>1403</v>
      </c>
      <c r="B54" t="s">
        <v>1193</v>
      </c>
      <c r="C54">
        <v>1260</v>
      </c>
      <c r="D54">
        <v>2637</v>
      </c>
    </row>
    <row r="55" spans="1:4">
      <c r="A55" t="s">
        <v>1404</v>
      </c>
      <c r="B55" t="s">
        <v>1235</v>
      </c>
      <c r="C55">
        <v>1255</v>
      </c>
      <c r="D55">
        <v>2704</v>
      </c>
    </row>
    <row r="56" spans="1:4">
      <c r="A56" t="s">
        <v>1405</v>
      </c>
      <c r="B56" t="s">
        <v>1185</v>
      </c>
      <c r="C56">
        <v>1246</v>
      </c>
      <c r="D56">
        <v>2523</v>
      </c>
    </row>
    <row r="57" spans="1:4">
      <c r="A57" t="s">
        <v>1406</v>
      </c>
      <c r="B57" t="s">
        <v>1193</v>
      </c>
      <c r="C57">
        <v>1235</v>
      </c>
      <c r="D57">
        <v>2025</v>
      </c>
    </row>
    <row r="58" spans="1:4">
      <c r="A58" t="s">
        <v>1407</v>
      </c>
      <c r="B58" t="s">
        <v>1235</v>
      </c>
      <c r="C58">
        <v>1224</v>
      </c>
      <c r="D58">
        <v>2158</v>
      </c>
    </row>
    <row r="59" spans="1:4">
      <c r="A59" t="s">
        <v>1408</v>
      </c>
      <c r="B59" t="s">
        <v>1229</v>
      </c>
      <c r="C59">
        <v>1217</v>
      </c>
      <c r="D59">
        <v>2390</v>
      </c>
    </row>
    <row r="60" spans="1:4">
      <c r="A60" t="s">
        <v>1409</v>
      </c>
      <c r="B60" t="s">
        <v>1195</v>
      </c>
      <c r="C60">
        <v>1217</v>
      </c>
      <c r="D60">
        <v>2299</v>
      </c>
    </row>
    <row r="61" spans="1:4">
      <c r="A61" t="s">
        <v>1410</v>
      </c>
      <c r="B61" t="s">
        <v>1233</v>
      </c>
      <c r="C61">
        <v>1191</v>
      </c>
      <c r="D61">
        <v>2155</v>
      </c>
    </row>
    <row r="62" spans="1:4">
      <c r="A62" t="s">
        <v>1411</v>
      </c>
      <c r="B62" t="s">
        <v>1223</v>
      </c>
      <c r="C62">
        <v>1191</v>
      </c>
      <c r="D62">
        <v>1992</v>
      </c>
    </row>
    <row r="63" spans="1:4">
      <c r="A63" t="s">
        <v>1412</v>
      </c>
      <c r="B63" t="s">
        <v>1187</v>
      </c>
      <c r="C63">
        <v>1184</v>
      </c>
      <c r="D63">
        <v>2016</v>
      </c>
    </row>
    <row r="64" spans="1:4">
      <c r="A64" t="s">
        <v>1413</v>
      </c>
      <c r="B64" t="s">
        <v>1217</v>
      </c>
      <c r="C64">
        <v>1182</v>
      </c>
      <c r="D64">
        <v>1882</v>
      </c>
    </row>
    <row r="65" spans="1:4">
      <c r="A65" t="s">
        <v>1414</v>
      </c>
      <c r="B65" t="s">
        <v>1209</v>
      </c>
      <c r="C65">
        <v>1160</v>
      </c>
      <c r="D65">
        <v>1985</v>
      </c>
    </row>
    <row r="66" spans="1:4">
      <c r="A66" t="s">
        <v>1415</v>
      </c>
      <c r="B66" t="s">
        <v>1237</v>
      </c>
      <c r="C66">
        <v>1159</v>
      </c>
      <c r="D66">
        <v>1758</v>
      </c>
    </row>
    <row r="67" spans="1:4">
      <c r="A67" t="s">
        <v>1416</v>
      </c>
      <c r="B67" t="s">
        <v>1203</v>
      </c>
      <c r="C67">
        <v>1159</v>
      </c>
      <c r="D67">
        <v>1901</v>
      </c>
    </row>
    <row r="68" spans="1:4">
      <c r="A68" t="s">
        <v>1417</v>
      </c>
      <c r="B68" t="s">
        <v>1185</v>
      </c>
      <c r="C68">
        <v>1144</v>
      </c>
      <c r="D68">
        <v>2096</v>
      </c>
    </row>
    <row r="69" spans="1:4">
      <c r="A69" t="s">
        <v>1418</v>
      </c>
      <c r="B69" t="s">
        <v>1215</v>
      </c>
      <c r="C69">
        <v>1136</v>
      </c>
      <c r="D69">
        <v>2264</v>
      </c>
    </row>
    <row r="70" spans="1:4">
      <c r="A70" t="s">
        <v>1419</v>
      </c>
      <c r="B70" t="s">
        <v>1237</v>
      </c>
      <c r="C70">
        <v>1126</v>
      </c>
      <c r="D70">
        <v>1977</v>
      </c>
    </row>
    <row r="71" spans="1:4">
      <c r="A71" t="s">
        <v>1420</v>
      </c>
      <c r="B71" t="s">
        <v>1217</v>
      </c>
      <c r="C71">
        <v>1124</v>
      </c>
      <c r="D71">
        <v>1908</v>
      </c>
    </row>
    <row r="72" spans="1:4">
      <c r="A72" t="s">
        <v>1421</v>
      </c>
      <c r="B72" t="s">
        <v>1203</v>
      </c>
      <c r="C72">
        <v>1123</v>
      </c>
      <c r="D72">
        <v>2326</v>
      </c>
    </row>
    <row r="73" spans="1:4">
      <c r="A73" t="s">
        <v>1422</v>
      </c>
      <c r="B73" t="s">
        <v>1231</v>
      </c>
      <c r="C73">
        <v>1118</v>
      </c>
      <c r="D73">
        <v>2093</v>
      </c>
    </row>
    <row r="74" spans="1:4">
      <c r="A74" t="s">
        <v>1423</v>
      </c>
      <c r="B74" t="s">
        <v>1233</v>
      </c>
      <c r="C74">
        <v>1118</v>
      </c>
      <c r="D74">
        <v>2512</v>
      </c>
    </row>
    <row r="75" spans="1:4">
      <c r="A75" t="s">
        <v>1424</v>
      </c>
      <c r="B75" t="s">
        <v>1191</v>
      </c>
      <c r="C75">
        <v>1107</v>
      </c>
      <c r="D75">
        <v>2649</v>
      </c>
    </row>
    <row r="76" spans="1:4">
      <c r="A76" t="s">
        <v>1425</v>
      </c>
      <c r="B76" t="s">
        <v>1225</v>
      </c>
      <c r="C76">
        <v>1095</v>
      </c>
      <c r="D76">
        <v>1973</v>
      </c>
    </row>
    <row r="77" spans="1:4">
      <c r="A77" t="s">
        <v>1426</v>
      </c>
      <c r="B77" t="s">
        <v>1191</v>
      </c>
      <c r="C77">
        <v>1088</v>
      </c>
      <c r="D77">
        <v>1645</v>
      </c>
    </row>
    <row r="78" spans="1:4">
      <c r="A78" t="s">
        <v>1427</v>
      </c>
      <c r="B78" t="s">
        <v>1211</v>
      </c>
      <c r="C78">
        <v>1080</v>
      </c>
      <c r="D78">
        <v>1866</v>
      </c>
    </row>
    <row r="79" spans="1:4">
      <c r="A79" t="s">
        <v>1428</v>
      </c>
      <c r="B79" t="s">
        <v>1181</v>
      </c>
      <c r="C79">
        <v>1072</v>
      </c>
      <c r="D79">
        <v>2812</v>
      </c>
    </row>
    <row r="80" spans="1:4">
      <c r="A80" t="s">
        <v>1429</v>
      </c>
      <c r="B80" t="s">
        <v>1183</v>
      </c>
      <c r="C80">
        <v>1072</v>
      </c>
      <c r="D80">
        <v>1790</v>
      </c>
    </row>
    <row r="81" spans="1:4">
      <c r="A81" t="s">
        <v>1430</v>
      </c>
      <c r="B81" t="s">
        <v>1201</v>
      </c>
      <c r="C81">
        <v>1050</v>
      </c>
      <c r="D81">
        <v>1725</v>
      </c>
    </row>
    <row r="82" spans="1:4">
      <c r="A82" t="s">
        <v>1431</v>
      </c>
      <c r="B82" t="s">
        <v>1219</v>
      </c>
      <c r="C82">
        <v>1047</v>
      </c>
      <c r="D82">
        <v>2895</v>
      </c>
    </row>
    <row r="83" spans="1:4">
      <c r="A83" t="s">
        <v>1432</v>
      </c>
      <c r="B83" t="s">
        <v>1233</v>
      </c>
      <c r="C83">
        <v>1043</v>
      </c>
      <c r="D83">
        <v>1882</v>
      </c>
    </row>
    <row r="84" spans="1:4">
      <c r="A84" t="s">
        <v>1433</v>
      </c>
      <c r="B84" t="s">
        <v>1213</v>
      </c>
      <c r="C84">
        <v>1040</v>
      </c>
      <c r="D84">
        <v>2248</v>
      </c>
    </row>
    <row r="85" spans="1:4">
      <c r="A85" t="s">
        <v>1434</v>
      </c>
      <c r="B85" t="s">
        <v>1189</v>
      </c>
      <c r="C85">
        <v>1022</v>
      </c>
      <c r="D85">
        <v>2639</v>
      </c>
    </row>
    <row r="86" spans="1:4">
      <c r="A86" t="s">
        <v>1435</v>
      </c>
      <c r="B86" t="s">
        <v>1233</v>
      </c>
      <c r="C86">
        <v>1009</v>
      </c>
      <c r="D86">
        <v>1697</v>
      </c>
    </row>
    <row r="87" spans="1:4">
      <c r="A87" t="s">
        <v>1436</v>
      </c>
      <c r="B87" t="s">
        <v>1193</v>
      </c>
      <c r="C87">
        <v>1008</v>
      </c>
      <c r="D87">
        <v>1670</v>
      </c>
    </row>
    <row r="88" spans="1:4">
      <c r="A88" t="s">
        <v>1437</v>
      </c>
      <c r="B88" t="s">
        <v>1215</v>
      </c>
      <c r="C88">
        <v>1000</v>
      </c>
      <c r="D88">
        <v>2263</v>
      </c>
    </row>
    <row r="89" spans="1:4">
      <c r="A89" t="s">
        <v>1359</v>
      </c>
      <c r="B89" t="s">
        <v>1197</v>
      </c>
      <c r="C89">
        <v>1000</v>
      </c>
      <c r="D89">
        <v>2073</v>
      </c>
    </row>
    <row r="90" spans="1:4">
      <c r="A90" t="s">
        <v>1438</v>
      </c>
      <c r="B90" t="s">
        <v>1195</v>
      </c>
      <c r="C90">
        <v>998</v>
      </c>
      <c r="D90">
        <v>2310</v>
      </c>
    </row>
    <row r="91" spans="1:4">
      <c r="A91" t="s">
        <v>1439</v>
      </c>
      <c r="B91" t="s">
        <v>1181</v>
      </c>
      <c r="C91">
        <v>992</v>
      </c>
      <c r="D91">
        <v>2353</v>
      </c>
    </row>
    <row r="92" spans="1:4">
      <c r="A92" t="s">
        <v>1347</v>
      </c>
      <c r="B92" t="s">
        <v>1197</v>
      </c>
      <c r="C92">
        <v>983</v>
      </c>
      <c r="D92">
        <v>1913</v>
      </c>
    </row>
    <row r="93" spans="1:4">
      <c r="A93" t="s">
        <v>1440</v>
      </c>
      <c r="B93" t="s">
        <v>1233</v>
      </c>
      <c r="C93">
        <v>978</v>
      </c>
      <c r="D93">
        <v>1748</v>
      </c>
    </row>
    <row r="94" spans="1:4">
      <c r="A94" t="s">
        <v>1441</v>
      </c>
      <c r="B94" t="s">
        <v>1201</v>
      </c>
      <c r="C94">
        <v>973</v>
      </c>
      <c r="D94">
        <v>2463</v>
      </c>
    </row>
    <row r="95" spans="1:4">
      <c r="A95" t="s">
        <v>1442</v>
      </c>
      <c r="B95" t="s">
        <v>1199</v>
      </c>
      <c r="C95">
        <v>963</v>
      </c>
      <c r="D95">
        <v>1975</v>
      </c>
    </row>
    <row r="96" spans="1:4">
      <c r="A96" t="s">
        <v>1443</v>
      </c>
      <c r="B96" t="s">
        <v>1213</v>
      </c>
      <c r="C96">
        <v>962</v>
      </c>
      <c r="D96">
        <v>1658</v>
      </c>
    </row>
    <row r="97" spans="1:4">
      <c r="A97" t="s">
        <v>1444</v>
      </c>
      <c r="B97" t="s">
        <v>1181</v>
      </c>
      <c r="C97">
        <v>945</v>
      </c>
      <c r="D97">
        <v>1575</v>
      </c>
    </row>
    <row r="98" spans="1:4">
      <c r="A98" t="s">
        <v>1445</v>
      </c>
      <c r="B98" t="s">
        <v>1231</v>
      </c>
      <c r="C98">
        <v>942</v>
      </c>
      <c r="D98">
        <v>2044</v>
      </c>
    </row>
    <row r="99" spans="1:4">
      <c r="A99" t="s">
        <v>1350</v>
      </c>
      <c r="B99" t="s">
        <v>1197</v>
      </c>
      <c r="C99">
        <v>920</v>
      </c>
      <c r="D99">
        <v>2496</v>
      </c>
    </row>
    <row r="100" spans="1:4">
      <c r="A100" t="s">
        <v>1446</v>
      </c>
      <c r="B100" t="s">
        <v>1221</v>
      </c>
      <c r="C100">
        <v>912</v>
      </c>
      <c r="D100">
        <v>1634</v>
      </c>
    </row>
    <row r="101" spans="1:4">
      <c r="A101" t="s">
        <v>1447</v>
      </c>
      <c r="B101" t="s">
        <v>1193</v>
      </c>
      <c r="C101">
        <v>911</v>
      </c>
      <c r="D101">
        <v>1753</v>
      </c>
    </row>
    <row r="102" spans="1:4">
      <c r="A102" t="s">
        <v>1448</v>
      </c>
      <c r="B102" t="s">
        <v>1199</v>
      </c>
      <c r="C102">
        <v>910</v>
      </c>
      <c r="D102">
        <v>1615</v>
      </c>
    </row>
    <row r="103" spans="1:4">
      <c r="A103" t="s">
        <v>1449</v>
      </c>
      <c r="B103" t="s">
        <v>1225</v>
      </c>
      <c r="C103">
        <v>906</v>
      </c>
      <c r="D103">
        <v>1794</v>
      </c>
    </row>
    <row r="104" spans="1:4">
      <c r="A104" t="s">
        <v>1450</v>
      </c>
      <c r="B104" t="s">
        <v>1227</v>
      </c>
      <c r="C104">
        <v>901</v>
      </c>
      <c r="D104">
        <v>1564</v>
      </c>
    </row>
    <row r="105" spans="1:4">
      <c r="A105" t="s">
        <v>1451</v>
      </c>
      <c r="B105" t="s">
        <v>1237</v>
      </c>
      <c r="C105">
        <v>893</v>
      </c>
      <c r="D105">
        <v>1415</v>
      </c>
    </row>
    <row r="106" spans="1:4">
      <c r="A106" t="s">
        <v>1452</v>
      </c>
      <c r="B106" t="s">
        <v>1229</v>
      </c>
      <c r="C106">
        <v>881</v>
      </c>
      <c r="D106">
        <v>2075</v>
      </c>
    </row>
    <row r="107" spans="1:4">
      <c r="A107" t="s">
        <v>1453</v>
      </c>
      <c r="B107" t="s">
        <v>1191</v>
      </c>
      <c r="C107">
        <v>875</v>
      </c>
      <c r="D107">
        <v>1589</v>
      </c>
    </row>
    <row r="108" spans="1:4">
      <c r="A108" t="s">
        <v>1454</v>
      </c>
      <c r="B108" t="s">
        <v>1239</v>
      </c>
      <c r="C108">
        <v>871</v>
      </c>
      <c r="D108">
        <v>1956</v>
      </c>
    </row>
    <row r="109" spans="1:4">
      <c r="A109" t="s">
        <v>1455</v>
      </c>
      <c r="B109" t="s">
        <v>1193</v>
      </c>
      <c r="C109">
        <v>869</v>
      </c>
      <c r="D109">
        <v>1809</v>
      </c>
    </row>
    <row r="110" spans="1:4">
      <c r="A110" t="s">
        <v>1456</v>
      </c>
      <c r="B110" t="s">
        <v>1215</v>
      </c>
      <c r="C110">
        <v>864</v>
      </c>
      <c r="D110">
        <v>2390</v>
      </c>
    </row>
    <row r="111" spans="1:4">
      <c r="A111" t="s">
        <v>1358</v>
      </c>
      <c r="B111" t="s">
        <v>1197</v>
      </c>
      <c r="C111">
        <v>847</v>
      </c>
      <c r="D111">
        <v>1332</v>
      </c>
    </row>
    <row r="112" spans="1:4">
      <c r="A112" t="s">
        <v>1457</v>
      </c>
      <c r="B112" t="s">
        <v>1201</v>
      </c>
      <c r="C112">
        <v>846</v>
      </c>
      <c r="D112">
        <v>1878</v>
      </c>
    </row>
    <row r="113" spans="1:4">
      <c r="A113" t="s">
        <v>1458</v>
      </c>
      <c r="B113" t="s">
        <v>1231</v>
      </c>
      <c r="C113">
        <v>842</v>
      </c>
      <c r="D113">
        <v>1968</v>
      </c>
    </row>
    <row r="114" spans="1:4">
      <c r="A114" t="s">
        <v>1459</v>
      </c>
      <c r="B114" t="s">
        <v>1229</v>
      </c>
      <c r="C114">
        <v>838</v>
      </c>
      <c r="D114">
        <v>1643</v>
      </c>
    </row>
    <row r="115" spans="1:4">
      <c r="A115" t="s">
        <v>1460</v>
      </c>
      <c r="B115" t="s">
        <v>1193</v>
      </c>
      <c r="C115">
        <v>838</v>
      </c>
      <c r="D115">
        <v>1813</v>
      </c>
    </row>
    <row r="116" spans="1:4">
      <c r="A116" t="s">
        <v>1461</v>
      </c>
      <c r="B116" t="s">
        <v>1183</v>
      </c>
      <c r="C116">
        <v>837</v>
      </c>
      <c r="D116">
        <v>1675</v>
      </c>
    </row>
    <row r="117" spans="1:4">
      <c r="A117" t="s">
        <v>1462</v>
      </c>
      <c r="B117" t="s">
        <v>1203</v>
      </c>
      <c r="C117">
        <v>830</v>
      </c>
      <c r="D117">
        <v>1564</v>
      </c>
    </row>
    <row r="118" spans="1:4">
      <c r="A118" t="s">
        <v>1463</v>
      </c>
      <c r="B118" t="s">
        <v>1235</v>
      </c>
      <c r="C118">
        <v>827</v>
      </c>
      <c r="D118">
        <v>2018</v>
      </c>
    </row>
    <row r="119" spans="1:4">
      <c r="A119" t="s">
        <v>1464</v>
      </c>
      <c r="B119" t="s">
        <v>1227</v>
      </c>
      <c r="C119">
        <v>826</v>
      </c>
      <c r="D119">
        <v>1847</v>
      </c>
    </row>
    <row r="120" spans="1:4">
      <c r="A120" t="s">
        <v>1465</v>
      </c>
      <c r="B120" t="s">
        <v>1209</v>
      </c>
      <c r="C120">
        <v>822</v>
      </c>
      <c r="D120">
        <v>1438</v>
      </c>
    </row>
    <row r="121" spans="1:4">
      <c r="A121" t="s">
        <v>1466</v>
      </c>
      <c r="B121" t="s">
        <v>1213</v>
      </c>
      <c r="C121">
        <v>821</v>
      </c>
      <c r="D121">
        <v>1339</v>
      </c>
    </row>
    <row r="122" spans="1:4">
      <c r="A122" t="s">
        <v>1467</v>
      </c>
      <c r="B122" t="s">
        <v>1185</v>
      </c>
      <c r="C122">
        <v>819</v>
      </c>
      <c r="D122">
        <v>1520</v>
      </c>
    </row>
    <row r="123" spans="1:4">
      <c r="A123" t="s">
        <v>1468</v>
      </c>
      <c r="B123" t="s">
        <v>1211</v>
      </c>
      <c r="C123">
        <v>814</v>
      </c>
      <c r="D123">
        <v>1332</v>
      </c>
    </row>
    <row r="124" spans="1:4">
      <c r="A124" t="s">
        <v>1469</v>
      </c>
      <c r="B124" t="s">
        <v>1209</v>
      </c>
      <c r="C124">
        <v>813</v>
      </c>
      <c r="D124">
        <v>1762</v>
      </c>
    </row>
    <row r="125" spans="1:4">
      <c r="A125" t="s">
        <v>1470</v>
      </c>
      <c r="B125" t="s">
        <v>1233</v>
      </c>
      <c r="C125">
        <v>812</v>
      </c>
      <c r="D125">
        <v>1574</v>
      </c>
    </row>
    <row r="126" spans="1:4">
      <c r="A126" t="s">
        <v>1471</v>
      </c>
      <c r="B126" t="s">
        <v>1239</v>
      </c>
      <c r="C126">
        <v>804</v>
      </c>
      <c r="D126">
        <v>1845</v>
      </c>
    </row>
    <row r="127" spans="1:4">
      <c r="A127" t="s">
        <v>1472</v>
      </c>
      <c r="B127" t="s">
        <v>1205</v>
      </c>
      <c r="C127">
        <v>796</v>
      </c>
      <c r="D127">
        <v>1388</v>
      </c>
    </row>
    <row r="128" spans="1:4">
      <c r="A128" t="s">
        <v>1473</v>
      </c>
      <c r="B128" t="s">
        <v>1209</v>
      </c>
      <c r="C128">
        <v>782</v>
      </c>
      <c r="D128">
        <v>1872</v>
      </c>
    </row>
    <row r="129" spans="1:4">
      <c r="A129" t="s">
        <v>1474</v>
      </c>
      <c r="B129" t="s">
        <v>1181</v>
      </c>
      <c r="C129">
        <v>782</v>
      </c>
      <c r="D129">
        <v>1319</v>
      </c>
    </row>
    <row r="130" spans="1:4">
      <c r="A130" t="s">
        <v>1475</v>
      </c>
      <c r="B130" t="s">
        <v>1235</v>
      </c>
      <c r="C130">
        <v>778</v>
      </c>
      <c r="D130">
        <v>1247</v>
      </c>
    </row>
    <row r="131" spans="1:4">
      <c r="A131" t="s">
        <v>1476</v>
      </c>
      <c r="B131" t="s">
        <v>1205</v>
      </c>
      <c r="C131">
        <v>778</v>
      </c>
      <c r="D131">
        <v>1455</v>
      </c>
    </row>
    <row r="132" spans="1:4">
      <c r="A132" t="s">
        <v>1477</v>
      </c>
      <c r="B132" t="s">
        <v>1181</v>
      </c>
      <c r="C132">
        <v>774</v>
      </c>
      <c r="D132">
        <v>1536</v>
      </c>
    </row>
    <row r="133" spans="1:4">
      <c r="A133" t="s">
        <v>1478</v>
      </c>
      <c r="B133" t="s">
        <v>1237</v>
      </c>
      <c r="C133">
        <v>774</v>
      </c>
      <c r="D133">
        <v>1243</v>
      </c>
    </row>
    <row r="134" spans="1:4">
      <c r="A134" t="s">
        <v>1479</v>
      </c>
      <c r="B134" t="s">
        <v>1213</v>
      </c>
      <c r="C134">
        <v>773</v>
      </c>
      <c r="D134">
        <v>1635</v>
      </c>
    </row>
    <row r="135" spans="1:4">
      <c r="A135" t="s">
        <v>1317</v>
      </c>
      <c r="B135" t="s">
        <v>1207</v>
      </c>
      <c r="C135">
        <v>773</v>
      </c>
      <c r="D135">
        <v>1416</v>
      </c>
    </row>
    <row r="136" spans="1:4">
      <c r="A136" t="s">
        <v>1480</v>
      </c>
      <c r="B136" t="s">
        <v>1215</v>
      </c>
      <c r="C136">
        <v>771</v>
      </c>
      <c r="D136">
        <v>1583</v>
      </c>
    </row>
    <row r="137" spans="1:4">
      <c r="A137" t="s">
        <v>1481</v>
      </c>
      <c r="B137" t="s">
        <v>1225</v>
      </c>
      <c r="C137">
        <v>770</v>
      </c>
      <c r="D137">
        <v>1624</v>
      </c>
    </row>
    <row r="138" spans="1:4">
      <c r="A138" t="s">
        <v>1482</v>
      </c>
      <c r="B138" t="s">
        <v>1237</v>
      </c>
      <c r="C138">
        <v>760</v>
      </c>
      <c r="D138">
        <v>1404</v>
      </c>
    </row>
    <row r="139" spans="1:4">
      <c r="A139" t="s">
        <v>1483</v>
      </c>
      <c r="B139" t="s">
        <v>1221</v>
      </c>
      <c r="C139">
        <v>755</v>
      </c>
      <c r="D139">
        <v>1302</v>
      </c>
    </row>
    <row r="140" spans="1:4">
      <c r="A140" t="s">
        <v>1484</v>
      </c>
      <c r="B140" t="s">
        <v>1183</v>
      </c>
      <c r="C140">
        <v>751</v>
      </c>
      <c r="D140">
        <v>1343</v>
      </c>
    </row>
    <row r="141" spans="1:4">
      <c r="A141" t="s">
        <v>1485</v>
      </c>
      <c r="B141" t="s">
        <v>1195</v>
      </c>
      <c r="C141">
        <v>750</v>
      </c>
      <c r="D141">
        <v>1326</v>
      </c>
    </row>
    <row r="142" spans="1:4">
      <c r="A142" t="s">
        <v>1486</v>
      </c>
      <c r="B142" t="s">
        <v>1199</v>
      </c>
      <c r="C142">
        <v>749</v>
      </c>
      <c r="D142">
        <v>1638</v>
      </c>
    </row>
    <row r="143" spans="1:4">
      <c r="A143" t="s">
        <v>1487</v>
      </c>
      <c r="B143" t="s">
        <v>1193</v>
      </c>
      <c r="C143">
        <v>749</v>
      </c>
      <c r="D143">
        <v>1474</v>
      </c>
    </row>
    <row r="144" spans="1:4">
      <c r="A144" t="s">
        <v>1488</v>
      </c>
      <c r="B144" t="s">
        <v>1217</v>
      </c>
      <c r="C144">
        <v>738</v>
      </c>
      <c r="D144">
        <v>1338</v>
      </c>
    </row>
    <row r="145" spans="1:4">
      <c r="A145" t="s">
        <v>1489</v>
      </c>
      <c r="B145" t="s">
        <v>1223</v>
      </c>
      <c r="C145">
        <v>733</v>
      </c>
      <c r="D145">
        <v>1638</v>
      </c>
    </row>
    <row r="146" spans="1:4">
      <c r="A146" t="s">
        <v>1490</v>
      </c>
      <c r="B146" t="s">
        <v>1183</v>
      </c>
      <c r="C146">
        <v>731</v>
      </c>
      <c r="D146">
        <v>1502</v>
      </c>
    </row>
    <row r="147" spans="1:4">
      <c r="A147" t="s">
        <v>1491</v>
      </c>
      <c r="B147" t="s">
        <v>1239</v>
      </c>
      <c r="C147">
        <v>726</v>
      </c>
      <c r="D147">
        <v>1611</v>
      </c>
    </row>
    <row r="148" spans="1:4">
      <c r="A148" t="s">
        <v>1492</v>
      </c>
      <c r="B148" t="s">
        <v>1215</v>
      </c>
      <c r="C148">
        <v>725</v>
      </c>
      <c r="D148">
        <v>1507</v>
      </c>
    </row>
    <row r="149" spans="1:4">
      <c r="A149" t="s">
        <v>1493</v>
      </c>
      <c r="B149" t="s">
        <v>1199</v>
      </c>
      <c r="C149">
        <v>725</v>
      </c>
      <c r="D149">
        <v>1310</v>
      </c>
    </row>
    <row r="150" spans="1:4">
      <c r="A150" t="s">
        <v>1494</v>
      </c>
      <c r="B150" t="s">
        <v>1233</v>
      </c>
      <c r="C150">
        <v>722</v>
      </c>
      <c r="D150">
        <v>2230</v>
      </c>
    </row>
    <row r="151" spans="1:4">
      <c r="A151" t="s">
        <v>1495</v>
      </c>
      <c r="B151" t="s">
        <v>1183</v>
      </c>
      <c r="C151">
        <v>721</v>
      </c>
      <c r="D151">
        <v>1974</v>
      </c>
    </row>
    <row r="152" spans="1:4">
      <c r="A152" t="s">
        <v>1496</v>
      </c>
      <c r="B152" t="s">
        <v>1203</v>
      </c>
      <c r="C152">
        <v>719</v>
      </c>
      <c r="D152">
        <v>1683</v>
      </c>
    </row>
    <row r="153" spans="1:4">
      <c r="A153" t="s">
        <v>1497</v>
      </c>
      <c r="B153" t="s">
        <v>1199</v>
      </c>
      <c r="C153">
        <v>719</v>
      </c>
      <c r="D153">
        <v>1241</v>
      </c>
    </row>
    <row r="154" spans="1:4">
      <c r="A154" t="s">
        <v>1498</v>
      </c>
      <c r="B154" t="s">
        <v>1221</v>
      </c>
      <c r="C154">
        <v>717</v>
      </c>
      <c r="D154">
        <v>1548</v>
      </c>
    </row>
    <row r="155" spans="1:4">
      <c r="A155" t="s">
        <v>1306</v>
      </c>
      <c r="B155" t="s">
        <v>1207</v>
      </c>
      <c r="C155">
        <v>710</v>
      </c>
      <c r="D155">
        <v>1123</v>
      </c>
    </row>
    <row r="156" spans="1:4">
      <c r="A156" t="s">
        <v>1499</v>
      </c>
      <c r="B156" t="s">
        <v>1239</v>
      </c>
      <c r="C156">
        <v>708</v>
      </c>
      <c r="D156">
        <v>1135</v>
      </c>
    </row>
    <row r="157" spans="1:4">
      <c r="A157" t="s">
        <v>1500</v>
      </c>
      <c r="B157" t="s">
        <v>1193</v>
      </c>
      <c r="C157">
        <v>701</v>
      </c>
      <c r="D157">
        <v>1596</v>
      </c>
    </row>
    <row r="158" spans="1:4">
      <c r="A158" t="s">
        <v>1501</v>
      </c>
      <c r="B158" t="s">
        <v>1205</v>
      </c>
      <c r="C158">
        <v>698</v>
      </c>
      <c r="D158">
        <v>1102</v>
      </c>
    </row>
    <row r="159" spans="1:4">
      <c r="A159" t="s">
        <v>1502</v>
      </c>
      <c r="B159" t="s">
        <v>1201</v>
      </c>
      <c r="C159">
        <v>695</v>
      </c>
      <c r="D159">
        <v>1402</v>
      </c>
    </row>
    <row r="160" spans="1:4">
      <c r="A160" t="s">
        <v>1503</v>
      </c>
      <c r="B160" t="s">
        <v>1237</v>
      </c>
      <c r="C160">
        <v>691</v>
      </c>
      <c r="D160">
        <v>1534</v>
      </c>
    </row>
    <row r="161" spans="1:4">
      <c r="A161" t="s">
        <v>1504</v>
      </c>
      <c r="B161" t="s">
        <v>1185</v>
      </c>
      <c r="C161">
        <v>688</v>
      </c>
      <c r="D161">
        <v>1562</v>
      </c>
    </row>
    <row r="162" spans="1:4">
      <c r="A162" t="s">
        <v>1505</v>
      </c>
      <c r="B162" t="s">
        <v>1189</v>
      </c>
      <c r="C162">
        <v>688</v>
      </c>
      <c r="D162">
        <v>1376</v>
      </c>
    </row>
    <row r="163" spans="1:4">
      <c r="A163" t="s">
        <v>1506</v>
      </c>
      <c r="B163" t="s">
        <v>1201</v>
      </c>
      <c r="C163">
        <v>684</v>
      </c>
      <c r="D163">
        <v>1619</v>
      </c>
    </row>
    <row r="164" spans="1:4">
      <c r="A164" t="s">
        <v>1507</v>
      </c>
      <c r="B164" t="s">
        <v>1227</v>
      </c>
      <c r="C164">
        <v>683</v>
      </c>
      <c r="D164">
        <v>1583</v>
      </c>
    </row>
    <row r="165" spans="1:4">
      <c r="A165" t="s">
        <v>1508</v>
      </c>
      <c r="B165" t="s">
        <v>1189</v>
      </c>
      <c r="C165">
        <v>683</v>
      </c>
      <c r="D165">
        <v>1359</v>
      </c>
    </row>
    <row r="166" spans="1:4">
      <c r="A166" t="s">
        <v>1509</v>
      </c>
      <c r="B166" t="s">
        <v>1213</v>
      </c>
      <c r="C166">
        <v>681</v>
      </c>
      <c r="D166">
        <v>1455</v>
      </c>
    </row>
    <row r="167" spans="1:4">
      <c r="A167" t="s">
        <v>1510</v>
      </c>
      <c r="B167" t="s">
        <v>1181</v>
      </c>
      <c r="C167">
        <v>680</v>
      </c>
      <c r="D167">
        <v>1552</v>
      </c>
    </row>
    <row r="168" spans="1:4">
      <c r="A168" t="s">
        <v>1511</v>
      </c>
      <c r="B168" t="s">
        <v>1211</v>
      </c>
      <c r="C168">
        <v>678</v>
      </c>
      <c r="D168">
        <v>1293</v>
      </c>
    </row>
    <row r="169" spans="1:4">
      <c r="A169" t="s">
        <v>1512</v>
      </c>
      <c r="B169" t="s">
        <v>1227</v>
      </c>
      <c r="C169">
        <v>678</v>
      </c>
      <c r="D169">
        <v>1261</v>
      </c>
    </row>
    <row r="170" spans="1:4">
      <c r="A170" t="s">
        <v>1513</v>
      </c>
      <c r="B170" t="s">
        <v>1229</v>
      </c>
      <c r="C170">
        <v>677</v>
      </c>
      <c r="D170">
        <v>1222</v>
      </c>
    </row>
    <row r="171" spans="1:4">
      <c r="A171" t="s">
        <v>1514</v>
      </c>
      <c r="B171" t="s">
        <v>1187</v>
      </c>
      <c r="C171">
        <v>673</v>
      </c>
      <c r="D171">
        <v>1558</v>
      </c>
    </row>
    <row r="172" spans="1:4">
      <c r="A172" t="s">
        <v>1515</v>
      </c>
      <c r="B172" t="s">
        <v>1223</v>
      </c>
      <c r="C172">
        <v>670</v>
      </c>
      <c r="D172">
        <v>1417</v>
      </c>
    </row>
    <row r="173" spans="1:4">
      <c r="A173" t="s">
        <v>1516</v>
      </c>
      <c r="B173" t="s">
        <v>1235</v>
      </c>
      <c r="C173">
        <v>666</v>
      </c>
      <c r="D173">
        <v>1312</v>
      </c>
    </row>
    <row r="174" spans="1:4">
      <c r="A174" t="s">
        <v>1517</v>
      </c>
      <c r="B174" t="s">
        <v>1225</v>
      </c>
      <c r="C174">
        <v>664</v>
      </c>
      <c r="D174">
        <v>1374</v>
      </c>
    </row>
    <row r="175" spans="1:4">
      <c r="A175" t="s">
        <v>1518</v>
      </c>
      <c r="B175" t="s">
        <v>1231</v>
      </c>
      <c r="C175">
        <v>664</v>
      </c>
      <c r="D175">
        <v>1584</v>
      </c>
    </row>
    <row r="176" spans="1:4">
      <c r="A176" t="s">
        <v>1519</v>
      </c>
      <c r="B176" t="s">
        <v>1217</v>
      </c>
      <c r="C176">
        <v>664</v>
      </c>
      <c r="D176">
        <v>1854</v>
      </c>
    </row>
    <row r="177" spans="1:4">
      <c r="A177" t="s">
        <v>1520</v>
      </c>
      <c r="B177" t="s">
        <v>1213</v>
      </c>
      <c r="C177">
        <v>656</v>
      </c>
      <c r="D177">
        <v>1424</v>
      </c>
    </row>
    <row r="178" spans="1:4">
      <c r="A178" t="s">
        <v>1521</v>
      </c>
      <c r="B178" t="s">
        <v>1203</v>
      </c>
      <c r="C178">
        <v>650</v>
      </c>
      <c r="D178">
        <v>1560</v>
      </c>
    </row>
    <row r="179" spans="1:4">
      <c r="A179" t="s">
        <v>1522</v>
      </c>
      <c r="B179" t="s">
        <v>1237</v>
      </c>
      <c r="C179">
        <v>644</v>
      </c>
      <c r="D179">
        <v>2071</v>
      </c>
    </row>
    <row r="180" spans="1:4">
      <c r="A180" t="s">
        <v>1523</v>
      </c>
      <c r="B180" t="s">
        <v>1221</v>
      </c>
      <c r="C180">
        <v>638</v>
      </c>
      <c r="D180">
        <v>1927</v>
      </c>
    </row>
    <row r="181" spans="1:4">
      <c r="A181" t="s">
        <v>1524</v>
      </c>
      <c r="B181" t="s">
        <v>1223</v>
      </c>
      <c r="C181">
        <v>630</v>
      </c>
      <c r="D181">
        <v>1286</v>
      </c>
    </row>
    <row r="182" spans="1:4">
      <c r="A182" t="s">
        <v>1525</v>
      </c>
      <c r="B182" t="s">
        <v>1183</v>
      </c>
      <c r="C182">
        <v>630</v>
      </c>
      <c r="D182">
        <v>1304</v>
      </c>
    </row>
    <row r="183" spans="1:4">
      <c r="A183" t="s">
        <v>1526</v>
      </c>
      <c r="B183" t="s">
        <v>1223</v>
      </c>
      <c r="C183">
        <v>619</v>
      </c>
      <c r="D183">
        <v>1612</v>
      </c>
    </row>
    <row r="184" spans="1:4">
      <c r="A184" t="s">
        <v>1527</v>
      </c>
      <c r="B184" t="s">
        <v>1237</v>
      </c>
      <c r="C184">
        <v>618</v>
      </c>
      <c r="D184">
        <v>1605</v>
      </c>
    </row>
    <row r="185" spans="1:4">
      <c r="A185" t="s">
        <v>1528</v>
      </c>
      <c r="B185" t="s">
        <v>1233</v>
      </c>
      <c r="C185">
        <v>616</v>
      </c>
      <c r="D185">
        <v>1361</v>
      </c>
    </row>
    <row r="186" spans="1:4">
      <c r="A186" t="s">
        <v>1529</v>
      </c>
      <c r="B186" t="s">
        <v>1199</v>
      </c>
      <c r="C186">
        <v>612</v>
      </c>
      <c r="D186">
        <v>2020</v>
      </c>
    </row>
    <row r="187" spans="1:4">
      <c r="A187" t="s">
        <v>1530</v>
      </c>
      <c r="B187" t="s">
        <v>1219</v>
      </c>
      <c r="C187">
        <v>608</v>
      </c>
      <c r="D187">
        <v>1293</v>
      </c>
    </row>
    <row r="188" spans="1:4">
      <c r="A188" t="s">
        <v>1531</v>
      </c>
      <c r="B188" t="s">
        <v>1209</v>
      </c>
      <c r="C188">
        <v>607</v>
      </c>
      <c r="D188">
        <v>1643</v>
      </c>
    </row>
    <row r="189" spans="1:4">
      <c r="A189" t="s">
        <v>1532</v>
      </c>
      <c r="B189" t="s">
        <v>1217</v>
      </c>
      <c r="C189">
        <v>605</v>
      </c>
      <c r="D189">
        <v>991</v>
      </c>
    </row>
    <row r="190" spans="1:4">
      <c r="A190" t="s">
        <v>1533</v>
      </c>
      <c r="B190" t="s">
        <v>1185</v>
      </c>
      <c r="C190">
        <v>604</v>
      </c>
      <c r="D190">
        <v>1108</v>
      </c>
    </row>
    <row r="191" spans="1:4">
      <c r="A191" t="s">
        <v>1534</v>
      </c>
      <c r="B191" t="s">
        <v>1183</v>
      </c>
      <c r="C191">
        <v>600</v>
      </c>
      <c r="D191">
        <v>828</v>
      </c>
    </row>
    <row r="192" spans="1:4">
      <c r="A192" t="s">
        <v>1535</v>
      </c>
      <c r="B192" t="s">
        <v>1237</v>
      </c>
      <c r="C192">
        <v>599</v>
      </c>
      <c r="D192">
        <v>984</v>
      </c>
    </row>
    <row r="193" spans="1:4">
      <c r="A193" t="s">
        <v>1343</v>
      </c>
      <c r="B193" t="s">
        <v>1197</v>
      </c>
      <c r="C193">
        <v>596</v>
      </c>
      <c r="D193">
        <v>1493</v>
      </c>
    </row>
    <row r="194" spans="1:4">
      <c r="A194" t="s">
        <v>1536</v>
      </c>
      <c r="B194" t="s">
        <v>1211</v>
      </c>
      <c r="C194">
        <v>595</v>
      </c>
      <c r="D194">
        <v>1523</v>
      </c>
    </row>
    <row r="195" spans="1:4">
      <c r="A195" t="s">
        <v>1537</v>
      </c>
      <c r="B195" t="s">
        <v>1187</v>
      </c>
      <c r="C195">
        <v>594</v>
      </c>
      <c r="D195">
        <v>948</v>
      </c>
    </row>
    <row r="196" spans="1:4">
      <c r="A196" t="s">
        <v>1538</v>
      </c>
      <c r="B196" t="s">
        <v>1239</v>
      </c>
      <c r="C196">
        <v>592</v>
      </c>
      <c r="D196">
        <v>1442</v>
      </c>
    </row>
    <row r="197" spans="1:4">
      <c r="A197" t="s">
        <v>1539</v>
      </c>
      <c r="B197" t="s">
        <v>1211</v>
      </c>
      <c r="C197">
        <v>585</v>
      </c>
      <c r="D197">
        <v>1473</v>
      </c>
    </row>
    <row r="198" spans="1:4">
      <c r="A198" t="s">
        <v>1540</v>
      </c>
      <c r="B198" t="s">
        <v>1195</v>
      </c>
      <c r="C198">
        <v>585</v>
      </c>
      <c r="D198">
        <v>988</v>
      </c>
    </row>
    <row r="199" spans="1:4">
      <c r="A199" t="s">
        <v>1541</v>
      </c>
      <c r="B199" t="s">
        <v>1205</v>
      </c>
      <c r="C199">
        <v>583</v>
      </c>
      <c r="D199">
        <v>1075</v>
      </c>
    </row>
    <row r="200" spans="1:4">
      <c r="A200" t="s">
        <v>1542</v>
      </c>
      <c r="B200" t="s">
        <v>1215</v>
      </c>
      <c r="C200">
        <v>582</v>
      </c>
      <c r="D200">
        <v>1484</v>
      </c>
    </row>
    <row r="201" spans="1:4">
      <c r="A201" t="s">
        <v>1543</v>
      </c>
      <c r="B201" t="s">
        <v>1209</v>
      </c>
      <c r="C201">
        <v>579</v>
      </c>
      <c r="D201">
        <v>1209</v>
      </c>
    </row>
    <row r="202" spans="1:4">
      <c r="A202" t="s">
        <v>1544</v>
      </c>
      <c r="B202" t="s">
        <v>1217</v>
      </c>
      <c r="C202">
        <v>577</v>
      </c>
      <c r="D202">
        <v>1310</v>
      </c>
    </row>
    <row r="203" spans="1:4">
      <c r="A203" t="s">
        <v>1545</v>
      </c>
      <c r="B203" t="s">
        <v>1229</v>
      </c>
      <c r="C203">
        <v>576</v>
      </c>
      <c r="D203">
        <v>1300</v>
      </c>
    </row>
    <row r="204" spans="1:4">
      <c r="A204" t="s">
        <v>1546</v>
      </c>
      <c r="B204" t="s">
        <v>1221</v>
      </c>
      <c r="C204">
        <v>571</v>
      </c>
      <c r="D204">
        <v>1510</v>
      </c>
    </row>
    <row r="205" spans="1:4">
      <c r="A205" t="s">
        <v>1547</v>
      </c>
      <c r="B205" t="s">
        <v>1237</v>
      </c>
      <c r="C205">
        <v>570</v>
      </c>
      <c r="D205">
        <v>998</v>
      </c>
    </row>
    <row r="206" spans="1:4">
      <c r="A206" t="s">
        <v>1548</v>
      </c>
      <c r="B206" t="s">
        <v>1211</v>
      </c>
      <c r="C206">
        <v>568</v>
      </c>
      <c r="D206">
        <v>1294</v>
      </c>
    </row>
    <row r="207" spans="1:4">
      <c r="A207" t="s">
        <v>1549</v>
      </c>
      <c r="B207" t="s">
        <v>1223</v>
      </c>
      <c r="C207">
        <v>567</v>
      </c>
      <c r="D207">
        <v>1078</v>
      </c>
    </row>
    <row r="208" spans="1:4">
      <c r="A208" t="s">
        <v>1550</v>
      </c>
      <c r="B208" t="s">
        <v>1189</v>
      </c>
      <c r="C208">
        <v>567</v>
      </c>
      <c r="D208">
        <v>1191</v>
      </c>
    </row>
    <row r="209" spans="1:4">
      <c r="A209" t="s">
        <v>1551</v>
      </c>
      <c r="B209" t="s">
        <v>1187</v>
      </c>
      <c r="C209">
        <v>567</v>
      </c>
      <c r="D209">
        <v>942</v>
      </c>
    </row>
    <row r="210" spans="1:4">
      <c r="A210" t="s">
        <v>1552</v>
      </c>
      <c r="B210" t="s">
        <v>1189</v>
      </c>
      <c r="C210">
        <v>566</v>
      </c>
      <c r="D210">
        <v>1187</v>
      </c>
    </row>
    <row r="211" spans="1:4">
      <c r="A211" t="s">
        <v>1553</v>
      </c>
      <c r="B211" t="s">
        <v>1235</v>
      </c>
      <c r="C211">
        <v>564</v>
      </c>
      <c r="D211">
        <v>1013</v>
      </c>
    </row>
    <row r="212" spans="1:4">
      <c r="A212" t="s">
        <v>1554</v>
      </c>
      <c r="B212" t="s">
        <v>1229</v>
      </c>
      <c r="C212">
        <v>556</v>
      </c>
      <c r="D212">
        <v>1106</v>
      </c>
    </row>
    <row r="213" spans="1:4">
      <c r="A213" t="s">
        <v>1555</v>
      </c>
      <c r="B213" t="s">
        <v>1195</v>
      </c>
      <c r="C213">
        <v>551</v>
      </c>
      <c r="D213">
        <v>1340</v>
      </c>
    </row>
    <row r="214" spans="1:4">
      <c r="A214" t="s">
        <v>1307</v>
      </c>
      <c r="B214" t="s">
        <v>1207</v>
      </c>
      <c r="C214">
        <v>548</v>
      </c>
      <c r="D214">
        <v>1166</v>
      </c>
    </row>
    <row r="215" spans="1:4">
      <c r="A215" t="s">
        <v>1556</v>
      </c>
      <c r="B215" t="s">
        <v>1239</v>
      </c>
      <c r="C215">
        <v>546</v>
      </c>
      <c r="D215">
        <v>1314</v>
      </c>
    </row>
    <row r="216" spans="1:4">
      <c r="A216" t="s">
        <v>1557</v>
      </c>
      <c r="B216" t="s">
        <v>1217</v>
      </c>
      <c r="C216">
        <v>543</v>
      </c>
      <c r="D216">
        <v>1243</v>
      </c>
    </row>
    <row r="217" spans="1:4">
      <c r="A217" t="s">
        <v>1558</v>
      </c>
      <c r="B217" t="s">
        <v>1225</v>
      </c>
      <c r="C217">
        <v>540</v>
      </c>
      <c r="D217">
        <v>1086</v>
      </c>
    </row>
    <row r="218" spans="1:4">
      <c r="A218" t="s">
        <v>1559</v>
      </c>
      <c r="B218" t="s">
        <v>1185</v>
      </c>
      <c r="C218">
        <v>540</v>
      </c>
      <c r="D218">
        <v>1386</v>
      </c>
    </row>
    <row r="219" spans="1:4">
      <c r="A219" t="s">
        <v>1560</v>
      </c>
      <c r="B219" t="s">
        <v>1213</v>
      </c>
      <c r="C219">
        <v>540</v>
      </c>
      <c r="D219">
        <v>1007</v>
      </c>
    </row>
    <row r="220" spans="1:4">
      <c r="A220" t="s">
        <v>1561</v>
      </c>
      <c r="B220" t="s">
        <v>1203</v>
      </c>
      <c r="C220">
        <v>540</v>
      </c>
      <c r="D220">
        <v>954</v>
      </c>
    </row>
    <row r="221" spans="1:4">
      <c r="A221" t="s">
        <v>1562</v>
      </c>
      <c r="B221" t="s">
        <v>1235</v>
      </c>
      <c r="C221">
        <v>533</v>
      </c>
      <c r="D221">
        <v>1230</v>
      </c>
    </row>
    <row r="222" spans="1:4">
      <c r="A222" t="s">
        <v>1563</v>
      </c>
      <c r="B222" t="s">
        <v>1223</v>
      </c>
      <c r="C222">
        <v>533</v>
      </c>
      <c r="D222">
        <v>1095</v>
      </c>
    </row>
    <row r="223" spans="1:4">
      <c r="A223" t="s">
        <v>1564</v>
      </c>
      <c r="B223" t="s">
        <v>1225</v>
      </c>
      <c r="C223">
        <v>533</v>
      </c>
      <c r="D223">
        <v>1015</v>
      </c>
    </row>
    <row r="224" spans="1:4">
      <c r="A224" t="s">
        <v>1565</v>
      </c>
      <c r="B224" t="s">
        <v>1209</v>
      </c>
      <c r="C224">
        <v>531</v>
      </c>
      <c r="D224">
        <v>1248</v>
      </c>
    </row>
    <row r="225" spans="1:4">
      <c r="A225" t="s">
        <v>1566</v>
      </c>
      <c r="B225" t="s">
        <v>1227</v>
      </c>
      <c r="C225">
        <v>530</v>
      </c>
      <c r="D225">
        <v>1288</v>
      </c>
    </row>
    <row r="226" spans="1:4">
      <c r="A226" t="s">
        <v>1349</v>
      </c>
      <c r="B226" t="s">
        <v>1197</v>
      </c>
      <c r="C226">
        <v>528</v>
      </c>
      <c r="D226">
        <v>882</v>
      </c>
    </row>
    <row r="227" spans="1:4">
      <c r="A227" t="s">
        <v>1567</v>
      </c>
      <c r="B227" t="s">
        <v>1189</v>
      </c>
      <c r="C227">
        <v>525</v>
      </c>
      <c r="D227">
        <v>1197</v>
      </c>
    </row>
    <row r="228" spans="1:4">
      <c r="A228" t="s">
        <v>1568</v>
      </c>
      <c r="B228" t="s">
        <v>1183</v>
      </c>
      <c r="C228">
        <v>522</v>
      </c>
      <c r="D228">
        <v>1026</v>
      </c>
    </row>
    <row r="229" spans="1:4">
      <c r="A229" t="s">
        <v>1356</v>
      </c>
      <c r="B229" t="s">
        <v>1197</v>
      </c>
      <c r="C229">
        <v>518</v>
      </c>
      <c r="D229">
        <v>1029</v>
      </c>
    </row>
    <row r="230" spans="1:4">
      <c r="A230" t="s">
        <v>1569</v>
      </c>
      <c r="B230" t="s">
        <v>1181</v>
      </c>
      <c r="C230">
        <v>516</v>
      </c>
      <c r="D230">
        <v>1079</v>
      </c>
    </row>
    <row r="231" spans="1:4">
      <c r="A231" t="s">
        <v>1570</v>
      </c>
      <c r="B231" t="s">
        <v>1191</v>
      </c>
      <c r="C231">
        <v>511</v>
      </c>
      <c r="D231">
        <v>1022</v>
      </c>
    </row>
    <row r="232" spans="1:4">
      <c r="A232" t="s">
        <v>1571</v>
      </c>
      <c r="B232" t="s">
        <v>1227</v>
      </c>
      <c r="C232">
        <v>511</v>
      </c>
      <c r="D232">
        <v>1132</v>
      </c>
    </row>
    <row r="233" spans="1:4">
      <c r="A233" t="s">
        <v>1572</v>
      </c>
      <c r="B233" t="s">
        <v>1223</v>
      </c>
      <c r="C233">
        <v>504</v>
      </c>
      <c r="D233">
        <v>1631</v>
      </c>
    </row>
    <row r="234" spans="1:4">
      <c r="A234" t="s">
        <v>1573</v>
      </c>
      <c r="B234" t="s">
        <v>1187</v>
      </c>
      <c r="C234">
        <v>503</v>
      </c>
      <c r="D234">
        <v>1074</v>
      </c>
    </row>
    <row r="235" spans="1:4">
      <c r="A235" t="s">
        <v>1574</v>
      </c>
      <c r="B235" t="s">
        <v>1235</v>
      </c>
      <c r="C235">
        <v>500</v>
      </c>
      <c r="D235">
        <v>940</v>
      </c>
    </row>
    <row r="236" spans="1:4">
      <c r="A236" t="s">
        <v>1575</v>
      </c>
      <c r="B236" t="s">
        <v>1219</v>
      </c>
      <c r="C236">
        <v>497</v>
      </c>
      <c r="D236">
        <v>1044</v>
      </c>
    </row>
    <row r="237" spans="1:4">
      <c r="A237" t="s">
        <v>1576</v>
      </c>
      <c r="B237" t="s">
        <v>1193</v>
      </c>
      <c r="C237">
        <v>496</v>
      </c>
      <c r="D237">
        <v>741</v>
      </c>
    </row>
    <row r="238" spans="1:4">
      <c r="A238" t="s">
        <v>1577</v>
      </c>
      <c r="B238" t="s">
        <v>1211</v>
      </c>
      <c r="C238">
        <v>492</v>
      </c>
      <c r="D238">
        <v>998</v>
      </c>
    </row>
    <row r="239" spans="1:4">
      <c r="A239" t="s">
        <v>1578</v>
      </c>
      <c r="B239" t="s">
        <v>1181</v>
      </c>
      <c r="C239">
        <v>490</v>
      </c>
      <c r="D239">
        <v>1359</v>
      </c>
    </row>
    <row r="240" spans="1:4">
      <c r="A240" t="s">
        <v>1579</v>
      </c>
      <c r="B240" t="s">
        <v>1211</v>
      </c>
      <c r="C240">
        <v>481</v>
      </c>
      <c r="D240">
        <v>1206</v>
      </c>
    </row>
    <row r="241" spans="1:4">
      <c r="A241" t="s">
        <v>1580</v>
      </c>
      <c r="B241" t="s">
        <v>1221</v>
      </c>
      <c r="C241">
        <v>480</v>
      </c>
      <c r="D241">
        <v>1107</v>
      </c>
    </row>
    <row r="242" spans="1:4">
      <c r="A242" t="s">
        <v>1581</v>
      </c>
      <c r="B242" t="s">
        <v>1201</v>
      </c>
      <c r="C242">
        <v>479</v>
      </c>
      <c r="D242">
        <v>816</v>
      </c>
    </row>
    <row r="243" spans="1:4">
      <c r="A243" t="s">
        <v>1582</v>
      </c>
      <c r="B243" t="s">
        <v>1205</v>
      </c>
      <c r="C243">
        <v>474</v>
      </c>
      <c r="D243">
        <v>1480</v>
      </c>
    </row>
    <row r="244" spans="1:4">
      <c r="A244" t="s">
        <v>1583</v>
      </c>
      <c r="B244" t="s">
        <v>1191</v>
      </c>
      <c r="C244">
        <v>470</v>
      </c>
      <c r="D244">
        <v>1030</v>
      </c>
    </row>
    <row r="245" spans="1:4">
      <c r="A245" t="s">
        <v>1308</v>
      </c>
      <c r="B245" t="s">
        <v>1207</v>
      </c>
      <c r="C245">
        <v>461</v>
      </c>
      <c r="D245">
        <v>871</v>
      </c>
    </row>
    <row r="246" spans="1:4">
      <c r="A246" t="s">
        <v>1584</v>
      </c>
      <c r="B246" t="s">
        <v>1203</v>
      </c>
      <c r="C246">
        <v>458</v>
      </c>
      <c r="D246">
        <v>1058</v>
      </c>
    </row>
    <row r="247" spans="1:4">
      <c r="A247" t="s">
        <v>1585</v>
      </c>
      <c r="B247" t="s">
        <v>1231</v>
      </c>
      <c r="C247">
        <v>455</v>
      </c>
      <c r="D247">
        <v>1175</v>
      </c>
    </row>
    <row r="248" spans="1:4">
      <c r="A248" t="s">
        <v>1586</v>
      </c>
      <c r="B248" t="s">
        <v>1187</v>
      </c>
      <c r="C248">
        <v>454</v>
      </c>
      <c r="D248">
        <v>1229</v>
      </c>
    </row>
    <row r="249" spans="1:4">
      <c r="A249" t="s">
        <v>1587</v>
      </c>
      <c r="B249" t="s">
        <v>1225</v>
      </c>
      <c r="C249">
        <v>452</v>
      </c>
      <c r="D249">
        <v>800</v>
      </c>
    </row>
    <row r="250" spans="1:4">
      <c r="A250" t="s">
        <v>1588</v>
      </c>
      <c r="B250" t="s">
        <v>1183</v>
      </c>
      <c r="C250">
        <v>449</v>
      </c>
      <c r="D250">
        <v>849</v>
      </c>
    </row>
    <row r="251" spans="1:4">
      <c r="A251" t="s">
        <v>1589</v>
      </c>
      <c r="B251" t="s">
        <v>1217</v>
      </c>
      <c r="C251">
        <v>449</v>
      </c>
      <c r="D251">
        <v>882</v>
      </c>
    </row>
    <row r="252" spans="1:4">
      <c r="A252" t="s">
        <v>1590</v>
      </c>
      <c r="B252" t="s">
        <v>1231</v>
      </c>
      <c r="C252">
        <v>449</v>
      </c>
      <c r="D252">
        <v>1104</v>
      </c>
    </row>
    <row r="253" spans="1:4">
      <c r="A253" t="s">
        <v>1591</v>
      </c>
      <c r="B253" t="s">
        <v>1235</v>
      </c>
      <c r="C253">
        <v>447</v>
      </c>
      <c r="D253">
        <v>874</v>
      </c>
    </row>
    <row r="254" spans="1:4">
      <c r="A254" t="s">
        <v>1592</v>
      </c>
      <c r="B254" t="s">
        <v>1225</v>
      </c>
      <c r="C254">
        <v>444</v>
      </c>
      <c r="D254">
        <v>858</v>
      </c>
    </row>
    <row r="255" spans="1:4">
      <c r="A255" t="s">
        <v>1357</v>
      </c>
      <c r="B255" t="s">
        <v>1197</v>
      </c>
      <c r="C255">
        <v>443</v>
      </c>
      <c r="D255">
        <v>878</v>
      </c>
    </row>
    <row r="256" spans="1:4">
      <c r="A256" t="s">
        <v>1593</v>
      </c>
      <c r="B256" t="s">
        <v>1187</v>
      </c>
      <c r="C256">
        <v>442</v>
      </c>
      <c r="D256">
        <v>741</v>
      </c>
    </row>
    <row r="257" spans="1:4">
      <c r="A257" t="s">
        <v>1594</v>
      </c>
      <c r="B257" t="s">
        <v>1209</v>
      </c>
      <c r="C257">
        <v>442</v>
      </c>
      <c r="D257">
        <v>832</v>
      </c>
    </row>
    <row r="258" spans="1:4">
      <c r="A258" t="s">
        <v>1595</v>
      </c>
      <c r="B258" t="s">
        <v>1239</v>
      </c>
      <c r="C258">
        <v>440</v>
      </c>
      <c r="D258">
        <v>903</v>
      </c>
    </row>
    <row r="259" spans="1:4">
      <c r="A259" t="s">
        <v>1596</v>
      </c>
      <c r="B259" t="s">
        <v>1185</v>
      </c>
      <c r="C259">
        <v>438</v>
      </c>
      <c r="D259">
        <v>1372</v>
      </c>
    </row>
    <row r="260" spans="1:4">
      <c r="A260" t="s">
        <v>1597</v>
      </c>
      <c r="B260" t="s">
        <v>1229</v>
      </c>
      <c r="C260">
        <v>436</v>
      </c>
      <c r="D260">
        <v>1541</v>
      </c>
    </row>
    <row r="261" spans="1:4">
      <c r="A261" t="s">
        <v>1598</v>
      </c>
      <c r="B261" t="s">
        <v>1221</v>
      </c>
      <c r="C261">
        <v>435</v>
      </c>
      <c r="D261">
        <v>994</v>
      </c>
    </row>
    <row r="262" spans="1:4">
      <c r="A262" t="s">
        <v>1348</v>
      </c>
      <c r="B262" t="s">
        <v>1197</v>
      </c>
      <c r="C262">
        <v>432</v>
      </c>
      <c r="D262">
        <v>1418</v>
      </c>
    </row>
    <row r="263" spans="1:4">
      <c r="A263" t="s">
        <v>1599</v>
      </c>
      <c r="B263" t="s">
        <v>1203</v>
      </c>
      <c r="C263">
        <v>429</v>
      </c>
      <c r="D263">
        <v>990</v>
      </c>
    </row>
    <row r="264" spans="1:4">
      <c r="A264" t="s">
        <v>1600</v>
      </c>
      <c r="B264" t="s">
        <v>1235</v>
      </c>
      <c r="C264">
        <v>419</v>
      </c>
      <c r="D264">
        <v>743</v>
      </c>
    </row>
    <row r="265" spans="1:4">
      <c r="A265" t="s">
        <v>1601</v>
      </c>
      <c r="B265" t="s">
        <v>1183</v>
      </c>
      <c r="C265">
        <v>419</v>
      </c>
      <c r="D265">
        <v>787</v>
      </c>
    </row>
    <row r="266" spans="1:4">
      <c r="A266" t="s">
        <v>1602</v>
      </c>
      <c r="B266" t="s">
        <v>1217</v>
      </c>
      <c r="C266">
        <v>416</v>
      </c>
      <c r="D266">
        <v>1016</v>
      </c>
    </row>
    <row r="267" spans="1:4">
      <c r="A267" t="s">
        <v>1603</v>
      </c>
      <c r="B267" t="s">
        <v>1181</v>
      </c>
      <c r="C267">
        <v>410</v>
      </c>
      <c r="D267">
        <v>958</v>
      </c>
    </row>
    <row r="268" spans="1:4">
      <c r="A268" t="s">
        <v>1604</v>
      </c>
      <c r="B268" t="s">
        <v>1189</v>
      </c>
      <c r="C268">
        <v>410</v>
      </c>
      <c r="D268">
        <v>1030</v>
      </c>
    </row>
    <row r="269" spans="1:4">
      <c r="A269" t="s">
        <v>1605</v>
      </c>
      <c r="B269" t="s">
        <v>1199</v>
      </c>
      <c r="C269">
        <v>409</v>
      </c>
      <c r="D269">
        <v>1073</v>
      </c>
    </row>
    <row r="270" spans="1:4">
      <c r="A270" t="s">
        <v>1606</v>
      </c>
      <c r="B270" t="s">
        <v>1187</v>
      </c>
      <c r="C270">
        <v>405</v>
      </c>
      <c r="D270">
        <v>1207</v>
      </c>
    </row>
    <row r="271" spans="1:4">
      <c r="A271" t="s">
        <v>1607</v>
      </c>
      <c r="B271" t="s">
        <v>1199</v>
      </c>
      <c r="C271">
        <v>403</v>
      </c>
      <c r="D271">
        <v>918</v>
      </c>
    </row>
    <row r="272" spans="1:4">
      <c r="A272" t="s">
        <v>1608</v>
      </c>
      <c r="B272" t="s">
        <v>1235</v>
      </c>
      <c r="C272">
        <v>400</v>
      </c>
      <c r="D272">
        <v>671</v>
      </c>
    </row>
    <row r="273" spans="1:4">
      <c r="A273" t="s">
        <v>1609</v>
      </c>
      <c r="B273" t="s">
        <v>1183</v>
      </c>
      <c r="C273">
        <v>395</v>
      </c>
      <c r="D273">
        <v>1115</v>
      </c>
    </row>
    <row r="274" spans="1:4">
      <c r="A274" t="s">
        <v>1610</v>
      </c>
      <c r="B274" t="s">
        <v>1235</v>
      </c>
      <c r="C274">
        <v>391</v>
      </c>
      <c r="D274">
        <v>1178</v>
      </c>
    </row>
    <row r="275" spans="1:4">
      <c r="A275" t="s">
        <v>1611</v>
      </c>
      <c r="B275" t="s">
        <v>1223</v>
      </c>
      <c r="C275">
        <v>387</v>
      </c>
      <c r="D275">
        <v>687</v>
      </c>
    </row>
    <row r="276" spans="1:4">
      <c r="A276" t="s">
        <v>1612</v>
      </c>
      <c r="B276" t="s">
        <v>1233</v>
      </c>
      <c r="C276">
        <v>384</v>
      </c>
      <c r="D276">
        <v>769</v>
      </c>
    </row>
    <row r="277" spans="1:4">
      <c r="A277" t="s">
        <v>1613</v>
      </c>
      <c r="B277" t="s">
        <v>1221</v>
      </c>
      <c r="C277">
        <v>383</v>
      </c>
      <c r="D277">
        <v>1091</v>
      </c>
    </row>
    <row r="278" spans="1:4">
      <c r="A278" t="s">
        <v>1614</v>
      </c>
      <c r="B278" t="s">
        <v>1217</v>
      </c>
      <c r="C278">
        <v>383</v>
      </c>
      <c r="D278">
        <v>902</v>
      </c>
    </row>
    <row r="279" spans="1:4">
      <c r="A279" t="s">
        <v>1615</v>
      </c>
      <c r="B279" t="s">
        <v>1223</v>
      </c>
      <c r="C279">
        <v>383</v>
      </c>
      <c r="D279">
        <v>1207</v>
      </c>
    </row>
    <row r="280" spans="1:4">
      <c r="A280" t="s">
        <v>1310</v>
      </c>
      <c r="B280" t="s">
        <v>1207</v>
      </c>
      <c r="C280">
        <v>381</v>
      </c>
      <c r="D280">
        <v>997</v>
      </c>
    </row>
    <row r="281" spans="1:4">
      <c r="A281" t="s">
        <v>1616</v>
      </c>
      <c r="B281" t="s">
        <v>1189</v>
      </c>
      <c r="C281">
        <v>377</v>
      </c>
      <c r="D281">
        <v>679</v>
      </c>
    </row>
    <row r="282" spans="1:4">
      <c r="A282" t="s">
        <v>1353</v>
      </c>
      <c r="B282" t="s">
        <v>1197</v>
      </c>
      <c r="C282">
        <v>376</v>
      </c>
      <c r="D282">
        <v>724</v>
      </c>
    </row>
    <row r="283" spans="1:4">
      <c r="A283" t="s">
        <v>1617</v>
      </c>
      <c r="B283" t="s">
        <v>1219</v>
      </c>
      <c r="C283">
        <v>376</v>
      </c>
      <c r="D283">
        <v>1066</v>
      </c>
    </row>
    <row r="284" spans="1:4">
      <c r="A284" t="s">
        <v>1618</v>
      </c>
      <c r="B284" t="s">
        <v>1189</v>
      </c>
      <c r="C284">
        <v>363</v>
      </c>
      <c r="D284">
        <v>774</v>
      </c>
    </row>
    <row r="285" spans="1:4">
      <c r="A285" t="s">
        <v>1619</v>
      </c>
      <c r="B285" t="s">
        <v>1211</v>
      </c>
      <c r="C285">
        <v>360</v>
      </c>
      <c r="D285">
        <v>1007</v>
      </c>
    </row>
    <row r="286" spans="1:4">
      <c r="A286" t="s">
        <v>1620</v>
      </c>
      <c r="B286" t="s">
        <v>1227</v>
      </c>
      <c r="C286">
        <v>360</v>
      </c>
      <c r="D286">
        <v>996</v>
      </c>
    </row>
    <row r="287" spans="1:4">
      <c r="A287" t="s">
        <v>1621</v>
      </c>
      <c r="B287" t="s">
        <v>1211</v>
      </c>
      <c r="C287">
        <v>358</v>
      </c>
      <c r="D287">
        <v>662</v>
      </c>
    </row>
    <row r="288" spans="1:4">
      <c r="A288" t="s">
        <v>1622</v>
      </c>
      <c r="B288" t="s">
        <v>1193</v>
      </c>
      <c r="C288">
        <v>356</v>
      </c>
      <c r="D288">
        <v>864</v>
      </c>
    </row>
    <row r="289" spans="1:4">
      <c r="A289" t="s">
        <v>1623</v>
      </c>
      <c r="B289" t="s">
        <v>1187</v>
      </c>
      <c r="C289">
        <v>354</v>
      </c>
      <c r="D289">
        <v>870</v>
      </c>
    </row>
    <row r="290" spans="1:4">
      <c r="A290" t="s">
        <v>1624</v>
      </c>
      <c r="B290" t="s">
        <v>1181</v>
      </c>
      <c r="C290">
        <v>353</v>
      </c>
      <c r="D290">
        <v>639</v>
      </c>
    </row>
    <row r="291" spans="1:4">
      <c r="A291" t="s">
        <v>1625</v>
      </c>
      <c r="B291" t="s">
        <v>1225</v>
      </c>
      <c r="C291">
        <v>352</v>
      </c>
      <c r="D291">
        <v>518</v>
      </c>
    </row>
    <row r="292" spans="1:4">
      <c r="A292" t="s">
        <v>1626</v>
      </c>
      <c r="B292" t="s">
        <v>1213</v>
      </c>
      <c r="C292">
        <v>347</v>
      </c>
      <c r="D292">
        <v>756</v>
      </c>
    </row>
    <row r="293" spans="1:4">
      <c r="A293" t="s">
        <v>1627</v>
      </c>
      <c r="B293" t="s">
        <v>1191</v>
      </c>
      <c r="C293">
        <v>347</v>
      </c>
      <c r="D293">
        <v>952</v>
      </c>
    </row>
    <row r="294" spans="1:4">
      <c r="A294" t="s">
        <v>1628</v>
      </c>
      <c r="B294" t="s">
        <v>1199</v>
      </c>
      <c r="C294">
        <v>342</v>
      </c>
      <c r="D294">
        <v>1284</v>
      </c>
    </row>
    <row r="295" spans="1:4">
      <c r="A295" t="s">
        <v>1629</v>
      </c>
      <c r="B295" t="s">
        <v>1201</v>
      </c>
      <c r="C295">
        <v>341</v>
      </c>
      <c r="D295">
        <v>614</v>
      </c>
    </row>
    <row r="296" spans="1:4">
      <c r="A296" t="s">
        <v>1630</v>
      </c>
      <c r="B296" t="s">
        <v>1217</v>
      </c>
      <c r="C296">
        <v>340</v>
      </c>
      <c r="D296">
        <v>754</v>
      </c>
    </row>
    <row r="297" spans="1:4">
      <c r="A297" t="s">
        <v>1631</v>
      </c>
      <c r="B297" t="s">
        <v>1199</v>
      </c>
      <c r="C297">
        <v>340</v>
      </c>
      <c r="D297">
        <v>672</v>
      </c>
    </row>
    <row r="298" spans="1:4">
      <c r="A298" t="s">
        <v>1632</v>
      </c>
      <c r="B298" t="s">
        <v>1191</v>
      </c>
      <c r="C298">
        <v>336</v>
      </c>
      <c r="D298">
        <v>715</v>
      </c>
    </row>
    <row r="299" spans="1:4">
      <c r="A299" t="s">
        <v>1633</v>
      </c>
      <c r="B299" t="s">
        <v>1225</v>
      </c>
      <c r="C299">
        <v>336</v>
      </c>
      <c r="D299">
        <v>893</v>
      </c>
    </row>
    <row r="300" spans="1:4">
      <c r="A300" t="s">
        <v>1634</v>
      </c>
      <c r="B300" t="s">
        <v>1203</v>
      </c>
      <c r="C300">
        <v>334</v>
      </c>
      <c r="D300">
        <v>806</v>
      </c>
    </row>
    <row r="301" spans="1:4">
      <c r="A301" t="s">
        <v>1635</v>
      </c>
      <c r="B301" t="s">
        <v>1237</v>
      </c>
      <c r="C301">
        <v>334</v>
      </c>
      <c r="D301">
        <v>581</v>
      </c>
    </row>
    <row r="302" spans="1:4">
      <c r="A302" t="s">
        <v>1636</v>
      </c>
      <c r="B302" t="s">
        <v>1227</v>
      </c>
      <c r="C302">
        <v>333</v>
      </c>
      <c r="D302">
        <v>1258</v>
      </c>
    </row>
    <row r="303" spans="1:4">
      <c r="A303" t="s">
        <v>1637</v>
      </c>
      <c r="B303" t="s">
        <v>1189</v>
      </c>
      <c r="C303">
        <v>331</v>
      </c>
      <c r="D303">
        <v>865</v>
      </c>
    </row>
    <row r="304" spans="1:4">
      <c r="A304" t="s">
        <v>1638</v>
      </c>
      <c r="B304" t="s">
        <v>1189</v>
      </c>
      <c r="C304">
        <v>329</v>
      </c>
      <c r="D304">
        <v>745</v>
      </c>
    </row>
    <row r="305" spans="1:4">
      <c r="A305" t="s">
        <v>1639</v>
      </c>
      <c r="B305" t="s">
        <v>1239</v>
      </c>
      <c r="C305">
        <v>329</v>
      </c>
      <c r="D305">
        <v>606</v>
      </c>
    </row>
    <row r="306" spans="1:4">
      <c r="A306" t="s">
        <v>1640</v>
      </c>
      <c r="B306" t="s">
        <v>1217</v>
      </c>
      <c r="C306">
        <v>323</v>
      </c>
      <c r="D306">
        <v>790</v>
      </c>
    </row>
    <row r="307" spans="1:4">
      <c r="A307" t="s">
        <v>1641</v>
      </c>
      <c r="B307" t="s">
        <v>1191</v>
      </c>
      <c r="C307">
        <v>319</v>
      </c>
      <c r="D307">
        <v>897</v>
      </c>
    </row>
    <row r="308" spans="1:4">
      <c r="A308" t="s">
        <v>1642</v>
      </c>
      <c r="B308" t="s">
        <v>1187</v>
      </c>
      <c r="C308">
        <v>315</v>
      </c>
      <c r="D308">
        <v>677</v>
      </c>
    </row>
    <row r="309" spans="1:4">
      <c r="A309" t="s">
        <v>1318</v>
      </c>
      <c r="B309" t="s">
        <v>1207</v>
      </c>
      <c r="C309">
        <v>314</v>
      </c>
      <c r="D309">
        <v>638</v>
      </c>
    </row>
    <row r="310" spans="1:4">
      <c r="A310" t="s">
        <v>1643</v>
      </c>
      <c r="B310" t="s">
        <v>1193</v>
      </c>
      <c r="C310">
        <v>313</v>
      </c>
      <c r="D310">
        <v>954</v>
      </c>
    </row>
    <row r="311" spans="1:4">
      <c r="A311" t="s">
        <v>1644</v>
      </c>
      <c r="B311" t="s">
        <v>1205</v>
      </c>
      <c r="C311">
        <v>312</v>
      </c>
      <c r="D311">
        <v>928</v>
      </c>
    </row>
    <row r="312" spans="1:4">
      <c r="A312" t="s">
        <v>1645</v>
      </c>
      <c r="B312" t="s">
        <v>1229</v>
      </c>
      <c r="C312">
        <v>312</v>
      </c>
      <c r="D312">
        <v>702</v>
      </c>
    </row>
    <row r="313" spans="1:4">
      <c r="A313" t="s">
        <v>1646</v>
      </c>
      <c r="B313" t="s">
        <v>1185</v>
      </c>
      <c r="C313">
        <v>310</v>
      </c>
      <c r="D313">
        <v>800</v>
      </c>
    </row>
    <row r="314" spans="1:4">
      <c r="A314" t="s">
        <v>1647</v>
      </c>
      <c r="B314" t="s">
        <v>1239</v>
      </c>
      <c r="C314">
        <v>306</v>
      </c>
      <c r="D314">
        <v>646</v>
      </c>
    </row>
    <row r="315" spans="1:4">
      <c r="A315" t="s">
        <v>1648</v>
      </c>
      <c r="B315" t="s">
        <v>1239</v>
      </c>
      <c r="C315">
        <v>305</v>
      </c>
      <c r="D315">
        <v>578</v>
      </c>
    </row>
    <row r="316" spans="1:4">
      <c r="A316" t="s">
        <v>1649</v>
      </c>
      <c r="B316" t="s">
        <v>1235</v>
      </c>
      <c r="C316">
        <v>304</v>
      </c>
      <c r="D316">
        <v>730</v>
      </c>
    </row>
    <row r="317" spans="1:4">
      <c r="A317" t="s">
        <v>1650</v>
      </c>
      <c r="B317" t="s">
        <v>1217</v>
      </c>
      <c r="C317">
        <v>304</v>
      </c>
      <c r="D317">
        <v>484</v>
      </c>
    </row>
    <row r="318" spans="1:4">
      <c r="A318" t="s">
        <v>1651</v>
      </c>
      <c r="B318" t="s">
        <v>1225</v>
      </c>
      <c r="C318">
        <v>292</v>
      </c>
      <c r="D318">
        <v>832</v>
      </c>
    </row>
    <row r="319" spans="1:4">
      <c r="A319" t="s">
        <v>1652</v>
      </c>
      <c r="B319" t="s">
        <v>1229</v>
      </c>
      <c r="C319">
        <v>290</v>
      </c>
      <c r="D319">
        <v>718</v>
      </c>
    </row>
    <row r="320" spans="1:4">
      <c r="A320" t="s">
        <v>1653</v>
      </c>
      <c r="B320" t="s">
        <v>1225</v>
      </c>
      <c r="C320">
        <v>287</v>
      </c>
      <c r="D320">
        <v>566</v>
      </c>
    </row>
    <row r="321" spans="1:4">
      <c r="A321" t="s">
        <v>1654</v>
      </c>
      <c r="B321" t="s">
        <v>1219</v>
      </c>
      <c r="C321">
        <v>285</v>
      </c>
      <c r="D321">
        <v>455</v>
      </c>
    </row>
    <row r="322" spans="1:4">
      <c r="A322" t="s">
        <v>1655</v>
      </c>
      <c r="B322" t="s">
        <v>1187</v>
      </c>
      <c r="C322">
        <v>284</v>
      </c>
      <c r="D322">
        <v>636</v>
      </c>
    </row>
    <row r="323" spans="1:4">
      <c r="A323" t="s">
        <v>1656</v>
      </c>
      <c r="B323" t="s">
        <v>1187</v>
      </c>
      <c r="C323">
        <v>281</v>
      </c>
      <c r="D323">
        <v>644</v>
      </c>
    </row>
    <row r="324" spans="1:4">
      <c r="A324" t="s">
        <v>1657</v>
      </c>
      <c r="B324" t="s">
        <v>1205</v>
      </c>
      <c r="C324">
        <v>281</v>
      </c>
      <c r="D324">
        <v>744</v>
      </c>
    </row>
    <row r="325" spans="1:4">
      <c r="A325" t="s">
        <v>1658</v>
      </c>
      <c r="B325" t="s">
        <v>1221</v>
      </c>
      <c r="C325">
        <v>277</v>
      </c>
      <c r="D325">
        <v>888</v>
      </c>
    </row>
    <row r="326" spans="1:4">
      <c r="A326" t="s">
        <v>1659</v>
      </c>
      <c r="B326" t="s">
        <v>1237</v>
      </c>
      <c r="C326">
        <v>275</v>
      </c>
      <c r="D326">
        <v>589</v>
      </c>
    </row>
    <row r="327" spans="1:4">
      <c r="A327" t="s">
        <v>1660</v>
      </c>
      <c r="B327" t="s">
        <v>1193</v>
      </c>
      <c r="C327">
        <v>274</v>
      </c>
      <c r="D327">
        <v>508</v>
      </c>
    </row>
    <row r="328" spans="1:4">
      <c r="A328" t="s">
        <v>1661</v>
      </c>
      <c r="B328" t="s">
        <v>1227</v>
      </c>
      <c r="C328">
        <v>271</v>
      </c>
      <c r="D328">
        <v>537</v>
      </c>
    </row>
    <row r="329" spans="1:4">
      <c r="A329" t="s">
        <v>1662</v>
      </c>
      <c r="B329" t="s">
        <v>1223</v>
      </c>
      <c r="C329">
        <v>270</v>
      </c>
      <c r="D329">
        <v>456</v>
      </c>
    </row>
    <row r="330" spans="1:4">
      <c r="A330" t="s">
        <v>1663</v>
      </c>
      <c r="B330" t="s">
        <v>1189</v>
      </c>
      <c r="C330">
        <v>266</v>
      </c>
      <c r="D330">
        <v>732</v>
      </c>
    </row>
    <row r="331" spans="1:4">
      <c r="A331" t="s">
        <v>1664</v>
      </c>
      <c r="B331" t="s">
        <v>1183</v>
      </c>
      <c r="C331">
        <v>266</v>
      </c>
      <c r="D331">
        <v>557</v>
      </c>
    </row>
    <row r="332" spans="1:4">
      <c r="A332" t="s">
        <v>1665</v>
      </c>
      <c r="B332" t="s">
        <v>1225</v>
      </c>
      <c r="C332">
        <v>265</v>
      </c>
      <c r="D332">
        <v>503</v>
      </c>
    </row>
    <row r="333" spans="1:4">
      <c r="A333" t="s">
        <v>1666</v>
      </c>
      <c r="B333" t="s">
        <v>1227</v>
      </c>
      <c r="C333">
        <v>256</v>
      </c>
      <c r="D333">
        <v>763</v>
      </c>
    </row>
    <row r="334" spans="1:4">
      <c r="A334" t="s">
        <v>1667</v>
      </c>
      <c r="B334" t="s">
        <v>1205</v>
      </c>
      <c r="C334">
        <v>255</v>
      </c>
      <c r="D334">
        <v>1056</v>
      </c>
    </row>
    <row r="335" spans="1:4">
      <c r="A335" t="s">
        <v>1351</v>
      </c>
      <c r="B335" t="s">
        <v>1197</v>
      </c>
      <c r="C335">
        <v>255</v>
      </c>
      <c r="D335">
        <v>562</v>
      </c>
    </row>
    <row r="336" spans="1:4">
      <c r="A336" t="s">
        <v>1668</v>
      </c>
      <c r="B336" t="s">
        <v>1211</v>
      </c>
      <c r="C336">
        <v>253</v>
      </c>
      <c r="D336">
        <v>550</v>
      </c>
    </row>
    <row r="337" spans="1:4">
      <c r="A337" t="s">
        <v>1669</v>
      </c>
      <c r="B337" t="s">
        <v>1225</v>
      </c>
      <c r="C337">
        <v>248</v>
      </c>
      <c r="D337">
        <v>418</v>
      </c>
    </row>
    <row r="338" spans="1:4">
      <c r="A338" t="s">
        <v>1670</v>
      </c>
      <c r="B338" t="s">
        <v>1227</v>
      </c>
      <c r="C338">
        <v>245</v>
      </c>
      <c r="D338">
        <v>482</v>
      </c>
    </row>
    <row r="339" spans="1:4">
      <c r="A339" t="s">
        <v>1671</v>
      </c>
      <c r="B339" t="s">
        <v>1223</v>
      </c>
      <c r="C339">
        <v>238</v>
      </c>
      <c r="D339">
        <v>452</v>
      </c>
    </row>
    <row r="340" spans="1:4">
      <c r="A340" t="s">
        <v>1672</v>
      </c>
      <c r="B340" t="s">
        <v>1235</v>
      </c>
      <c r="C340">
        <v>237</v>
      </c>
      <c r="D340">
        <v>429</v>
      </c>
    </row>
    <row r="341" spans="1:4">
      <c r="A341" t="s">
        <v>1673</v>
      </c>
      <c r="B341" t="s">
        <v>1233</v>
      </c>
      <c r="C341">
        <v>235</v>
      </c>
      <c r="D341">
        <v>357</v>
      </c>
    </row>
    <row r="342" spans="1:4">
      <c r="A342" t="s">
        <v>1674</v>
      </c>
      <c r="B342" t="s">
        <v>1227</v>
      </c>
      <c r="C342">
        <v>234</v>
      </c>
      <c r="D342">
        <v>473</v>
      </c>
    </row>
    <row r="343" spans="1:4">
      <c r="A343" t="s">
        <v>1675</v>
      </c>
      <c r="B343" t="s">
        <v>1221</v>
      </c>
      <c r="C343">
        <v>234</v>
      </c>
      <c r="D343">
        <v>468</v>
      </c>
    </row>
    <row r="344" spans="1:4">
      <c r="A344" t="s">
        <v>1676</v>
      </c>
      <c r="B344" t="s">
        <v>1199</v>
      </c>
      <c r="C344">
        <v>230</v>
      </c>
      <c r="D344">
        <v>616</v>
      </c>
    </row>
    <row r="345" spans="1:4">
      <c r="A345" t="s">
        <v>1677</v>
      </c>
      <c r="B345" t="s">
        <v>1237</v>
      </c>
      <c r="C345">
        <v>230</v>
      </c>
      <c r="D345">
        <v>525</v>
      </c>
    </row>
    <row r="346" spans="1:4">
      <c r="A346" t="s">
        <v>1678</v>
      </c>
      <c r="B346" t="s">
        <v>1201</v>
      </c>
      <c r="C346">
        <v>229</v>
      </c>
      <c r="D346">
        <v>556</v>
      </c>
    </row>
    <row r="347" spans="1:4">
      <c r="A347" t="s">
        <v>1679</v>
      </c>
      <c r="B347" t="s">
        <v>1239</v>
      </c>
      <c r="C347">
        <v>229</v>
      </c>
      <c r="D347">
        <v>580</v>
      </c>
    </row>
    <row r="348" spans="1:4">
      <c r="A348" t="s">
        <v>1680</v>
      </c>
      <c r="B348" t="s">
        <v>1213</v>
      </c>
      <c r="C348">
        <v>228</v>
      </c>
      <c r="D348">
        <v>657</v>
      </c>
    </row>
    <row r="349" spans="1:4">
      <c r="A349" t="s">
        <v>1681</v>
      </c>
      <c r="B349" t="s">
        <v>1201</v>
      </c>
      <c r="C349">
        <v>226</v>
      </c>
      <c r="D349">
        <v>812</v>
      </c>
    </row>
    <row r="350" spans="1:4">
      <c r="A350" t="s">
        <v>1682</v>
      </c>
      <c r="B350" t="s">
        <v>1215</v>
      </c>
      <c r="C350">
        <v>221</v>
      </c>
      <c r="D350">
        <v>436</v>
      </c>
    </row>
    <row r="351" spans="1:4">
      <c r="A351" t="s">
        <v>1683</v>
      </c>
      <c r="B351" t="s">
        <v>1239</v>
      </c>
      <c r="C351">
        <v>220</v>
      </c>
      <c r="D351">
        <v>415</v>
      </c>
    </row>
    <row r="352" spans="1:4">
      <c r="A352" t="s">
        <v>1684</v>
      </c>
      <c r="B352" t="s">
        <v>1213</v>
      </c>
      <c r="C352">
        <v>217</v>
      </c>
      <c r="D352">
        <v>488</v>
      </c>
    </row>
    <row r="353" spans="1:4">
      <c r="A353" t="s">
        <v>1685</v>
      </c>
      <c r="B353" t="s">
        <v>1233</v>
      </c>
      <c r="C353">
        <v>215</v>
      </c>
      <c r="D353">
        <v>534</v>
      </c>
    </row>
    <row r="354" spans="1:4">
      <c r="A354" t="s">
        <v>1686</v>
      </c>
      <c r="B354" t="s">
        <v>1209</v>
      </c>
      <c r="C354">
        <v>209</v>
      </c>
      <c r="D354">
        <v>383</v>
      </c>
    </row>
    <row r="355" spans="1:4">
      <c r="A355" t="s">
        <v>1687</v>
      </c>
      <c r="B355" t="s">
        <v>1195</v>
      </c>
      <c r="C355">
        <v>207</v>
      </c>
      <c r="D355">
        <v>717</v>
      </c>
    </row>
    <row r="356" spans="1:4">
      <c r="A356" t="s">
        <v>1688</v>
      </c>
      <c r="B356" t="s">
        <v>1217</v>
      </c>
      <c r="C356">
        <v>206</v>
      </c>
      <c r="D356">
        <v>500</v>
      </c>
    </row>
    <row r="357" spans="1:4">
      <c r="A357" t="s">
        <v>1689</v>
      </c>
      <c r="B357" t="s">
        <v>1181</v>
      </c>
      <c r="C357">
        <v>204</v>
      </c>
      <c r="D357">
        <v>466</v>
      </c>
    </row>
    <row r="358" spans="1:4">
      <c r="A358" t="s">
        <v>1690</v>
      </c>
      <c r="B358" t="s">
        <v>1193</v>
      </c>
      <c r="C358">
        <v>203</v>
      </c>
      <c r="D358">
        <v>494</v>
      </c>
    </row>
    <row r="359" spans="1:4">
      <c r="A359" t="s">
        <v>1691</v>
      </c>
      <c r="B359" t="s">
        <v>1201</v>
      </c>
      <c r="C359">
        <v>202</v>
      </c>
      <c r="D359">
        <v>466</v>
      </c>
    </row>
    <row r="360" spans="1:4">
      <c r="A360" t="s">
        <v>1692</v>
      </c>
      <c r="B360" t="s">
        <v>1195</v>
      </c>
      <c r="C360">
        <v>201</v>
      </c>
      <c r="D360">
        <v>495</v>
      </c>
    </row>
    <row r="361" spans="1:4">
      <c r="A361" t="s">
        <v>1693</v>
      </c>
      <c r="B361" t="s">
        <v>1193</v>
      </c>
      <c r="C361">
        <v>200</v>
      </c>
      <c r="D361">
        <v>480</v>
      </c>
    </row>
    <row r="362" spans="1:4">
      <c r="A362" t="s">
        <v>1694</v>
      </c>
      <c r="B362" t="s">
        <v>1181</v>
      </c>
      <c r="C362">
        <v>198</v>
      </c>
      <c r="D362">
        <v>571</v>
      </c>
    </row>
    <row r="363" spans="1:4">
      <c r="A363" t="s">
        <v>1695</v>
      </c>
      <c r="B363" t="s">
        <v>1217</v>
      </c>
      <c r="C363">
        <v>196</v>
      </c>
      <c r="D363">
        <v>403</v>
      </c>
    </row>
    <row r="364" spans="1:4">
      <c r="A364" t="s">
        <v>1696</v>
      </c>
      <c r="B364" t="s">
        <v>1227</v>
      </c>
      <c r="C364">
        <v>195</v>
      </c>
      <c r="D364">
        <v>465</v>
      </c>
    </row>
    <row r="365" spans="1:4">
      <c r="A365" t="s">
        <v>1697</v>
      </c>
      <c r="B365" t="s">
        <v>1229</v>
      </c>
      <c r="C365">
        <v>193</v>
      </c>
      <c r="D365">
        <v>405</v>
      </c>
    </row>
    <row r="366" spans="1:4">
      <c r="A366" t="s">
        <v>1698</v>
      </c>
      <c r="B366" t="s">
        <v>1191</v>
      </c>
      <c r="C366">
        <v>189</v>
      </c>
      <c r="D366">
        <v>434</v>
      </c>
    </row>
    <row r="367" spans="1:4">
      <c r="A367" t="s">
        <v>1699</v>
      </c>
      <c r="B367" t="s">
        <v>1201</v>
      </c>
      <c r="C367">
        <v>187</v>
      </c>
      <c r="D367">
        <v>478</v>
      </c>
    </row>
    <row r="368" spans="1:4">
      <c r="A368" t="s">
        <v>1354</v>
      </c>
      <c r="B368" t="s">
        <v>1197</v>
      </c>
      <c r="C368">
        <v>185</v>
      </c>
      <c r="D368">
        <v>563</v>
      </c>
    </row>
    <row r="369" spans="1:4">
      <c r="A369" t="s">
        <v>1700</v>
      </c>
      <c r="B369" t="s">
        <v>1187</v>
      </c>
      <c r="C369">
        <v>183</v>
      </c>
      <c r="D369">
        <v>295</v>
      </c>
    </row>
    <row r="370" spans="1:4">
      <c r="A370" t="s">
        <v>1701</v>
      </c>
      <c r="B370" t="s">
        <v>1195</v>
      </c>
      <c r="C370">
        <v>182</v>
      </c>
      <c r="D370">
        <v>502</v>
      </c>
    </row>
    <row r="371" spans="1:4">
      <c r="A371" t="s">
        <v>1702</v>
      </c>
      <c r="B371" t="s">
        <v>1209</v>
      </c>
      <c r="C371">
        <v>178</v>
      </c>
      <c r="D371">
        <v>402</v>
      </c>
    </row>
    <row r="372" spans="1:4">
      <c r="A372" t="s">
        <v>1703</v>
      </c>
      <c r="B372" t="s">
        <v>1223</v>
      </c>
      <c r="C372">
        <v>175</v>
      </c>
      <c r="D372">
        <v>445</v>
      </c>
    </row>
    <row r="373" spans="1:4">
      <c r="A373" t="s">
        <v>1704</v>
      </c>
      <c r="B373" t="s">
        <v>1193</v>
      </c>
      <c r="C373">
        <v>174</v>
      </c>
      <c r="D373">
        <v>320</v>
      </c>
    </row>
    <row r="374" spans="1:4">
      <c r="A374" t="s">
        <v>1705</v>
      </c>
      <c r="B374" t="s">
        <v>1201</v>
      </c>
      <c r="C374">
        <v>173</v>
      </c>
      <c r="D374">
        <v>291</v>
      </c>
    </row>
    <row r="375" spans="1:4">
      <c r="A375" t="s">
        <v>1706</v>
      </c>
      <c r="B375" t="s">
        <v>1191</v>
      </c>
      <c r="C375">
        <v>169</v>
      </c>
      <c r="D375">
        <v>371</v>
      </c>
    </row>
    <row r="376" spans="1:4">
      <c r="A376" t="s">
        <v>1707</v>
      </c>
      <c r="B376" t="s">
        <v>1193</v>
      </c>
      <c r="C376">
        <v>168</v>
      </c>
      <c r="D376">
        <v>472</v>
      </c>
    </row>
    <row r="377" spans="1:4">
      <c r="A377" t="s">
        <v>1708</v>
      </c>
      <c r="B377" t="s">
        <v>1181</v>
      </c>
      <c r="C377">
        <v>167</v>
      </c>
      <c r="D377">
        <v>428</v>
      </c>
    </row>
    <row r="378" spans="1:4">
      <c r="A378" t="s">
        <v>1709</v>
      </c>
      <c r="B378" t="s">
        <v>1187</v>
      </c>
      <c r="C378">
        <v>166</v>
      </c>
      <c r="D378">
        <v>386</v>
      </c>
    </row>
    <row r="379" spans="1:4">
      <c r="A379" t="s">
        <v>1710</v>
      </c>
      <c r="B379" t="s">
        <v>1215</v>
      </c>
      <c r="C379">
        <v>164</v>
      </c>
      <c r="D379">
        <v>372</v>
      </c>
    </row>
    <row r="380" spans="1:4">
      <c r="A380" t="s">
        <v>1711</v>
      </c>
      <c r="B380" t="s">
        <v>1217</v>
      </c>
      <c r="C380">
        <v>163</v>
      </c>
      <c r="D380">
        <v>540</v>
      </c>
    </row>
    <row r="381" spans="1:4">
      <c r="A381" t="s">
        <v>1712</v>
      </c>
      <c r="B381" t="s">
        <v>1237</v>
      </c>
      <c r="C381">
        <v>163</v>
      </c>
      <c r="D381">
        <v>460</v>
      </c>
    </row>
    <row r="382" spans="1:4">
      <c r="A382" t="s">
        <v>1713</v>
      </c>
      <c r="B382" t="s">
        <v>1203</v>
      </c>
      <c r="C382">
        <v>162</v>
      </c>
      <c r="D382">
        <v>356</v>
      </c>
    </row>
    <row r="383" spans="1:4">
      <c r="A383" t="s">
        <v>1311</v>
      </c>
      <c r="B383" t="s">
        <v>1207</v>
      </c>
      <c r="C383">
        <v>162</v>
      </c>
      <c r="D383">
        <v>455</v>
      </c>
    </row>
    <row r="384" spans="1:4">
      <c r="A384" t="s">
        <v>1714</v>
      </c>
      <c r="B384" t="s">
        <v>1233</v>
      </c>
      <c r="C384">
        <v>158</v>
      </c>
      <c r="D384">
        <v>475</v>
      </c>
    </row>
    <row r="385" spans="1:4">
      <c r="A385" t="s">
        <v>1715</v>
      </c>
      <c r="B385" t="s">
        <v>1239</v>
      </c>
      <c r="C385">
        <v>156</v>
      </c>
      <c r="D385">
        <v>421</v>
      </c>
    </row>
    <row r="386" spans="1:4">
      <c r="A386" t="s">
        <v>1716</v>
      </c>
      <c r="B386" t="s">
        <v>1229</v>
      </c>
      <c r="C386">
        <v>156</v>
      </c>
      <c r="D386">
        <v>307</v>
      </c>
    </row>
    <row r="387" spans="1:4">
      <c r="A387" t="s">
        <v>1717</v>
      </c>
      <c r="B387" t="s">
        <v>1189</v>
      </c>
      <c r="C387">
        <v>155</v>
      </c>
      <c r="D387">
        <v>295</v>
      </c>
    </row>
    <row r="388" spans="1:4">
      <c r="A388" t="s">
        <v>1718</v>
      </c>
      <c r="B388" t="s">
        <v>1223</v>
      </c>
      <c r="C388">
        <v>152</v>
      </c>
      <c r="D388">
        <v>375</v>
      </c>
    </row>
    <row r="389" spans="1:4">
      <c r="A389" t="s">
        <v>1719</v>
      </c>
      <c r="B389" t="s">
        <v>1201</v>
      </c>
      <c r="C389">
        <v>152</v>
      </c>
      <c r="D389">
        <v>353</v>
      </c>
    </row>
    <row r="390" spans="1:4">
      <c r="A390" t="s">
        <v>1720</v>
      </c>
      <c r="B390" t="s">
        <v>1205</v>
      </c>
      <c r="C390">
        <v>152</v>
      </c>
      <c r="D390">
        <v>311</v>
      </c>
    </row>
    <row r="391" spans="1:4">
      <c r="A391" t="s">
        <v>1721</v>
      </c>
      <c r="B391" t="s">
        <v>1187</v>
      </c>
      <c r="C391">
        <v>151</v>
      </c>
      <c r="D391">
        <v>374</v>
      </c>
    </row>
    <row r="392" spans="1:4">
      <c r="A392" t="s">
        <v>1722</v>
      </c>
      <c r="B392" t="s">
        <v>1215</v>
      </c>
      <c r="C392">
        <v>149</v>
      </c>
      <c r="D392">
        <v>269</v>
      </c>
    </row>
    <row r="393" spans="1:4">
      <c r="A393" t="s">
        <v>1309</v>
      </c>
      <c r="B393" t="s">
        <v>1207</v>
      </c>
      <c r="C393">
        <v>148</v>
      </c>
      <c r="D393">
        <v>533</v>
      </c>
    </row>
    <row r="394" spans="1:4">
      <c r="A394" t="s">
        <v>1723</v>
      </c>
      <c r="B394" t="s">
        <v>1181</v>
      </c>
      <c r="C394">
        <v>147</v>
      </c>
      <c r="D394">
        <v>350</v>
      </c>
    </row>
    <row r="395" spans="1:4">
      <c r="A395" t="s">
        <v>1724</v>
      </c>
      <c r="B395" t="s">
        <v>1231</v>
      </c>
      <c r="C395">
        <v>147</v>
      </c>
      <c r="D395">
        <v>197</v>
      </c>
    </row>
    <row r="396" spans="1:4">
      <c r="A396" t="s">
        <v>1725</v>
      </c>
      <c r="B396" t="s">
        <v>1223</v>
      </c>
      <c r="C396">
        <v>144</v>
      </c>
      <c r="D396">
        <v>365</v>
      </c>
    </row>
    <row r="397" spans="1:4">
      <c r="A397" t="s">
        <v>1726</v>
      </c>
      <c r="B397" t="s">
        <v>1233</v>
      </c>
      <c r="C397">
        <v>143</v>
      </c>
      <c r="D397">
        <v>470</v>
      </c>
    </row>
    <row r="398" spans="1:4">
      <c r="A398" t="s">
        <v>1727</v>
      </c>
      <c r="B398" t="s">
        <v>1221</v>
      </c>
      <c r="C398">
        <v>141</v>
      </c>
      <c r="D398">
        <v>340</v>
      </c>
    </row>
    <row r="399" spans="1:4">
      <c r="A399" t="s">
        <v>1728</v>
      </c>
      <c r="B399" t="s">
        <v>1217</v>
      </c>
      <c r="C399">
        <v>141</v>
      </c>
      <c r="D399">
        <v>279</v>
      </c>
    </row>
    <row r="400" spans="1:4">
      <c r="A400" t="s">
        <v>1729</v>
      </c>
      <c r="B400" t="s">
        <v>1215</v>
      </c>
      <c r="C400">
        <v>138</v>
      </c>
      <c r="D400">
        <v>262</v>
      </c>
    </row>
    <row r="401" spans="1:4">
      <c r="A401" t="s">
        <v>1730</v>
      </c>
      <c r="B401" t="s">
        <v>1217</v>
      </c>
      <c r="C401">
        <v>138</v>
      </c>
      <c r="D401">
        <v>438</v>
      </c>
    </row>
    <row r="402" spans="1:4">
      <c r="A402" t="s">
        <v>1731</v>
      </c>
      <c r="B402" t="s">
        <v>1225</v>
      </c>
      <c r="C402">
        <v>137</v>
      </c>
      <c r="D402">
        <v>473</v>
      </c>
    </row>
    <row r="403" spans="1:4">
      <c r="A403" t="s">
        <v>1732</v>
      </c>
      <c r="B403" t="s">
        <v>1231</v>
      </c>
      <c r="C403">
        <v>137</v>
      </c>
      <c r="D403">
        <v>349</v>
      </c>
    </row>
    <row r="404" spans="1:4">
      <c r="A404" t="s">
        <v>1733</v>
      </c>
      <c r="B404" t="s">
        <v>1215</v>
      </c>
      <c r="C404">
        <v>137</v>
      </c>
      <c r="D404">
        <v>234</v>
      </c>
    </row>
    <row r="405" spans="1:4">
      <c r="A405" t="s">
        <v>1734</v>
      </c>
      <c r="B405" t="s">
        <v>1225</v>
      </c>
      <c r="C405">
        <v>136</v>
      </c>
      <c r="D405">
        <v>295</v>
      </c>
    </row>
    <row r="406" spans="1:4">
      <c r="A406" t="s">
        <v>1735</v>
      </c>
      <c r="B406" t="s">
        <v>1209</v>
      </c>
      <c r="C406">
        <v>136</v>
      </c>
      <c r="D406">
        <v>291</v>
      </c>
    </row>
    <row r="407" spans="1:4">
      <c r="A407" t="s">
        <v>1736</v>
      </c>
      <c r="B407" t="s">
        <v>1231</v>
      </c>
      <c r="C407">
        <v>136</v>
      </c>
      <c r="D407">
        <v>248</v>
      </c>
    </row>
    <row r="408" spans="1:4">
      <c r="A408" t="s">
        <v>1737</v>
      </c>
      <c r="B408" t="s">
        <v>1221</v>
      </c>
      <c r="C408">
        <v>135</v>
      </c>
      <c r="D408">
        <v>400</v>
      </c>
    </row>
    <row r="409" spans="1:4">
      <c r="A409" t="s">
        <v>1738</v>
      </c>
      <c r="B409" t="s">
        <v>1195</v>
      </c>
      <c r="C409">
        <v>133</v>
      </c>
      <c r="D409">
        <v>291</v>
      </c>
    </row>
    <row r="410" spans="1:4">
      <c r="A410" t="s">
        <v>1739</v>
      </c>
      <c r="B410" t="s">
        <v>1239</v>
      </c>
      <c r="C410">
        <v>128</v>
      </c>
      <c r="D410">
        <v>255</v>
      </c>
    </row>
    <row r="411" spans="1:4">
      <c r="A411" t="s">
        <v>1740</v>
      </c>
      <c r="B411" t="s">
        <v>1219</v>
      </c>
      <c r="C411">
        <v>124</v>
      </c>
      <c r="D411">
        <v>440</v>
      </c>
    </row>
    <row r="412" spans="1:4">
      <c r="A412" t="s">
        <v>1741</v>
      </c>
      <c r="B412" t="s">
        <v>1235</v>
      </c>
      <c r="C412">
        <v>122</v>
      </c>
      <c r="D412">
        <v>343</v>
      </c>
    </row>
    <row r="413" spans="1:4">
      <c r="A413" t="s">
        <v>1742</v>
      </c>
      <c r="B413" t="s">
        <v>1211</v>
      </c>
      <c r="C413">
        <v>122</v>
      </c>
      <c r="D413">
        <v>311</v>
      </c>
    </row>
    <row r="414" spans="1:4">
      <c r="A414" t="s">
        <v>1743</v>
      </c>
      <c r="B414" t="s">
        <v>1221</v>
      </c>
      <c r="C414">
        <v>122</v>
      </c>
      <c r="D414">
        <v>278</v>
      </c>
    </row>
    <row r="415" spans="1:4">
      <c r="A415" t="s">
        <v>1744</v>
      </c>
      <c r="B415" t="s">
        <v>1187</v>
      </c>
      <c r="C415">
        <v>120</v>
      </c>
      <c r="D415">
        <v>216</v>
      </c>
    </row>
    <row r="416" spans="1:4">
      <c r="A416" t="s">
        <v>1745</v>
      </c>
      <c r="B416" t="s">
        <v>1215</v>
      </c>
      <c r="C416">
        <v>120</v>
      </c>
      <c r="D416">
        <v>271</v>
      </c>
    </row>
    <row r="417" spans="1:4">
      <c r="A417" t="s">
        <v>1746</v>
      </c>
      <c r="B417" t="s">
        <v>1235</v>
      </c>
      <c r="C417">
        <v>118</v>
      </c>
      <c r="D417">
        <v>220</v>
      </c>
    </row>
    <row r="418" spans="1:4">
      <c r="A418" t="s">
        <v>1747</v>
      </c>
      <c r="B418" t="s">
        <v>1193</v>
      </c>
      <c r="C418">
        <v>116</v>
      </c>
      <c r="D418">
        <v>435</v>
      </c>
    </row>
    <row r="419" spans="1:4">
      <c r="A419" t="s">
        <v>1748</v>
      </c>
      <c r="B419" t="s">
        <v>1229</v>
      </c>
      <c r="C419">
        <v>116</v>
      </c>
      <c r="D419">
        <v>410</v>
      </c>
    </row>
    <row r="420" spans="1:4">
      <c r="A420" t="s">
        <v>1749</v>
      </c>
      <c r="B420" t="s">
        <v>1183</v>
      </c>
      <c r="C420">
        <v>115</v>
      </c>
      <c r="D420">
        <v>244</v>
      </c>
    </row>
    <row r="421" spans="1:4">
      <c r="A421" t="s">
        <v>1750</v>
      </c>
      <c r="B421" t="s">
        <v>1183</v>
      </c>
      <c r="C421">
        <v>114</v>
      </c>
      <c r="D421">
        <v>172</v>
      </c>
    </row>
    <row r="422" spans="1:4">
      <c r="A422" t="s">
        <v>1751</v>
      </c>
      <c r="B422" t="s">
        <v>1229</v>
      </c>
      <c r="C422">
        <v>113</v>
      </c>
      <c r="D422">
        <v>330</v>
      </c>
    </row>
    <row r="423" spans="1:4">
      <c r="A423" t="s">
        <v>1752</v>
      </c>
      <c r="B423" t="s">
        <v>1185</v>
      </c>
      <c r="C423">
        <v>112</v>
      </c>
      <c r="D423">
        <v>285</v>
      </c>
    </row>
    <row r="424" spans="1:4">
      <c r="A424" t="s">
        <v>1753</v>
      </c>
      <c r="B424" t="s">
        <v>1187</v>
      </c>
      <c r="C424">
        <v>110</v>
      </c>
      <c r="D424">
        <v>273</v>
      </c>
    </row>
    <row r="425" spans="1:4">
      <c r="A425" t="s">
        <v>1754</v>
      </c>
      <c r="B425" t="s">
        <v>1209</v>
      </c>
      <c r="C425">
        <v>110</v>
      </c>
      <c r="D425">
        <v>474</v>
      </c>
    </row>
    <row r="426" spans="1:4">
      <c r="A426" t="s">
        <v>1755</v>
      </c>
      <c r="B426" t="s">
        <v>1205</v>
      </c>
      <c r="C426">
        <v>110</v>
      </c>
      <c r="D426">
        <v>209</v>
      </c>
    </row>
    <row r="427" spans="1:4">
      <c r="A427" t="s">
        <v>1756</v>
      </c>
      <c r="B427" t="s">
        <v>1183</v>
      </c>
      <c r="C427">
        <v>109</v>
      </c>
      <c r="D427">
        <v>217</v>
      </c>
    </row>
    <row r="428" spans="1:4">
      <c r="A428" t="s">
        <v>1757</v>
      </c>
      <c r="B428" t="s">
        <v>1185</v>
      </c>
      <c r="C428">
        <v>109</v>
      </c>
      <c r="D428">
        <v>273</v>
      </c>
    </row>
    <row r="429" spans="1:4">
      <c r="A429" t="s">
        <v>1758</v>
      </c>
      <c r="B429" t="s">
        <v>1237</v>
      </c>
      <c r="C429">
        <v>108</v>
      </c>
      <c r="D429">
        <v>297</v>
      </c>
    </row>
    <row r="430" spans="1:4">
      <c r="A430" t="s">
        <v>1759</v>
      </c>
      <c r="B430" t="s">
        <v>1225</v>
      </c>
      <c r="C430">
        <v>107</v>
      </c>
      <c r="D430">
        <v>212</v>
      </c>
    </row>
    <row r="431" spans="1:4">
      <c r="A431" t="s">
        <v>1760</v>
      </c>
      <c r="B431" t="s">
        <v>1187</v>
      </c>
      <c r="C431">
        <v>107</v>
      </c>
      <c r="D431">
        <v>337</v>
      </c>
    </row>
    <row r="432" spans="1:4">
      <c r="A432" t="s">
        <v>1304</v>
      </c>
      <c r="B432" t="s">
        <v>1207</v>
      </c>
      <c r="C432">
        <v>106</v>
      </c>
      <c r="D432">
        <v>333</v>
      </c>
    </row>
    <row r="433" spans="1:4">
      <c r="A433" t="s">
        <v>1761</v>
      </c>
      <c r="B433" t="s">
        <v>1237</v>
      </c>
      <c r="C433">
        <v>106</v>
      </c>
      <c r="D433">
        <v>300</v>
      </c>
    </row>
    <row r="434" spans="1:4">
      <c r="A434" t="s">
        <v>1762</v>
      </c>
      <c r="B434" t="s">
        <v>1209</v>
      </c>
      <c r="C434">
        <v>105</v>
      </c>
      <c r="D434">
        <v>218</v>
      </c>
    </row>
    <row r="435" spans="1:4">
      <c r="A435" t="s">
        <v>1763</v>
      </c>
      <c r="B435" t="s">
        <v>1203</v>
      </c>
      <c r="C435">
        <v>105</v>
      </c>
      <c r="D435">
        <v>290</v>
      </c>
    </row>
    <row r="436" spans="1:4">
      <c r="A436" t="s">
        <v>1315</v>
      </c>
      <c r="B436" t="s">
        <v>1207</v>
      </c>
      <c r="C436">
        <v>102</v>
      </c>
      <c r="D436">
        <v>337</v>
      </c>
    </row>
    <row r="437" spans="1:4">
      <c r="A437" t="s">
        <v>1764</v>
      </c>
      <c r="B437" t="s">
        <v>1199</v>
      </c>
      <c r="C437">
        <v>98</v>
      </c>
      <c r="D437">
        <v>257</v>
      </c>
    </row>
    <row r="438" spans="1:4">
      <c r="A438" t="s">
        <v>1765</v>
      </c>
      <c r="B438" t="s">
        <v>1233</v>
      </c>
      <c r="C438">
        <v>97</v>
      </c>
      <c r="D438">
        <v>244</v>
      </c>
    </row>
    <row r="439" spans="1:4">
      <c r="A439" t="s">
        <v>1766</v>
      </c>
      <c r="B439" t="s">
        <v>1213</v>
      </c>
      <c r="C439">
        <v>95</v>
      </c>
      <c r="D439">
        <v>440</v>
      </c>
    </row>
    <row r="440" spans="1:4">
      <c r="A440" t="s">
        <v>1319</v>
      </c>
      <c r="B440" t="s">
        <v>1207</v>
      </c>
      <c r="C440">
        <v>95</v>
      </c>
      <c r="D440">
        <v>293</v>
      </c>
    </row>
    <row r="441" spans="1:4">
      <c r="A441" t="s">
        <v>1767</v>
      </c>
      <c r="B441" t="s">
        <v>1183</v>
      </c>
      <c r="C441">
        <v>94</v>
      </c>
      <c r="D441">
        <v>317</v>
      </c>
    </row>
    <row r="442" spans="1:4">
      <c r="A442" t="s">
        <v>1305</v>
      </c>
      <c r="B442" t="s">
        <v>1207</v>
      </c>
      <c r="C442">
        <v>89</v>
      </c>
      <c r="D442">
        <v>285</v>
      </c>
    </row>
    <row r="443" spans="1:4">
      <c r="A443" t="s">
        <v>1768</v>
      </c>
      <c r="B443" t="s">
        <v>1211</v>
      </c>
      <c r="C443">
        <v>87</v>
      </c>
      <c r="D443">
        <v>228</v>
      </c>
    </row>
    <row r="444" spans="1:4">
      <c r="A444" t="s">
        <v>1769</v>
      </c>
      <c r="B444" t="s">
        <v>1219</v>
      </c>
      <c r="C444">
        <v>87</v>
      </c>
      <c r="D444">
        <v>320</v>
      </c>
    </row>
    <row r="445" spans="1:4">
      <c r="A445" t="s">
        <v>1770</v>
      </c>
      <c r="B445" t="s">
        <v>1217</v>
      </c>
      <c r="C445">
        <v>86</v>
      </c>
      <c r="D445">
        <v>146</v>
      </c>
    </row>
    <row r="446" spans="1:4">
      <c r="A446" t="s">
        <v>1771</v>
      </c>
      <c r="B446" t="s">
        <v>1217</v>
      </c>
      <c r="C446">
        <v>84</v>
      </c>
      <c r="D446">
        <v>475</v>
      </c>
    </row>
    <row r="447" spans="1:4">
      <c r="A447" t="s">
        <v>1772</v>
      </c>
      <c r="B447" t="s">
        <v>1185</v>
      </c>
      <c r="C447">
        <v>83</v>
      </c>
      <c r="D447">
        <v>244</v>
      </c>
    </row>
    <row r="448" spans="1:4">
      <c r="A448" t="s">
        <v>1773</v>
      </c>
      <c r="B448" t="s">
        <v>1227</v>
      </c>
      <c r="C448">
        <v>83</v>
      </c>
      <c r="D448">
        <v>133</v>
      </c>
    </row>
    <row r="449" spans="1:4">
      <c r="A449" t="s">
        <v>1774</v>
      </c>
      <c r="B449" t="s">
        <v>1219</v>
      </c>
      <c r="C449">
        <v>82</v>
      </c>
      <c r="D449">
        <v>250</v>
      </c>
    </row>
    <row r="450" spans="1:4">
      <c r="A450" t="s">
        <v>1775</v>
      </c>
      <c r="B450" t="s">
        <v>1239</v>
      </c>
      <c r="C450">
        <v>82</v>
      </c>
      <c r="D450">
        <v>197</v>
      </c>
    </row>
    <row r="451" spans="1:4">
      <c r="A451" t="s">
        <v>1776</v>
      </c>
      <c r="B451" t="s">
        <v>1219</v>
      </c>
      <c r="C451">
        <v>81</v>
      </c>
      <c r="D451">
        <v>147</v>
      </c>
    </row>
    <row r="452" spans="1:4">
      <c r="A452" t="s">
        <v>1777</v>
      </c>
      <c r="B452" t="s">
        <v>1239</v>
      </c>
      <c r="C452">
        <v>78</v>
      </c>
      <c r="D452">
        <v>171</v>
      </c>
    </row>
    <row r="453" spans="1:4">
      <c r="A453" t="s">
        <v>1778</v>
      </c>
      <c r="B453" t="s">
        <v>1225</v>
      </c>
      <c r="C453">
        <v>77</v>
      </c>
      <c r="D453">
        <v>192</v>
      </c>
    </row>
    <row r="454" spans="1:4">
      <c r="A454" t="s">
        <v>1779</v>
      </c>
      <c r="B454" t="s">
        <v>1205</v>
      </c>
      <c r="C454">
        <v>76</v>
      </c>
      <c r="D454">
        <v>212</v>
      </c>
    </row>
    <row r="455" spans="1:4">
      <c r="A455" t="s">
        <v>1780</v>
      </c>
      <c r="B455" t="s">
        <v>1209</v>
      </c>
      <c r="C455">
        <v>75</v>
      </c>
      <c r="D455">
        <v>146</v>
      </c>
    </row>
    <row r="456" spans="1:4">
      <c r="A456" t="s">
        <v>1781</v>
      </c>
      <c r="B456" t="s">
        <v>1193</v>
      </c>
      <c r="C456">
        <v>75</v>
      </c>
      <c r="D456">
        <v>151</v>
      </c>
    </row>
    <row r="457" spans="1:4">
      <c r="A457" t="s">
        <v>1300</v>
      </c>
      <c r="B457" t="s">
        <v>1207</v>
      </c>
      <c r="C457">
        <v>74</v>
      </c>
      <c r="D457">
        <v>313</v>
      </c>
    </row>
    <row r="458" spans="1:4">
      <c r="A458" t="s">
        <v>1782</v>
      </c>
      <c r="B458" t="s">
        <v>1239</v>
      </c>
      <c r="C458">
        <v>72</v>
      </c>
      <c r="D458">
        <v>180</v>
      </c>
    </row>
    <row r="459" spans="1:4">
      <c r="A459" t="s">
        <v>1783</v>
      </c>
      <c r="B459" t="s">
        <v>1191</v>
      </c>
      <c r="C459">
        <v>68</v>
      </c>
      <c r="D459">
        <v>292</v>
      </c>
    </row>
    <row r="460" spans="1:4">
      <c r="A460" t="s">
        <v>1784</v>
      </c>
      <c r="B460" t="s">
        <v>1217</v>
      </c>
      <c r="C460">
        <v>67</v>
      </c>
      <c r="D460">
        <v>125</v>
      </c>
    </row>
    <row r="461" spans="1:4">
      <c r="A461" t="s">
        <v>1785</v>
      </c>
      <c r="B461" t="s">
        <v>1221</v>
      </c>
      <c r="C461">
        <v>67</v>
      </c>
      <c r="D461">
        <v>144</v>
      </c>
    </row>
    <row r="462" spans="1:4">
      <c r="A462" t="s">
        <v>1786</v>
      </c>
      <c r="B462" t="s">
        <v>1225</v>
      </c>
      <c r="C462">
        <v>67</v>
      </c>
      <c r="D462">
        <v>222</v>
      </c>
    </row>
    <row r="463" spans="1:4">
      <c r="A463" t="s">
        <v>1787</v>
      </c>
      <c r="B463" t="s">
        <v>1213</v>
      </c>
      <c r="C463">
        <v>67</v>
      </c>
      <c r="D463">
        <v>115</v>
      </c>
    </row>
    <row r="464" spans="1:4">
      <c r="A464" t="s">
        <v>1788</v>
      </c>
      <c r="B464" t="s">
        <v>1201</v>
      </c>
      <c r="C464">
        <v>66</v>
      </c>
      <c r="D464">
        <v>116</v>
      </c>
    </row>
    <row r="465" spans="1:4">
      <c r="A465" t="s">
        <v>1303</v>
      </c>
      <c r="B465" t="s">
        <v>1207</v>
      </c>
      <c r="C465">
        <v>62</v>
      </c>
      <c r="D465">
        <v>140</v>
      </c>
    </row>
    <row r="466" spans="1:4">
      <c r="A466" t="s">
        <v>1789</v>
      </c>
      <c r="B466" t="s">
        <v>1183</v>
      </c>
      <c r="C466">
        <v>62</v>
      </c>
      <c r="D466">
        <v>128</v>
      </c>
    </row>
    <row r="467" spans="1:4">
      <c r="A467" t="s">
        <v>1790</v>
      </c>
      <c r="B467" t="s">
        <v>1203</v>
      </c>
      <c r="C467">
        <v>62</v>
      </c>
      <c r="D467">
        <v>148</v>
      </c>
    </row>
    <row r="468" spans="1:4">
      <c r="A468" t="s">
        <v>1791</v>
      </c>
      <c r="B468" t="s">
        <v>1231</v>
      </c>
      <c r="C468">
        <v>61</v>
      </c>
      <c r="D468">
        <v>147</v>
      </c>
    </row>
    <row r="469" spans="1:4">
      <c r="A469" t="s">
        <v>1792</v>
      </c>
      <c r="B469" t="s">
        <v>1235</v>
      </c>
      <c r="C469">
        <v>59</v>
      </c>
      <c r="D469">
        <v>110</v>
      </c>
    </row>
    <row r="470" spans="1:4">
      <c r="A470" t="s">
        <v>1793</v>
      </c>
      <c r="B470" t="s">
        <v>1235</v>
      </c>
      <c r="C470">
        <v>58</v>
      </c>
      <c r="D470">
        <v>172</v>
      </c>
    </row>
    <row r="471" spans="1:4">
      <c r="A471" t="s">
        <v>1794</v>
      </c>
      <c r="B471" t="s">
        <v>1195</v>
      </c>
      <c r="C471">
        <v>56</v>
      </c>
      <c r="D471">
        <v>160</v>
      </c>
    </row>
    <row r="472" spans="1:4">
      <c r="A472" t="s">
        <v>1314</v>
      </c>
      <c r="B472" t="s">
        <v>1207</v>
      </c>
      <c r="C472">
        <v>56</v>
      </c>
      <c r="D472">
        <v>125</v>
      </c>
    </row>
    <row r="473" spans="1:4">
      <c r="A473" t="s">
        <v>1795</v>
      </c>
      <c r="B473" t="s">
        <v>1185</v>
      </c>
      <c r="C473">
        <v>55</v>
      </c>
      <c r="D473">
        <v>135</v>
      </c>
    </row>
    <row r="474" spans="1:4">
      <c r="A474" t="s">
        <v>1796</v>
      </c>
      <c r="B474" t="s">
        <v>1183</v>
      </c>
      <c r="C474">
        <v>55</v>
      </c>
      <c r="D474">
        <v>88</v>
      </c>
    </row>
    <row r="475" spans="1:4">
      <c r="A475" t="s">
        <v>1797</v>
      </c>
      <c r="B475" t="s">
        <v>1183</v>
      </c>
      <c r="C475">
        <v>54</v>
      </c>
      <c r="D475">
        <v>137</v>
      </c>
    </row>
    <row r="476" spans="1:4">
      <c r="A476" t="s">
        <v>1798</v>
      </c>
      <c r="B476" t="s">
        <v>1235</v>
      </c>
      <c r="C476">
        <v>53</v>
      </c>
      <c r="D476">
        <v>182</v>
      </c>
    </row>
    <row r="477" spans="1:4">
      <c r="A477" t="s">
        <v>1799</v>
      </c>
      <c r="B477" t="s">
        <v>1181</v>
      </c>
      <c r="C477">
        <v>53</v>
      </c>
      <c r="D477">
        <v>111</v>
      </c>
    </row>
    <row r="478" spans="1:4">
      <c r="A478" t="s">
        <v>1800</v>
      </c>
      <c r="B478" t="s">
        <v>1191</v>
      </c>
      <c r="C478">
        <v>53</v>
      </c>
      <c r="D478">
        <v>156</v>
      </c>
    </row>
    <row r="479" spans="1:4">
      <c r="A479" t="s">
        <v>1801</v>
      </c>
      <c r="B479" t="s">
        <v>1205</v>
      </c>
      <c r="C479">
        <v>53</v>
      </c>
      <c r="D479">
        <v>98</v>
      </c>
    </row>
    <row r="480" spans="1:4">
      <c r="A480" t="s">
        <v>1802</v>
      </c>
      <c r="B480" t="s">
        <v>1225</v>
      </c>
      <c r="C480">
        <v>52</v>
      </c>
      <c r="D480">
        <v>97</v>
      </c>
    </row>
    <row r="481" spans="1:4">
      <c r="A481" t="s">
        <v>1803</v>
      </c>
      <c r="B481" t="s">
        <v>1219</v>
      </c>
      <c r="C481">
        <v>48</v>
      </c>
      <c r="D481">
        <v>153</v>
      </c>
    </row>
    <row r="482" spans="1:4">
      <c r="A482" t="s">
        <v>1804</v>
      </c>
      <c r="B482" t="s">
        <v>1203</v>
      </c>
      <c r="C482">
        <v>46</v>
      </c>
      <c r="D482">
        <v>108</v>
      </c>
    </row>
    <row r="483" spans="1:4">
      <c r="A483" t="s">
        <v>1805</v>
      </c>
      <c r="B483" t="s">
        <v>1199</v>
      </c>
      <c r="C483">
        <v>46</v>
      </c>
      <c r="D483">
        <v>88</v>
      </c>
    </row>
    <row r="484" spans="1:4">
      <c r="A484" t="s">
        <v>1806</v>
      </c>
      <c r="B484" t="s">
        <v>1211</v>
      </c>
      <c r="C484">
        <v>43</v>
      </c>
      <c r="D484">
        <v>106</v>
      </c>
    </row>
    <row r="485" spans="1:4">
      <c r="A485" t="s">
        <v>1807</v>
      </c>
      <c r="B485" t="s">
        <v>1181</v>
      </c>
      <c r="C485">
        <v>43</v>
      </c>
      <c r="D485">
        <v>55</v>
      </c>
    </row>
    <row r="486" spans="1:4">
      <c r="A486" t="s">
        <v>1808</v>
      </c>
      <c r="B486" t="s">
        <v>1187</v>
      </c>
      <c r="C486">
        <v>42</v>
      </c>
      <c r="D486">
        <v>71</v>
      </c>
    </row>
    <row r="487" spans="1:4">
      <c r="A487" t="s">
        <v>1809</v>
      </c>
      <c r="B487" t="s">
        <v>1213</v>
      </c>
      <c r="C487">
        <v>38</v>
      </c>
      <c r="D487">
        <v>86</v>
      </c>
    </row>
    <row r="488" spans="1:4">
      <c r="A488" t="s">
        <v>1810</v>
      </c>
      <c r="B488" t="s">
        <v>1191</v>
      </c>
      <c r="C488">
        <v>37</v>
      </c>
      <c r="D488">
        <v>61</v>
      </c>
    </row>
    <row r="489" spans="1:4">
      <c r="A489" t="s">
        <v>1811</v>
      </c>
      <c r="B489" t="s">
        <v>1189</v>
      </c>
      <c r="C489">
        <v>36</v>
      </c>
      <c r="D489">
        <v>73</v>
      </c>
    </row>
    <row r="490" spans="1:4">
      <c r="A490" t="s">
        <v>1812</v>
      </c>
      <c r="B490" t="s">
        <v>1221</v>
      </c>
      <c r="C490">
        <v>36</v>
      </c>
      <c r="D490">
        <v>86</v>
      </c>
    </row>
    <row r="491" spans="1:4">
      <c r="A491" t="s">
        <v>1813</v>
      </c>
      <c r="B491" t="s">
        <v>1191</v>
      </c>
      <c r="C491">
        <v>36</v>
      </c>
      <c r="D491">
        <v>65</v>
      </c>
    </row>
    <row r="492" spans="1:4">
      <c r="A492" t="s">
        <v>1814</v>
      </c>
      <c r="B492" t="s">
        <v>1209</v>
      </c>
      <c r="C492">
        <v>35</v>
      </c>
      <c r="D492">
        <v>79</v>
      </c>
    </row>
    <row r="493" spans="1:4">
      <c r="A493" t="s">
        <v>1815</v>
      </c>
      <c r="B493" t="s">
        <v>1227</v>
      </c>
      <c r="C493">
        <v>35</v>
      </c>
      <c r="D493">
        <v>80</v>
      </c>
    </row>
    <row r="494" spans="1:4">
      <c r="A494" t="s">
        <v>1816</v>
      </c>
      <c r="B494" t="s">
        <v>1203</v>
      </c>
      <c r="C494">
        <v>35</v>
      </c>
      <c r="D494">
        <v>104</v>
      </c>
    </row>
    <row r="495" spans="1:4">
      <c r="A495" t="s">
        <v>1817</v>
      </c>
      <c r="B495" t="s">
        <v>1185</v>
      </c>
      <c r="C495">
        <v>34</v>
      </c>
      <c r="D495">
        <v>74</v>
      </c>
    </row>
    <row r="496" spans="1:4">
      <c r="A496" t="s">
        <v>1818</v>
      </c>
      <c r="B496" t="s">
        <v>1217</v>
      </c>
      <c r="C496">
        <v>34</v>
      </c>
      <c r="D496">
        <v>97</v>
      </c>
    </row>
    <row r="497" spans="1:4">
      <c r="A497" t="s">
        <v>1819</v>
      </c>
      <c r="B497" t="s">
        <v>1229</v>
      </c>
      <c r="C497">
        <v>33</v>
      </c>
      <c r="D497">
        <v>77</v>
      </c>
    </row>
    <row r="498" spans="1:4">
      <c r="A498" t="s">
        <v>1820</v>
      </c>
      <c r="B498" t="s">
        <v>1185</v>
      </c>
      <c r="C498">
        <v>33</v>
      </c>
      <c r="D498">
        <v>129</v>
      </c>
    </row>
    <row r="499" spans="1:4">
      <c r="A499" t="s">
        <v>1821</v>
      </c>
      <c r="B499" t="s">
        <v>1211</v>
      </c>
      <c r="C499">
        <v>32</v>
      </c>
      <c r="D499">
        <v>83</v>
      </c>
    </row>
    <row r="500" spans="1:4">
      <c r="A500" t="s">
        <v>1822</v>
      </c>
      <c r="B500" t="s">
        <v>1237</v>
      </c>
      <c r="C500">
        <v>32</v>
      </c>
      <c r="D500">
        <v>99</v>
      </c>
    </row>
    <row r="501" spans="1:4">
      <c r="A501" t="s">
        <v>1823</v>
      </c>
      <c r="B501" t="s">
        <v>1195</v>
      </c>
      <c r="C501">
        <v>32</v>
      </c>
      <c r="D501">
        <v>76</v>
      </c>
    </row>
    <row r="502" spans="1:4">
      <c r="A502" t="s">
        <v>1824</v>
      </c>
      <c r="B502" t="s">
        <v>1195</v>
      </c>
      <c r="C502">
        <v>31</v>
      </c>
      <c r="D502">
        <v>67</v>
      </c>
    </row>
    <row r="503" spans="1:4">
      <c r="A503" t="s">
        <v>1825</v>
      </c>
      <c r="B503" t="s">
        <v>1219</v>
      </c>
      <c r="C503">
        <v>31</v>
      </c>
      <c r="D503">
        <v>70</v>
      </c>
    </row>
    <row r="504" spans="1:4">
      <c r="A504" t="s">
        <v>1826</v>
      </c>
      <c r="B504" t="s">
        <v>1203</v>
      </c>
      <c r="C504">
        <v>30</v>
      </c>
      <c r="D504">
        <v>87</v>
      </c>
    </row>
    <row r="505" spans="1:4">
      <c r="A505" t="s">
        <v>1827</v>
      </c>
      <c r="B505" t="s">
        <v>1213</v>
      </c>
      <c r="C505">
        <v>29</v>
      </c>
      <c r="D505">
        <v>88</v>
      </c>
    </row>
    <row r="506" spans="1:4">
      <c r="A506" t="s">
        <v>1828</v>
      </c>
      <c r="B506" t="s">
        <v>1219</v>
      </c>
      <c r="C506">
        <v>29</v>
      </c>
      <c r="D506">
        <v>46</v>
      </c>
    </row>
    <row r="507" spans="1:4">
      <c r="A507" t="s">
        <v>1829</v>
      </c>
      <c r="B507" t="s">
        <v>1187</v>
      </c>
      <c r="C507">
        <v>28</v>
      </c>
      <c r="D507">
        <v>64</v>
      </c>
    </row>
    <row r="508" spans="1:4">
      <c r="A508" t="s">
        <v>1830</v>
      </c>
      <c r="B508" t="s">
        <v>1211</v>
      </c>
      <c r="C508">
        <v>28</v>
      </c>
      <c r="D508">
        <v>69</v>
      </c>
    </row>
    <row r="509" spans="1:4">
      <c r="A509" t="s">
        <v>1831</v>
      </c>
      <c r="B509" t="s">
        <v>1195</v>
      </c>
      <c r="C509">
        <v>26</v>
      </c>
      <c r="D509">
        <v>78</v>
      </c>
    </row>
    <row r="510" spans="1:4">
      <c r="A510" t="s">
        <v>1832</v>
      </c>
      <c r="B510" t="s">
        <v>1181</v>
      </c>
      <c r="C510">
        <v>24</v>
      </c>
      <c r="D510">
        <v>53</v>
      </c>
    </row>
    <row r="511" spans="1:4">
      <c r="A511" t="s">
        <v>1833</v>
      </c>
      <c r="B511" t="s">
        <v>1193</v>
      </c>
      <c r="C511">
        <v>24</v>
      </c>
      <c r="D511">
        <v>43</v>
      </c>
    </row>
    <row r="512" spans="1:4">
      <c r="A512" t="s">
        <v>1834</v>
      </c>
      <c r="B512" t="s">
        <v>1201</v>
      </c>
      <c r="C512">
        <v>24</v>
      </c>
      <c r="D512">
        <v>68</v>
      </c>
    </row>
    <row r="513" spans="1:4">
      <c r="A513" t="s">
        <v>1835</v>
      </c>
      <c r="B513" t="s">
        <v>1231</v>
      </c>
      <c r="C513">
        <v>23</v>
      </c>
      <c r="D513">
        <v>52</v>
      </c>
    </row>
    <row r="514" spans="1:4">
      <c r="A514" t="s">
        <v>1836</v>
      </c>
      <c r="B514" t="s">
        <v>1195</v>
      </c>
      <c r="C514">
        <v>23</v>
      </c>
      <c r="D514">
        <v>79</v>
      </c>
    </row>
    <row r="515" spans="1:4">
      <c r="A515" t="s">
        <v>1837</v>
      </c>
      <c r="B515" t="s">
        <v>1231</v>
      </c>
      <c r="C515">
        <v>23</v>
      </c>
      <c r="D515">
        <v>61</v>
      </c>
    </row>
    <row r="516" spans="1:4">
      <c r="A516" t="s">
        <v>1838</v>
      </c>
      <c r="B516" t="s">
        <v>1199</v>
      </c>
      <c r="C516">
        <v>22</v>
      </c>
      <c r="D516">
        <v>52</v>
      </c>
    </row>
    <row r="517" spans="1:4">
      <c r="A517" t="s">
        <v>1839</v>
      </c>
      <c r="B517" t="s">
        <v>1189</v>
      </c>
      <c r="C517">
        <v>22</v>
      </c>
      <c r="D517">
        <v>41</v>
      </c>
    </row>
    <row r="518" spans="1:4">
      <c r="A518" t="s">
        <v>1840</v>
      </c>
      <c r="B518" t="s">
        <v>1215</v>
      </c>
      <c r="C518">
        <v>20</v>
      </c>
      <c r="D518">
        <v>40</v>
      </c>
    </row>
    <row r="519" spans="1:4">
      <c r="A519" t="s">
        <v>1841</v>
      </c>
      <c r="B519" t="s">
        <v>1205</v>
      </c>
      <c r="C519">
        <v>18</v>
      </c>
      <c r="D519">
        <v>57</v>
      </c>
    </row>
    <row r="520" spans="1:4">
      <c r="A520" t="s">
        <v>1842</v>
      </c>
      <c r="B520" t="s">
        <v>1213</v>
      </c>
      <c r="C520">
        <v>17</v>
      </c>
      <c r="D520">
        <v>48</v>
      </c>
    </row>
    <row r="521" spans="1:4">
      <c r="A521" t="s">
        <v>1843</v>
      </c>
      <c r="B521" t="s">
        <v>1229</v>
      </c>
      <c r="C521">
        <v>17</v>
      </c>
      <c r="D521">
        <v>57</v>
      </c>
    </row>
    <row r="522" spans="1:4">
      <c r="A522" t="s">
        <v>1844</v>
      </c>
      <c r="B522" t="s">
        <v>1187</v>
      </c>
      <c r="C522">
        <v>16</v>
      </c>
      <c r="D522">
        <v>40</v>
      </c>
    </row>
    <row r="523" spans="1:4">
      <c r="A523" t="s">
        <v>1845</v>
      </c>
      <c r="B523" t="s">
        <v>1233</v>
      </c>
      <c r="C523">
        <v>16</v>
      </c>
      <c r="D523">
        <v>29</v>
      </c>
    </row>
    <row r="524" spans="1:4">
      <c r="A524" t="s">
        <v>1846</v>
      </c>
      <c r="B524" t="s">
        <v>1215</v>
      </c>
      <c r="C524">
        <v>15</v>
      </c>
      <c r="D524">
        <v>59</v>
      </c>
    </row>
    <row r="525" spans="1:4">
      <c r="A525" t="s">
        <v>1344</v>
      </c>
      <c r="B525" t="s">
        <v>1197</v>
      </c>
      <c r="C525">
        <v>15</v>
      </c>
      <c r="D525">
        <v>42</v>
      </c>
    </row>
    <row r="526" spans="1:4">
      <c r="A526" t="s">
        <v>1847</v>
      </c>
      <c r="B526" t="s">
        <v>1213</v>
      </c>
      <c r="C526">
        <v>15</v>
      </c>
      <c r="D526">
        <v>66</v>
      </c>
    </row>
    <row r="527" spans="1:4">
      <c r="A527" t="s">
        <v>1848</v>
      </c>
      <c r="B527" t="s">
        <v>1237</v>
      </c>
      <c r="C527">
        <v>14</v>
      </c>
      <c r="D527">
        <v>60</v>
      </c>
    </row>
    <row r="528" spans="1:4">
      <c r="A528" t="s">
        <v>1849</v>
      </c>
      <c r="B528" t="s">
        <v>1231</v>
      </c>
      <c r="C528">
        <v>14</v>
      </c>
      <c r="D528">
        <v>32</v>
      </c>
    </row>
    <row r="529" spans="1:4">
      <c r="A529" t="s">
        <v>1301</v>
      </c>
      <c r="B529" t="s">
        <v>1207</v>
      </c>
      <c r="C529">
        <v>14</v>
      </c>
      <c r="D529">
        <v>49</v>
      </c>
    </row>
    <row r="530" spans="1:4">
      <c r="A530" t="s">
        <v>1850</v>
      </c>
      <c r="B530" t="s">
        <v>1201</v>
      </c>
      <c r="C530">
        <v>14</v>
      </c>
      <c r="D530">
        <v>25</v>
      </c>
    </row>
    <row r="531" spans="1:4">
      <c r="A531" t="s">
        <v>1360</v>
      </c>
      <c r="B531" t="s">
        <v>1197</v>
      </c>
      <c r="C531">
        <v>14</v>
      </c>
      <c r="D531">
        <v>22</v>
      </c>
    </row>
    <row r="532" spans="1:4">
      <c r="A532" t="s">
        <v>1851</v>
      </c>
      <c r="B532" t="s">
        <v>1229</v>
      </c>
      <c r="C532">
        <v>13</v>
      </c>
      <c r="D532">
        <v>18</v>
      </c>
    </row>
    <row r="533" spans="1:4">
      <c r="A533" t="s">
        <v>1852</v>
      </c>
      <c r="B533" t="s">
        <v>1191</v>
      </c>
      <c r="C533">
        <v>12</v>
      </c>
      <c r="D533">
        <v>46</v>
      </c>
    </row>
    <row r="534" spans="1:4">
      <c r="A534" t="s">
        <v>1853</v>
      </c>
      <c r="B534" t="s">
        <v>1189</v>
      </c>
      <c r="C534">
        <v>11</v>
      </c>
      <c r="D534">
        <v>23</v>
      </c>
    </row>
    <row r="535" spans="1:4">
      <c r="A535" t="s">
        <v>1854</v>
      </c>
      <c r="B535" t="s">
        <v>1205</v>
      </c>
      <c r="C535">
        <v>11</v>
      </c>
      <c r="D535">
        <v>15</v>
      </c>
    </row>
    <row r="536" spans="1:4">
      <c r="A536" t="s">
        <v>1855</v>
      </c>
      <c r="B536" t="s">
        <v>1189</v>
      </c>
      <c r="C536">
        <v>10</v>
      </c>
      <c r="D536">
        <v>26</v>
      </c>
    </row>
    <row r="537" spans="1:4">
      <c r="A537" t="s">
        <v>1856</v>
      </c>
      <c r="B537" t="s">
        <v>1213</v>
      </c>
      <c r="C537">
        <v>9</v>
      </c>
      <c r="D537">
        <v>33</v>
      </c>
    </row>
    <row r="538" spans="1:4">
      <c r="A538" t="s">
        <v>1857</v>
      </c>
      <c r="B538" t="s">
        <v>1219</v>
      </c>
      <c r="C538">
        <v>9</v>
      </c>
      <c r="D538">
        <v>24</v>
      </c>
    </row>
    <row r="539" spans="1:4">
      <c r="A539" t="s">
        <v>1858</v>
      </c>
      <c r="B539" t="s">
        <v>1227</v>
      </c>
      <c r="C539">
        <v>9</v>
      </c>
      <c r="D539">
        <v>10</v>
      </c>
    </row>
    <row r="540" spans="1:4">
      <c r="A540" t="s">
        <v>1859</v>
      </c>
      <c r="B540" t="s">
        <v>1203</v>
      </c>
      <c r="C540">
        <v>8</v>
      </c>
      <c r="D540">
        <v>23</v>
      </c>
    </row>
    <row r="541" spans="1:4">
      <c r="A541" t="s">
        <v>1860</v>
      </c>
      <c r="B541" t="s">
        <v>1225</v>
      </c>
      <c r="C541">
        <v>8</v>
      </c>
      <c r="D541">
        <v>29</v>
      </c>
    </row>
    <row r="542" spans="1:4">
      <c r="A542" t="s">
        <v>1861</v>
      </c>
      <c r="B542" t="s">
        <v>1219</v>
      </c>
      <c r="C542">
        <v>8</v>
      </c>
      <c r="D542">
        <v>15</v>
      </c>
    </row>
    <row r="543" spans="1:4">
      <c r="A543" t="s">
        <v>1862</v>
      </c>
      <c r="B543" t="s">
        <v>1189</v>
      </c>
      <c r="C543">
        <v>8</v>
      </c>
      <c r="D543">
        <v>16</v>
      </c>
    </row>
    <row r="544" spans="1:4">
      <c r="A544" t="s">
        <v>1863</v>
      </c>
      <c r="B544" t="s">
        <v>1215</v>
      </c>
      <c r="C544">
        <v>7</v>
      </c>
      <c r="D544">
        <v>23</v>
      </c>
    </row>
    <row r="545" spans="1:4">
      <c r="A545" t="s">
        <v>1346</v>
      </c>
      <c r="B545" t="s">
        <v>1197</v>
      </c>
      <c r="C545">
        <v>7</v>
      </c>
      <c r="D545">
        <v>13</v>
      </c>
    </row>
    <row r="546" spans="1:4">
      <c r="A546" t="s">
        <v>1864</v>
      </c>
      <c r="B546" t="s">
        <v>1185</v>
      </c>
      <c r="C546">
        <v>7</v>
      </c>
      <c r="D546">
        <v>27</v>
      </c>
    </row>
    <row r="547" spans="1:4">
      <c r="A547" t="s">
        <v>1865</v>
      </c>
      <c r="B547" t="s">
        <v>1225</v>
      </c>
      <c r="C547">
        <v>6</v>
      </c>
      <c r="D547">
        <v>24</v>
      </c>
    </row>
    <row r="548" spans="1:4">
      <c r="A548" t="s">
        <v>1866</v>
      </c>
      <c r="B548" t="s">
        <v>1219</v>
      </c>
      <c r="C548">
        <v>6</v>
      </c>
      <c r="D548">
        <v>25</v>
      </c>
    </row>
    <row r="549" spans="1:4">
      <c r="A549" t="s">
        <v>1867</v>
      </c>
      <c r="B549" t="s">
        <v>1229</v>
      </c>
      <c r="C549">
        <v>6</v>
      </c>
      <c r="D549">
        <v>21</v>
      </c>
    </row>
    <row r="550" spans="1:4">
      <c r="A550" t="s">
        <v>1868</v>
      </c>
      <c r="B550" t="s">
        <v>1203</v>
      </c>
      <c r="C550">
        <v>6</v>
      </c>
      <c r="D550">
        <v>7</v>
      </c>
    </row>
    <row r="551" spans="1:4">
      <c r="A551" t="s">
        <v>1869</v>
      </c>
      <c r="B551" t="s">
        <v>1235</v>
      </c>
      <c r="C551">
        <v>5</v>
      </c>
      <c r="D551">
        <v>19</v>
      </c>
    </row>
    <row r="552" spans="1:4">
      <c r="A552" t="s">
        <v>1870</v>
      </c>
      <c r="B552" t="s">
        <v>1231</v>
      </c>
      <c r="C552">
        <v>5</v>
      </c>
      <c r="D552">
        <v>10</v>
      </c>
    </row>
    <row r="553" spans="1:4">
      <c r="A553" t="s">
        <v>1342</v>
      </c>
      <c r="B553" t="s">
        <v>1197</v>
      </c>
      <c r="C553">
        <v>5</v>
      </c>
      <c r="D553">
        <v>7</v>
      </c>
    </row>
    <row r="554" spans="1:4">
      <c r="A554" t="s">
        <v>1871</v>
      </c>
      <c r="B554" t="s">
        <v>1233</v>
      </c>
      <c r="C554">
        <v>4</v>
      </c>
      <c r="D554">
        <v>28</v>
      </c>
    </row>
    <row r="555" spans="1:4">
      <c r="A555" t="s">
        <v>1355</v>
      </c>
      <c r="B555" t="s">
        <v>1197</v>
      </c>
      <c r="C555">
        <v>4</v>
      </c>
      <c r="D555">
        <v>15</v>
      </c>
    </row>
    <row r="556" spans="1:4">
      <c r="A556" t="s">
        <v>1872</v>
      </c>
      <c r="B556" t="s">
        <v>1235</v>
      </c>
      <c r="C556">
        <v>3</v>
      </c>
      <c r="D556">
        <v>14</v>
      </c>
    </row>
    <row r="557" spans="1:4">
      <c r="A557" t="s">
        <v>1873</v>
      </c>
      <c r="B557" t="s">
        <v>1215</v>
      </c>
      <c r="C557">
        <v>3</v>
      </c>
      <c r="D557">
        <v>12</v>
      </c>
    </row>
    <row r="558" spans="1:4">
      <c r="A558" t="s">
        <v>1316</v>
      </c>
      <c r="B558" t="s">
        <v>1207</v>
      </c>
      <c r="C558">
        <v>3</v>
      </c>
      <c r="D558">
        <v>4</v>
      </c>
    </row>
    <row r="559" spans="1:4">
      <c r="A559" t="s">
        <v>1874</v>
      </c>
      <c r="B559" t="s">
        <v>1183</v>
      </c>
      <c r="C559">
        <v>3</v>
      </c>
      <c r="D559">
        <v>6</v>
      </c>
    </row>
    <row r="560" spans="1:4">
      <c r="A560" t="s">
        <v>1875</v>
      </c>
      <c r="B560" t="s">
        <v>1199</v>
      </c>
      <c r="C560">
        <v>3</v>
      </c>
      <c r="D560">
        <v>11</v>
      </c>
    </row>
    <row r="561" spans="1:4">
      <c r="A561" t="s">
        <v>1876</v>
      </c>
      <c r="B561" t="s">
        <v>1199</v>
      </c>
      <c r="C561">
        <v>2</v>
      </c>
      <c r="D561">
        <v>18</v>
      </c>
    </row>
    <row r="562" spans="1:4">
      <c r="A562" t="s">
        <v>1877</v>
      </c>
      <c r="B562" t="s">
        <v>1221</v>
      </c>
      <c r="C562">
        <v>2</v>
      </c>
      <c r="D562">
        <v>6</v>
      </c>
    </row>
    <row r="563" spans="1:4">
      <c r="A563" t="s">
        <v>1878</v>
      </c>
      <c r="B563" t="s">
        <v>1215</v>
      </c>
      <c r="C563">
        <v>1</v>
      </c>
      <c r="D563">
        <v>6</v>
      </c>
    </row>
    <row r="564" spans="1:4">
      <c r="A564" t="s">
        <v>1879</v>
      </c>
      <c r="B564" t="s">
        <v>1223</v>
      </c>
      <c r="C564">
        <v>0</v>
      </c>
      <c r="D564">
        <v>6</v>
      </c>
    </row>
    <row r="565" spans="1:4">
      <c r="A565" t="s">
        <v>1880</v>
      </c>
      <c r="B565" t="s">
        <v>1231</v>
      </c>
      <c r="C565">
        <v>0</v>
      </c>
      <c r="D565">
        <v>4</v>
      </c>
    </row>
    <row r="566" spans="1:4">
      <c r="A566" t="s">
        <v>1881</v>
      </c>
      <c r="B566" t="s">
        <v>1203</v>
      </c>
      <c r="C566">
        <v>0</v>
      </c>
      <c r="D566">
        <v>3</v>
      </c>
    </row>
    <row r="567" spans="1:4">
      <c r="A567" t="s">
        <v>1882</v>
      </c>
      <c r="B567" t="s">
        <v>1231</v>
      </c>
      <c r="C567">
        <v>0</v>
      </c>
      <c r="D567">
        <v>3</v>
      </c>
    </row>
    <row r="568" spans="1:4">
      <c r="A568" t="s">
        <v>1883</v>
      </c>
      <c r="B568" t="s">
        <v>1215</v>
      </c>
      <c r="C568">
        <v>0</v>
      </c>
      <c r="D568">
        <v>2</v>
      </c>
    </row>
    <row r="569" spans="1:4">
      <c r="A569" t="s">
        <v>1288</v>
      </c>
      <c r="B569" t="s">
        <v>1239</v>
      </c>
      <c r="C569">
        <v>0</v>
      </c>
      <c r="D569">
        <v>4</v>
      </c>
    </row>
    <row r="570" spans="1:4">
      <c r="A570" t="s">
        <v>1884</v>
      </c>
      <c r="B570" t="s">
        <v>1211</v>
      </c>
      <c r="C570">
        <v>0</v>
      </c>
      <c r="D570">
        <v>5</v>
      </c>
    </row>
    <row r="571" spans="1:4">
      <c r="A571" t="s">
        <v>1885</v>
      </c>
      <c r="B571" t="s">
        <v>1233</v>
      </c>
      <c r="C571">
        <v>0</v>
      </c>
      <c r="D571">
        <v>2</v>
      </c>
    </row>
    <row r="572" spans="1:4">
      <c r="A572" t="s">
        <v>1886</v>
      </c>
      <c r="B572" t="s">
        <v>1209</v>
      </c>
      <c r="C572">
        <v>0</v>
      </c>
      <c r="D572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D699-11C0-4949-8129-18FA3FE42CA7}">
  <dimension ref="A1:D572"/>
  <sheetViews>
    <sheetView tabSelected="1" topLeftCell="A6" workbookViewId="0">
      <selection activeCell="D11" sqref="D11"/>
    </sheetView>
  </sheetViews>
  <sheetFormatPr baseColWidth="10" defaultRowHeight="13.2"/>
  <cols>
    <col min="1" max="1" width="22" bestFit="1" customWidth="1"/>
    <col min="2" max="2" width="9.33203125" customWidth="1"/>
    <col min="3" max="3" width="14.88671875" customWidth="1"/>
    <col min="4" max="4" width="14.77734375" customWidth="1"/>
  </cols>
  <sheetData>
    <row r="1" spans="1:4" ht="15.6">
      <c r="A1" s="55" t="s">
        <v>1890</v>
      </c>
      <c r="B1" s="37"/>
      <c r="C1" s="37"/>
    </row>
    <row r="3" spans="1:4" ht="52.8">
      <c r="A3" s="74" t="s">
        <v>0</v>
      </c>
      <c r="B3" s="74" t="s">
        <v>1</v>
      </c>
      <c r="C3" s="74" t="s">
        <v>1889</v>
      </c>
      <c r="D3" s="74" t="s">
        <v>1888</v>
      </c>
    </row>
    <row r="4" spans="1:4">
      <c r="A4" t="s">
        <v>1363</v>
      </c>
      <c r="B4" t="s">
        <v>1221</v>
      </c>
      <c r="C4">
        <v>2.66</v>
      </c>
      <c r="D4">
        <v>19.899999999999999</v>
      </c>
    </row>
    <row r="5" spans="1:4">
      <c r="A5" t="s">
        <v>1335</v>
      </c>
      <c r="B5" t="s">
        <v>1215</v>
      </c>
      <c r="C5">
        <v>1.44</v>
      </c>
      <c r="D5">
        <v>14</v>
      </c>
    </row>
    <row r="6" spans="1:4">
      <c r="A6" t="s">
        <v>1336</v>
      </c>
      <c r="B6" t="s">
        <v>1195</v>
      </c>
      <c r="C6">
        <v>3.11</v>
      </c>
      <c r="D6">
        <v>20.6</v>
      </c>
    </row>
    <row r="7" spans="1:4">
      <c r="A7" t="s">
        <v>1364</v>
      </c>
      <c r="B7" t="s">
        <v>1213</v>
      </c>
      <c r="C7">
        <v>2.1</v>
      </c>
      <c r="D7">
        <v>21</v>
      </c>
    </row>
    <row r="8" spans="1:4">
      <c r="A8" t="s">
        <v>1365</v>
      </c>
      <c r="B8" t="s">
        <v>1185</v>
      </c>
      <c r="C8">
        <v>2.6</v>
      </c>
      <c r="D8">
        <v>15.8</v>
      </c>
    </row>
    <row r="9" spans="1:4">
      <c r="A9" t="s">
        <v>53</v>
      </c>
      <c r="B9" t="s">
        <v>1227</v>
      </c>
      <c r="C9">
        <v>2.4</v>
      </c>
      <c r="D9">
        <v>12.2</v>
      </c>
    </row>
    <row r="10" spans="1:4">
      <c r="A10" t="s">
        <v>1366</v>
      </c>
      <c r="B10" t="s">
        <v>1211</v>
      </c>
      <c r="C10">
        <v>2.14</v>
      </c>
      <c r="D10">
        <v>13.9</v>
      </c>
    </row>
    <row r="11" spans="1:4">
      <c r="A11" t="s">
        <v>1367</v>
      </c>
      <c r="B11" t="s">
        <v>1181</v>
      </c>
      <c r="C11">
        <v>2.48</v>
      </c>
      <c r="D11">
        <v>12.9</v>
      </c>
    </row>
    <row r="12" spans="1:4">
      <c r="A12" t="s">
        <v>1345</v>
      </c>
      <c r="B12" t="s">
        <v>1197</v>
      </c>
      <c r="C12">
        <v>2.06</v>
      </c>
      <c r="D12">
        <v>15.2</v>
      </c>
    </row>
    <row r="13" spans="1:4">
      <c r="A13" t="s">
        <v>1368</v>
      </c>
      <c r="B13" t="s">
        <v>1205</v>
      </c>
      <c r="C13">
        <v>2.0099999999999998</v>
      </c>
      <c r="D13">
        <v>14.5</v>
      </c>
    </row>
    <row r="14" spans="1:4">
      <c r="A14" t="s">
        <v>1339</v>
      </c>
      <c r="B14" t="s">
        <v>1219</v>
      </c>
      <c r="C14">
        <v>1.1599999999999999</v>
      </c>
      <c r="D14">
        <v>16.100000000000001</v>
      </c>
    </row>
    <row r="15" spans="1:4">
      <c r="A15" t="s">
        <v>1338</v>
      </c>
      <c r="B15" t="s">
        <v>1231</v>
      </c>
      <c r="C15">
        <v>1.49</v>
      </c>
      <c r="D15">
        <v>11.5</v>
      </c>
    </row>
    <row r="16" spans="1:4">
      <c r="A16" t="s">
        <v>1369</v>
      </c>
      <c r="B16" t="s">
        <v>1201</v>
      </c>
      <c r="C16">
        <v>1.39</v>
      </c>
      <c r="D16">
        <v>11.1</v>
      </c>
    </row>
    <row r="17" spans="1:4">
      <c r="A17" t="s">
        <v>1370</v>
      </c>
      <c r="B17" t="s">
        <v>1199</v>
      </c>
      <c r="C17">
        <v>2.11</v>
      </c>
      <c r="D17">
        <v>14.5</v>
      </c>
    </row>
    <row r="18" spans="1:4">
      <c r="A18" t="s">
        <v>1371</v>
      </c>
      <c r="B18" t="s">
        <v>1231</v>
      </c>
      <c r="C18">
        <v>3.26</v>
      </c>
      <c r="D18">
        <v>11.2</v>
      </c>
    </row>
    <row r="19" spans="1:4">
      <c r="A19" t="s">
        <v>1312</v>
      </c>
      <c r="B19" t="s">
        <v>1207</v>
      </c>
      <c r="C19">
        <v>2.21</v>
      </c>
      <c r="D19">
        <v>16.899999999999999</v>
      </c>
    </row>
    <row r="20" spans="1:4">
      <c r="A20" t="s">
        <v>1372</v>
      </c>
      <c r="B20" t="s">
        <v>1191</v>
      </c>
      <c r="C20">
        <v>2.38</v>
      </c>
      <c r="D20">
        <v>13.7</v>
      </c>
    </row>
    <row r="21" spans="1:4">
      <c r="A21" t="s">
        <v>1373</v>
      </c>
      <c r="B21" t="s">
        <v>1219</v>
      </c>
      <c r="C21">
        <v>2.9</v>
      </c>
      <c r="D21">
        <v>13.8</v>
      </c>
    </row>
    <row r="22" spans="1:4">
      <c r="A22" t="s">
        <v>1374</v>
      </c>
      <c r="B22" t="s">
        <v>1227</v>
      </c>
      <c r="C22">
        <v>1.38</v>
      </c>
      <c r="D22">
        <v>14.2</v>
      </c>
    </row>
    <row r="23" spans="1:4">
      <c r="A23" t="s">
        <v>1375</v>
      </c>
      <c r="B23" t="s">
        <v>1209</v>
      </c>
      <c r="C23">
        <v>0.97</v>
      </c>
      <c r="D23">
        <v>12.4</v>
      </c>
    </row>
    <row r="24" spans="1:4">
      <c r="A24" t="s">
        <v>1376</v>
      </c>
      <c r="B24" t="s">
        <v>1203</v>
      </c>
      <c r="C24">
        <v>2.41</v>
      </c>
      <c r="D24">
        <v>13</v>
      </c>
    </row>
    <row r="25" spans="1:4">
      <c r="A25" t="s">
        <v>1377</v>
      </c>
      <c r="B25" t="s">
        <v>1191</v>
      </c>
      <c r="C25">
        <v>2.68</v>
      </c>
      <c r="D25">
        <v>12.6</v>
      </c>
    </row>
    <row r="26" spans="1:4">
      <c r="A26" t="s">
        <v>1378</v>
      </c>
      <c r="B26" t="s">
        <v>1189</v>
      </c>
      <c r="C26">
        <v>1.86</v>
      </c>
      <c r="D26">
        <v>10.3</v>
      </c>
    </row>
    <row r="27" spans="1:4">
      <c r="A27" t="s">
        <v>1379</v>
      </c>
      <c r="B27" t="s">
        <v>1221</v>
      </c>
      <c r="C27">
        <v>2.37</v>
      </c>
      <c r="D27">
        <v>13.8</v>
      </c>
    </row>
    <row r="28" spans="1:4">
      <c r="A28" t="s">
        <v>1302</v>
      </c>
      <c r="B28" t="s">
        <v>1207</v>
      </c>
      <c r="C28">
        <v>2.38</v>
      </c>
      <c r="D28">
        <v>11.8</v>
      </c>
    </row>
    <row r="29" spans="1:4">
      <c r="A29" t="s">
        <v>1380</v>
      </c>
      <c r="B29" t="s">
        <v>1233</v>
      </c>
      <c r="C29">
        <v>2.25</v>
      </c>
      <c r="D29">
        <v>11.9</v>
      </c>
    </row>
    <row r="30" spans="1:4">
      <c r="A30" t="s">
        <v>1381</v>
      </c>
      <c r="B30" t="s">
        <v>1201</v>
      </c>
      <c r="C30">
        <v>1.92</v>
      </c>
      <c r="D30">
        <v>15.3</v>
      </c>
    </row>
    <row r="31" spans="1:4">
      <c r="A31" t="s">
        <v>1382</v>
      </c>
      <c r="B31" t="s">
        <v>1223</v>
      </c>
      <c r="C31">
        <v>2.06</v>
      </c>
      <c r="D31">
        <v>15.3</v>
      </c>
    </row>
    <row r="32" spans="1:4">
      <c r="A32" t="s">
        <v>1383</v>
      </c>
      <c r="B32" t="s">
        <v>1213</v>
      </c>
      <c r="C32">
        <v>2.5299999999999998</v>
      </c>
      <c r="D32">
        <v>14.4</v>
      </c>
    </row>
    <row r="33" spans="1:4">
      <c r="A33" t="s">
        <v>1384</v>
      </c>
      <c r="B33" t="s">
        <v>1219</v>
      </c>
      <c r="C33">
        <v>2.3199999999999998</v>
      </c>
      <c r="D33">
        <v>9</v>
      </c>
    </row>
    <row r="34" spans="1:4">
      <c r="A34" t="s">
        <v>1385</v>
      </c>
      <c r="B34" t="s">
        <v>1195</v>
      </c>
      <c r="C34">
        <v>2.92</v>
      </c>
      <c r="D34">
        <v>11.1</v>
      </c>
    </row>
    <row r="35" spans="1:4">
      <c r="A35" t="s">
        <v>1386</v>
      </c>
      <c r="B35" t="s">
        <v>1211</v>
      </c>
      <c r="C35">
        <v>2.09</v>
      </c>
      <c r="D35">
        <v>13.7</v>
      </c>
    </row>
    <row r="36" spans="1:4">
      <c r="A36" t="s">
        <v>1313</v>
      </c>
      <c r="B36" t="s">
        <v>1207</v>
      </c>
      <c r="C36">
        <v>2.14</v>
      </c>
      <c r="D36">
        <v>17</v>
      </c>
    </row>
    <row r="37" spans="1:4">
      <c r="A37" t="s">
        <v>1387</v>
      </c>
      <c r="B37" t="s">
        <v>1195</v>
      </c>
      <c r="C37">
        <v>1.59</v>
      </c>
      <c r="D37">
        <v>10.1</v>
      </c>
    </row>
    <row r="38" spans="1:4">
      <c r="A38" t="s">
        <v>1388</v>
      </c>
      <c r="B38" t="s">
        <v>1185</v>
      </c>
      <c r="C38">
        <v>1.77</v>
      </c>
      <c r="D38">
        <v>11.4</v>
      </c>
    </row>
    <row r="39" spans="1:4">
      <c r="A39" t="s">
        <v>1389</v>
      </c>
      <c r="B39" t="s">
        <v>1239</v>
      </c>
      <c r="C39">
        <v>1.49</v>
      </c>
      <c r="D39">
        <v>10.7</v>
      </c>
    </row>
    <row r="40" spans="1:4">
      <c r="A40" t="s">
        <v>1390</v>
      </c>
      <c r="B40" t="s">
        <v>1225</v>
      </c>
      <c r="C40">
        <v>2.56</v>
      </c>
      <c r="D40">
        <v>12.7</v>
      </c>
    </row>
    <row r="41" spans="1:4">
      <c r="A41" t="s">
        <v>1391</v>
      </c>
      <c r="B41" t="s">
        <v>1203</v>
      </c>
      <c r="C41">
        <v>5.61</v>
      </c>
      <c r="D41">
        <v>14.3</v>
      </c>
    </row>
    <row r="42" spans="1:4">
      <c r="A42" t="s">
        <v>1392</v>
      </c>
      <c r="B42" t="s">
        <v>1229</v>
      </c>
      <c r="C42">
        <v>2.36</v>
      </c>
      <c r="D42">
        <v>10.6</v>
      </c>
    </row>
    <row r="43" spans="1:4">
      <c r="A43" t="s">
        <v>1393</v>
      </c>
      <c r="B43" t="s">
        <v>1189</v>
      </c>
      <c r="C43">
        <v>2.15</v>
      </c>
      <c r="D43">
        <v>13.6</v>
      </c>
    </row>
    <row r="44" spans="1:4">
      <c r="A44" t="s">
        <v>1394</v>
      </c>
      <c r="B44" t="s">
        <v>1205</v>
      </c>
      <c r="C44">
        <v>1.69</v>
      </c>
      <c r="D44">
        <v>15.7</v>
      </c>
    </row>
    <row r="45" spans="1:4">
      <c r="A45" t="s">
        <v>1395</v>
      </c>
      <c r="B45" t="s">
        <v>1231</v>
      </c>
      <c r="C45">
        <v>2.09</v>
      </c>
      <c r="D45">
        <v>16.399999999999999</v>
      </c>
    </row>
    <row r="46" spans="1:4">
      <c r="A46" t="s">
        <v>1352</v>
      </c>
      <c r="B46" t="s">
        <v>1197</v>
      </c>
      <c r="C46">
        <v>1.67</v>
      </c>
      <c r="D46">
        <v>9.1</v>
      </c>
    </row>
    <row r="47" spans="1:4">
      <c r="A47" t="s">
        <v>1396</v>
      </c>
      <c r="B47" t="s">
        <v>1229</v>
      </c>
      <c r="C47">
        <v>1.32</v>
      </c>
      <c r="D47">
        <v>10.199999999999999</v>
      </c>
    </row>
    <row r="48" spans="1:4">
      <c r="A48" t="s">
        <v>1397</v>
      </c>
      <c r="B48" t="s">
        <v>1219</v>
      </c>
      <c r="C48">
        <v>1.61</v>
      </c>
      <c r="D48">
        <v>9.3000000000000007</v>
      </c>
    </row>
    <row r="49" spans="1:4">
      <c r="A49" t="s">
        <v>1398</v>
      </c>
      <c r="B49" t="s">
        <v>1209</v>
      </c>
      <c r="C49">
        <v>2.1800000000000002</v>
      </c>
      <c r="D49">
        <v>13.1</v>
      </c>
    </row>
    <row r="50" spans="1:4">
      <c r="A50" t="s">
        <v>1399</v>
      </c>
      <c r="B50" t="s">
        <v>1191</v>
      </c>
      <c r="C50">
        <v>1.56</v>
      </c>
      <c r="D50">
        <v>15.1</v>
      </c>
    </row>
    <row r="51" spans="1:4">
      <c r="A51" t="s">
        <v>1400</v>
      </c>
      <c r="B51" t="s">
        <v>1205</v>
      </c>
      <c r="C51">
        <v>1.1599999999999999</v>
      </c>
      <c r="D51">
        <v>11</v>
      </c>
    </row>
    <row r="52" spans="1:4">
      <c r="A52" t="s">
        <v>1401</v>
      </c>
      <c r="B52" t="s">
        <v>1187</v>
      </c>
      <c r="C52">
        <v>1.82</v>
      </c>
      <c r="D52">
        <v>13.5</v>
      </c>
    </row>
    <row r="53" spans="1:4">
      <c r="A53" t="s">
        <v>1402</v>
      </c>
      <c r="B53" t="s">
        <v>1215</v>
      </c>
      <c r="C53">
        <v>1.65</v>
      </c>
      <c r="D53">
        <v>12.4</v>
      </c>
    </row>
    <row r="54" spans="1:4">
      <c r="A54" t="s">
        <v>1403</v>
      </c>
      <c r="B54" t="s">
        <v>1193</v>
      </c>
      <c r="C54">
        <v>1.6</v>
      </c>
      <c r="D54">
        <v>17.899999999999999</v>
      </c>
    </row>
    <row r="55" spans="1:4">
      <c r="A55" t="s">
        <v>1404</v>
      </c>
      <c r="B55" t="s">
        <v>1235</v>
      </c>
      <c r="C55">
        <v>2.04</v>
      </c>
      <c r="D55">
        <v>13.9</v>
      </c>
    </row>
    <row r="56" spans="1:4">
      <c r="A56" t="s">
        <v>1405</v>
      </c>
      <c r="B56" t="s">
        <v>1185</v>
      </c>
      <c r="C56">
        <v>2.76</v>
      </c>
      <c r="D56">
        <v>10.6</v>
      </c>
    </row>
    <row r="57" spans="1:4">
      <c r="A57" t="s">
        <v>1406</v>
      </c>
      <c r="B57" t="s">
        <v>1193</v>
      </c>
      <c r="C57">
        <v>2.08</v>
      </c>
      <c r="D57">
        <v>12.9</v>
      </c>
    </row>
    <row r="58" spans="1:4">
      <c r="A58" t="s">
        <v>1407</v>
      </c>
      <c r="B58" t="s">
        <v>1235</v>
      </c>
      <c r="C58">
        <v>1.9</v>
      </c>
      <c r="D58">
        <v>12.1</v>
      </c>
    </row>
    <row r="59" spans="1:4">
      <c r="A59" t="s">
        <v>1408</v>
      </c>
      <c r="B59" t="s">
        <v>1229</v>
      </c>
      <c r="C59">
        <v>1.43</v>
      </c>
      <c r="D59">
        <v>12.6</v>
      </c>
    </row>
    <row r="60" spans="1:4">
      <c r="A60" t="s">
        <v>1409</v>
      </c>
      <c r="B60" t="s">
        <v>1195</v>
      </c>
      <c r="C60">
        <v>2.5299999999999998</v>
      </c>
      <c r="D60">
        <v>9.6</v>
      </c>
    </row>
    <row r="61" spans="1:4">
      <c r="A61" t="s">
        <v>1410</v>
      </c>
      <c r="B61" t="s">
        <v>1233</v>
      </c>
      <c r="C61">
        <v>1.88</v>
      </c>
      <c r="D61">
        <v>8.6999999999999993</v>
      </c>
    </row>
    <row r="62" spans="1:4">
      <c r="A62" t="s">
        <v>1411</v>
      </c>
      <c r="B62" t="s">
        <v>1223</v>
      </c>
      <c r="C62">
        <v>1.61</v>
      </c>
      <c r="D62">
        <v>15.7</v>
      </c>
    </row>
    <row r="63" spans="1:4">
      <c r="A63" t="s">
        <v>1412</v>
      </c>
      <c r="B63" t="s">
        <v>1187</v>
      </c>
      <c r="C63">
        <v>2.0699999999999998</v>
      </c>
      <c r="D63">
        <v>12.7</v>
      </c>
    </row>
    <row r="64" spans="1:4">
      <c r="A64" t="s">
        <v>1413</v>
      </c>
      <c r="B64" t="s">
        <v>1217</v>
      </c>
      <c r="C64">
        <v>2.14</v>
      </c>
      <c r="D64">
        <v>9.6999999999999993</v>
      </c>
    </row>
    <row r="65" spans="1:4">
      <c r="A65" t="s">
        <v>1414</v>
      </c>
      <c r="B65" t="s">
        <v>1209</v>
      </c>
      <c r="C65">
        <v>1.97</v>
      </c>
      <c r="D65">
        <v>14.1</v>
      </c>
    </row>
    <row r="66" spans="1:4">
      <c r="A66" t="s">
        <v>1415</v>
      </c>
      <c r="B66" t="s">
        <v>1237</v>
      </c>
      <c r="C66">
        <v>1.65</v>
      </c>
      <c r="D66">
        <v>10.6</v>
      </c>
    </row>
    <row r="67" spans="1:4">
      <c r="A67" t="s">
        <v>1416</v>
      </c>
      <c r="B67" t="s">
        <v>1203</v>
      </c>
      <c r="C67">
        <v>1.01</v>
      </c>
      <c r="D67">
        <v>9.1999999999999993</v>
      </c>
    </row>
    <row r="68" spans="1:4">
      <c r="A68" t="s">
        <v>1417</v>
      </c>
      <c r="B68" t="s">
        <v>1185</v>
      </c>
      <c r="C68">
        <v>3.36</v>
      </c>
      <c r="D68">
        <v>11.6</v>
      </c>
    </row>
    <row r="69" spans="1:4">
      <c r="A69" t="s">
        <v>1418</v>
      </c>
      <c r="B69" t="s">
        <v>1215</v>
      </c>
      <c r="C69">
        <v>1.68</v>
      </c>
      <c r="D69">
        <v>11</v>
      </c>
    </row>
    <row r="70" spans="1:4">
      <c r="A70" t="s">
        <v>1419</v>
      </c>
      <c r="B70" t="s">
        <v>1237</v>
      </c>
      <c r="C70">
        <v>2.06</v>
      </c>
      <c r="D70">
        <v>9.3000000000000007</v>
      </c>
    </row>
    <row r="71" spans="1:4">
      <c r="A71" t="s">
        <v>1420</v>
      </c>
      <c r="B71" t="s">
        <v>1217</v>
      </c>
      <c r="C71">
        <v>1.83</v>
      </c>
      <c r="D71">
        <v>11</v>
      </c>
    </row>
    <row r="72" spans="1:4">
      <c r="A72" t="s">
        <v>1421</v>
      </c>
      <c r="B72" t="s">
        <v>1203</v>
      </c>
      <c r="C72">
        <v>0.9</v>
      </c>
      <c r="D72">
        <v>10.3</v>
      </c>
    </row>
    <row r="73" spans="1:4">
      <c r="A73" t="s">
        <v>1422</v>
      </c>
      <c r="B73" t="s">
        <v>1231</v>
      </c>
      <c r="C73">
        <v>2.2799999999999998</v>
      </c>
      <c r="D73">
        <v>9.9</v>
      </c>
    </row>
    <row r="74" spans="1:4">
      <c r="A74" t="s">
        <v>1423</v>
      </c>
      <c r="B74" t="s">
        <v>1233</v>
      </c>
      <c r="C74">
        <v>1.1299999999999999</v>
      </c>
      <c r="D74">
        <v>16.8</v>
      </c>
    </row>
    <row r="75" spans="1:4">
      <c r="A75" t="s">
        <v>1424</v>
      </c>
      <c r="B75" t="s">
        <v>1191</v>
      </c>
      <c r="C75">
        <v>1.63</v>
      </c>
      <c r="D75">
        <v>14.8</v>
      </c>
    </row>
    <row r="76" spans="1:4">
      <c r="A76" t="s">
        <v>1425</v>
      </c>
      <c r="B76" t="s">
        <v>1225</v>
      </c>
      <c r="C76">
        <v>1.62</v>
      </c>
      <c r="D76">
        <v>10.5</v>
      </c>
    </row>
    <row r="77" spans="1:4">
      <c r="A77" t="s">
        <v>1426</v>
      </c>
      <c r="B77" t="s">
        <v>1191</v>
      </c>
      <c r="C77">
        <v>1.1200000000000001</v>
      </c>
      <c r="D77">
        <v>10.1</v>
      </c>
    </row>
    <row r="78" spans="1:4">
      <c r="A78" t="s">
        <v>1427</v>
      </c>
      <c r="B78" t="s">
        <v>1211</v>
      </c>
      <c r="C78">
        <v>1.6</v>
      </c>
      <c r="D78">
        <v>10.5</v>
      </c>
    </row>
    <row r="79" spans="1:4">
      <c r="A79" t="s">
        <v>1428</v>
      </c>
      <c r="B79" t="s">
        <v>1181</v>
      </c>
      <c r="C79">
        <v>2.15</v>
      </c>
      <c r="D79">
        <v>9.9</v>
      </c>
    </row>
    <row r="80" spans="1:4">
      <c r="A80" t="s">
        <v>1429</v>
      </c>
      <c r="B80" t="s">
        <v>1183</v>
      </c>
      <c r="C80">
        <v>1.96</v>
      </c>
      <c r="D80">
        <v>12.4</v>
      </c>
    </row>
    <row r="81" spans="1:4">
      <c r="A81" t="s">
        <v>1430</v>
      </c>
      <c r="B81" t="s">
        <v>1201</v>
      </c>
      <c r="C81">
        <v>1.68</v>
      </c>
      <c r="D81">
        <v>6.7</v>
      </c>
    </row>
    <row r="82" spans="1:4">
      <c r="A82" t="s">
        <v>1431</v>
      </c>
      <c r="B82" t="s">
        <v>1219</v>
      </c>
      <c r="C82">
        <v>2.87</v>
      </c>
      <c r="D82">
        <v>11.9</v>
      </c>
    </row>
    <row r="83" spans="1:4">
      <c r="A83" t="s">
        <v>1432</v>
      </c>
      <c r="B83" t="s">
        <v>1233</v>
      </c>
      <c r="C83">
        <v>2.08</v>
      </c>
      <c r="D83">
        <v>9.1999999999999993</v>
      </c>
    </row>
    <row r="84" spans="1:4">
      <c r="A84" t="s">
        <v>1433</v>
      </c>
      <c r="B84" t="s">
        <v>1213</v>
      </c>
      <c r="C84">
        <v>1.7</v>
      </c>
      <c r="D84">
        <v>8.6999999999999993</v>
      </c>
    </row>
    <row r="85" spans="1:4">
      <c r="A85" t="s">
        <v>1434</v>
      </c>
      <c r="B85" t="s">
        <v>1189</v>
      </c>
      <c r="C85">
        <v>2.4900000000000002</v>
      </c>
      <c r="D85">
        <v>13</v>
      </c>
    </row>
    <row r="86" spans="1:4">
      <c r="A86" t="s">
        <v>1435</v>
      </c>
      <c r="B86" t="s">
        <v>1233</v>
      </c>
      <c r="C86">
        <v>2.72</v>
      </c>
      <c r="D86">
        <v>9.1999999999999993</v>
      </c>
    </row>
    <row r="87" spans="1:4">
      <c r="A87" t="s">
        <v>1436</v>
      </c>
      <c r="B87" t="s">
        <v>1193</v>
      </c>
      <c r="C87">
        <v>1.65</v>
      </c>
      <c r="D87">
        <v>8.3000000000000007</v>
      </c>
    </row>
    <row r="88" spans="1:4">
      <c r="A88" t="s">
        <v>1437</v>
      </c>
      <c r="B88" t="s">
        <v>1215</v>
      </c>
      <c r="C88">
        <v>1.72</v>
      </c>
      <c r="D88">
        <v>8.6</v>
      </c>
    </row>
    <row r="89" spans="1:4">
      <c r="A89" t="s">
        <v>1359</v>
      </c>
      <c r="B89" t="s">
        <v>1197</v>
      </c>
      <c r="C89">
        <v>1.91</v>
      </c>
      <c r="D89">
        <v>10</v>
      </c>
    </row>
    <row r="90" spans="1:4">
      <c r="A90" t="s">
        <v>1438</v>
      </c>
      <c r="B90" t="s">
        <v>1195</v>
      </c>
      <c r="C90">
        <v>1.89</v>
      </c>
      <c r="D90">
        <v>9.3000000000000007</v>
      </c>
    </row>
    <row r="91" spans="1:4">
      <c r="A91" t="s">
        <v>1439</v>
      </c>
      <c r="B91" t="s">
        <v>1181</v>
      </c>
      <c r="C91">
        <v>1.87</v>
      </c>
      <c r="D91">
        <v>12.2</v>
      </c>
    </row>
    <row r="92" spans="1:4">
      <c r="A92" t="s">
        <v>1347</v>
      </c>
      <c r="B92" t="s">
        <v>1197</v>
      </c>
      <c r="C92">
        <v>2.85</v>
      </c>
      <c r="D92">
        <v>9.1</v>
      </c>
    </row>
    <row r="93" spans="1:4">
      <c r="A93" t="s">
        <v>1440</v>
      </c>
      <c r="B93" t="s">
        <v>1233</v>
      </c>
      <c r="C93">
        <v>1.62</v>
      </c>
      <c r="D93">
        <v>10.3</v>
      </c>
    </row>
    <row r="94" spans="1:4">
      <c r="A94" t="s">
        <v>1441</v>
      </c>
      <c r="B94" t="s">
        <v>1201</v>
      </c>
      <c r="C94">
        <v>1.92</v>
      </c>
      <c r="D94">
        <v>12.9</v>
      </c>
    </row>
    <row r="95" spans="1:4">
      <c r="A95" t="s">
        <v>1442</v>
      </c>
      <c r="B95" t="s">
        <v>1199</v>
      </c>
      <c r="C95">
        <v>4.03</v>
      </c>
      <c r="D95">
        <v>14.5</v>
      </c>
    </row>
    <row r="96" spans="1:4">
      <c r="A96" t="s">
        <v>1443</v>
      </c>
      <c r="B96" t="s">
        <v>1213</v>
      </c>
      <c r="C96">
        <v>1.04</v>
      </c>
      <c r="D96">
        <v>8</v>
      </c>
    </row>
    <row r="97" spans="1:4">
      <c r="A97" t="s">
        <v>1444</v>
      </c>
      <c r="B97" t="s">
        <v>1181</v>
      </c>
      <c r="C97">
        <v>1</v>
      </c>
      <c r="D97">
        <v>7.1</v>
      </c>
    </row>
    <row r="98" spans="1:4">
      <c r="A98" t="s">
        <v>1445</v>
      </c>
      <c r="B98" t="s">
        <v>1231</v>
      </c>
      <c r="C98">
        <v>1.82</v>
      </c>
      <c r="D98">
        <v>7.5</v>
      </c>
    </row>
    <row r="99" spans="1:4">
      <c r="A99" t="s">
        <v>1350</v>
      </c>
      <c r="B99" t="s">
        <v>1197</v>
      </c>
      <c r="C99">
        <v>1.54</v>
      </c>
      <c r="D99">
        <v>14</v>
      </c>
    </row>
    <row r="100" spans="1:4">
      <c r="A100" t="s">
        <v>1446</v>
      </c>
      <c r="B100" t="s">
        <v>1221</v>
      </c>
      <c r="C100">
        <v>1.94</v>
      </c>
      <c r="D100">
        <v>10.5</v>
      </c>
    </row>
    <row r="101" spans="1:4">
      <c r="A101" t="s">
        <v>1447</v>
      </c>
      <c r="B101" t="s">
        <v>1193</v>
      </c>
      <c r="C101">
        <v>1.86</v>
      </c>
      <c r="D101">
        <v>10.5</v>
      </c>
    </row>
    <row r="102" spans="1:4">
      <c r="A102" t="s">
        <v>1448</v>
      </c>
      <c r="B102" t="s">
        <v>1199</v>
      </c>
      <c r="C102">
        <v>1.47</v>
      </c>
      <c r="D102">
        <v>8.5</v>
      </c>
    </row>
    <row r="103" spans="1:4">
      <c r="A103" t="s">
        <v>1449</v>
      </c>
      <c r="B103" t="s">
        <v>1225</v>
      </c>
      <c r="C103">
        <v>1.35</v>
      </c>
      <c r="D103">
        <v>8.4</v>
      </c>
    </row>
    <row r="104" spans="1:4">
      <c r="A104" t="s">
        <v>1450</v>
      </c>
      <c r="B104" t="s">
        <v>1227</v>
      </c>
      <c r="C104">
        <v>1.97</v>
      </c>
      <c r="D104">
        <v>9.3000000000000007</v>
      </c>
    </row>
    <row r="105" spans="1:4">
      <c r="A105" t="s">
        <v>1451</v>
      </c>
      <c r="B105" t="s">
        <v>1237</v>
      </c>
      <c r="C105">
        <v>1.06</v>
      </c>
      <c r="D105">
        <v>10.3</v>
      </c>
    </row>
    <row r="106" spans="1:4">
      <c r="A106" t="s">
        <v>1452</v>
      </c>
      <c r="B106" t="s">
        <v>1229</v>
      </c>
      <c r="C106">
        <v>1.61</v>
      </c>
      <c r="D106">
        <v>7.6</v>
      </c>
    </row>
    <row r="107" spans="1:4">
      <c r="A107" t="s">
        <v>1453</v>
      </c>
      <c r="B107" t="s">
        <v>1191</v>
      </c>
      <c r="C107">
        <v>2.58</v>
      </c>
      <c r="D107">
        <v>13.4</v>
      </c>
    </row>
    <row r="108" spans="1:4">
      <c r="A108" t="s">
        <v>1454</v>
      </c>
      <c r="B108" t="s">
        <v>1239</v>
      </c>
      <c r="C108">
        <v>1.41</v>
      </c>
      <c r="D108">
        <v>8.4</v>
      </c>
    </row>
    <row r="109" spans="1:4">
      <c r="A109" t="s">
        <v>1455</v>
      </c>
      <c r="B109" t="s">
        <v>1193</v>
      </c>
      <c r="C109">
        <v>3.42</v>
      </c>
      <c r="D109">
        <v>8.9</v>
      </c>
    </row>
    <row r="110" spans="1:4">
      <c r="A110" t="s">
        <v>1456</v>
      </c>
      <c r="B110" t="s">
        <v>1215</v>
      </c>
      <c r="C110">
        <v>1.43</v>
      </c>
      <c r="D110">
        <v>12.6</v>
      </c>
    </row>
    <row r="111" spans="1:4">
      <c r="A111" t="s">
        <v>1358</v>
      </c>
      <c r="B111" t="s">
        <v>1197</v>
      </c>
      <c r="C111">
        <v>2.56</v>
      </c>
      <c r="D111">
        <v>6.6</v>
      </c>
    </row>
    <row r="112" spans="1:4">
      <c r="A112" t="s">
        <v>1457</v>
      </c>
      <c r="B112" t="s">
        <v>1201</v>
      </c>
      <c r="C112">
        <v>3.83</v>
      </c>
      <c r="D112">
        <v>9.3000000000000007</v>
      </c>
    </row>
    <row r="113" spans="1:4">
      <c r="A113" t="s">
        <v>1458</v>
      </c>
      <c r="B113" t="s">
        <v>1231</v>
      </c>
      <c r="C113">
        <v>1.37</v>
      </c>
      <c r="D113">
        <v>14.7</v>
      </c>
    </row>
    <row r="114" spans="1:4">
      <c r="A114" t="s">
        <v>1459</v>
      </c>
      <c r="B114" t="s">
        <v>1229</v>
      </c>
      <c r="C114">
        <v>1.89</v>
      </c>
      <c r="D114">
        <v>8.4</v>
      </c>
    </row>
    <row r="115" spans="1:4">
      <c r="A115" t="s">
        <v>1460</v>
      </c>
      <c r="B115" t="s">
        <v>1193</v>
      </c>
      <c r="C115">
        <v>1.1100000000000001</v>
      </c>
      <c r="D115">
        <v>9.6999999999999993</v>
      </c>
    </row>
    <row r="116" spans="1:4">
      <c r="A116" t="s">
        <v>1461</v>
      </c>
      <c r="B116" t="s">
        <v>1183</v>
      </c>
      <c r="C116">
        <v>1.51</v>
      </c>
      <c r="D116">
        <v>7</v>
      </c>
    </row>
    <row r="117" spans="1:4">
      <c r="A117" t="s">
        <v>1462</v>
      </c>
      <c r="B117" t="s">
        <v>1203</v>
      </c>
      <c r="C117">
        <v>1.88</v>
      </c>
      <c r="D117">
        <v>11.5</v>
      </c>
    </row>
    <row r="118" spans="1:4">
      <c r="A118" t="s">
        <v>1463</v>
      </c>
      <c r="B118" t="s">
        <v>1235</v>
      </c>
      <c r="C118">
        <v>1.42</v>
      </c>
      <c r="D118">
        <v>13.3</v>
      </c>
    </row>
    <row r="119" spans="1:4">
      <c r="A119" t="s">
        <v>1464</v>
      </c>
      <c r="B119" t="s">
        <v>1227</v>
      </c>
      <c r="C119">
        <v>4.71</v>
      </c>
      <c r="D119">
        <v>9.9</v>
      </c>
    </row>
    <row r="120" spans="1:4">
      <c r="A120" t="s">
        <v>1465</v>
      </c>
      <c r="B120" t="s">
        <v>1209</v>
      </c>
      <c r="C120">
        <v>1.96</v>
      </c>
      <c r="D120">
        <v>6.5</v>
      </c>
    </row>
    <row r="121" spans="1:4">
      <c r="A121" t="s">
        <v>1466</v>
      </c>
      <c r="B121" t="s">
        <v>1213</v>
      </c>
      <c r="C121">
        <v>2.0699999999999998</v>
      </c>
      <c r="D121">
        <v>7</v>
      </c>
    </row>
    <row r="122" spans="1:4">
      <c r="A122" t="s">
        <v>1467</v>
      </c>
      <c r="B122" t="s">
        <v>1185</v>
      </c>
      <c r="C122">
        <v>1.64</v>
      </c>
      <c r="D122">
        <v>13.2</v>
      </c>
    </row>
    <row r="123" spans="1:4">
      <c r="A123" t="s">
        <v>1468</v>
      </c>
      <c r="B123" t="s">
        <v>1211</v>
      </c>
      <c r="C123">
        <v>2.0499999999999998</v>
      </c>
      <c r="D123">
        <v>7.8</v>
      </c>
    </row>
    <row r="124" spans="1:4">
      <c r="A124" t="s">
        <v>1469</v>
      </c>
      <c r="B124" t="s">
        <v>1209</v>
      </c>
      <c r="C124">
        <v>2.65</v>
      </c>
      <c r="D124">
        <v>12.1</v>
      </c>
    </row>
    <row r="125" spans="1:4">
      <c r="A125" t="s">
        <v>1470</v>
      </c>
      <c r="B125" t="s">
        <v>1233</v>
      </c>
      <c r="C125">
        <v>1.5</v>
      </c>
      <c r="D125">
        <v>7.9</v>
      </c>
    </row>
    <row r="126" spans="1:4">
      <c r="A126" t="s">
        <v>1471</v>
      </c>
      <c r="B126" t="s">
        <v>1239</v>
      </c>
      <c r="C126">
        <v>2.58</v>
      </c>
      <c r="D126">
        <v>7.1</v>
      </c>
    </row>
    <row r="127" spans="1:4">
      <c r="A127" t="s">
        <v>1472</v>
      </c>
      <c r="B127" t="s">
        <v>1205</v>
      </c>
      <c r="C127">
        <v>1.61</v>
      </c>
      <c r="D127">
        <v>13.4</v>
      </c>
    </row>
    <row r="128" spans="1:4">
      <c r="A128" t="s">
        <v>1473</v>
      </c>
      <c r="B128" t="s">
        <v>1209</v>
      </c>
      <c r="C128">
        <v>2.5099999999999998</v>
      </c>
      <c r="D128">
        <v>10.6</v>
      </c>
    </row>
    <row r="129" spans="1:4">
      <c r="A129" t="s">
        <v>1474</v>
      </c>
      <c r="B129" t="s">
        <v>1181</v>
      </c>
      <c r="C129">
        <v>1.35</v>
      </c>
      <c r="D129">
        <v>7.1</v>
      </c>
    </row>
    <row r="130" spans="1:4">
      <c r="A130" t="s">
        <v>1475</v>
      </c>
      <c r="B130" t="s">
        <v>1235</v>
      </c>
      <c r="C130">
        <v>1.18</v>
      </c>
      <c r="D130">
        <v>7.1</v>
      </c>
    </row>
    <row r="131" spans="1:4">
      <c r="A131" t="s">
        <v>1476</v>
      </c>
      <c r="B131" t="s">
        <v>1205</v>
      </c>
      <c r="C131">
        <v>0.91</v>
      </c>
      <c r="D131">
        <v>7.6</v>
      </c>
    </row>
    <row r="132" spans="1:4">
      <c r="A132" t="s">
        <v>1477</v>
      </c>
      <c r="B132" t="s">
        <v>1181</v>
      </c>
      <c r="C132">
        <v>2.83</v>
      </c>
      <c r="D132">
        <v>9.4</v>
      </c>
    </row>
    <row r="133" spans="1:4">
      <c r="A133" t="s">
        <v>1478</v>
      </c>
      <c r="B133" t="s">
        <v>1237</v>
      </c>
      <c r="C133">
        <v>1.03</v>
      </c>
      <c r="D133">
        <v>8.6999999999999993</v>
      </c>
    </row>
    <row r="134" spans="1:4">
      <c r="A134" t="s">
        <v>1479</v>
      </c>
      <c r="B134" t="s">
        <v>1213</v>
      </c>
      <c r="C134">
        <v>1.88</v>
      </c>
      <c r="D134">
        <v>11.9</v>
      </c>
    </row>
    <row r="135" spans="1:4">
      <c r="A135" t="s">
        <v>1317</v>
      </c>
      <c r="B135" t="s">
        <v>1207</v>
      </c>
      <c r="C135">
        <v>1.69</v>
      </c>
      <c r="D135">
        <v>8.6</v>
      </c>
    </row>
    <row r="136" spans="1:4">
      <c r="A136" t="s">
        <v>1480</v>
      </c>
      <c r="B136" t="s">
        <v>1215</v>
      </c>
      <c r="C136">
        <v>2.25</v>
      </c>
      <c r="D136">
        <v>8.1</v>
      </c>
    </row>
    <row r="137" spans="1:4">
      <c r="A137" t="s">
        <v>1481</v>
      </c>
      <c r="B137" t="s">
        <v>1225</v>
      </c>
      <c r="C137">
        <v>1.7</v>
      </c>
      <c r="D137">
        <v>9.1999999999999993</v>
      </c>
    </row>
    <row r="138" spans="1:4">
      <c r="A138" t="s">
        <v>1482</v>
      </c>
      <c r="B138" t="s">
        <v>1237</v>
      </c>
      <c r="C138">
        <v>0.78</v>
      </c>
      <c r="D138">
        <v>12.9</v>
      </c>
    </row>
    <row r="139" spans="1:4">
      <c r="A139" t="s">
        <v>1483</v>
      </c>
      <c r="B139" t="s">
        <v>1221</v>
      </c>
      <c r="C139">
        <v>3.13</v>
      </c>
      <c r="D139">
        <v>8.9</v>
      </c>
    </row>
    <row r="140" spans="1:4">
      <c r="A140" t="s">
        <v>1484</v>
      </c>
      <c r="B140" t="s">
        <v>1183</v>
      </c>
      <c r="C140">
        <v>1.84</v>
      </c>
      <c r="D140">
        <v>6.5</v>
      </c>
    </row>
    <row r="141" spans="1:4">
      <c r="A141" t="s">
        <v>1485</v>
      </c>
      <c r="B141" t="s">
        <v>1195</v>
      </c>
      <c r="C141">
        <v>2.25</v>
      </c>
      <c r="D141">
        <v>10.4</v>
      </c>
    </row>
    <row r="142" spans="1:4">
      <c r="A142" t="s">
        <v>1486</v>
      </c>
      <c r="B142" t="s">
        <v>1199</v>
      </c>
      <c r="C142">
        <v>2.93</v>
      </c>
      <c r="D142">
        <v>11.4</v>
      </c>
    </row>
    <row r="143" spans="1:4">
      <c r="A143" t="s">
        <v>1487</v>
      </c>
      <c r="B143" t="s">
        <v>1193</v>
      </c>
      <c r="C143">
        <v>1.66</v>
      </c>
      <c r="D143">
        <v>6.9</v>
      </c>
    </row>
    <row r="144" spans="1:4">
      <c r="A144" t="s">
        <v>1488</v>
      </c>
      <c r="B144" t="s">
        <v>1217</v>
      </c>
      <c r="C144">
        <v>1.77</v>
      </c>
      <c r="D144">
        <v>16.7</v>
      </c>
    </row>
    <row r="145" spans="1:4">
      <c r="A145" t="s">
        <v>1489</v>
      </c>
      <c r="B145" t="s">
        <v>1223</v>
      </c>
      <c r="C145">
        <v>1.73</v>
      </c>
      <c r="D145">
        <v>8.4</v>
      </c>
    </row>
    <row r="146" spans="1:4">
      <c r="A146" t="s">
        <v>1490</v>
      </c>
      <c r="B146" t="s">
        <v>1183</v>
      </c>
      <c r="C146">
        <v>2.75</v>
      </c>
      <c r="D146">
        <v>9.8000000000000007</v>
      </c>
    </row>
    <row r="147" spans="1:4">
      <c r="A147" t="s">
        <v>1491</v>
      </c>
      <c r="B147" t="s">
        <v>1239</v>
      </c>
      <c r="C147">
        <v>1.59</v>
      </c>
      <c r="D147">
        <v>7</v>
      </c>
    </row>
    <row r="148" spans="1:4">
      <c r="A148" t="s">
        <v>1492</v>
      </c>
      <c r="B148" t="s">
        <v>1215</v>
      </c>
      <c r="C148">
        <v>2.27</v>
      </c>
      <c r="D148">
        <v>10</v>
      </c>
    </row>
    <row r="149" spans="1:4">
      <c r="A149" t="s">
        <v>1493</v>
      </c>
      <c r="B149" t="s">
        <v>1199</v>
      </c>
      <c r="C149">
        <v>1.78</v>
      </c>
      <c r="D149">
        <v>7.6</v>
      </c>
    </row>
    <row r="150" spans="1:4">
      <c r="A150" t="s">
        <v>1494</v>
      </c>
      <c r="B150" t="s">
        <v>1233</v>
      </c>
      <c r="C150">
        <v>4.6900000000000004</v>
      </c>
      <c r="D150">
        <v>10.199999999999999</v>
      </c>
    </row>
    <row r="151" spans="1:4">
      <c r="A151" t="s">
        <v>1495</v>
      </c>
      <c r="B151" t="s">
        <v>1183</v>
      </c>
      <c r="C151">
        <v>1.8</v>
      </c>
      <c r="D151">
        <v>11.5</v>
      </c>
    </row>
    <row r="152" spans="1:4">
      <c r="A152" t="s">
        <v>1496</v>
      </c>
      <c r="B152" t="s">
        <v>1203</v>
      </c>
      <c r="C152">
        <v>3.22</v>
      </c>
      <c r="D152">
        <v>12.9</v>
      </c>
    </row>
    <row r="153" spans="1:4">
      <c r="A153" t="s">
        <v>1497</v>
      </c>
      <c r="B153" t="s">
        <v>1199</v>
      </c>
      <c r="C153">
        <v>1.46</v>
      </c>
      <c r="D153">
        <v>11</v>
      </c>
    </row>
    <row r="154" spans="1:4">
      <c r="A154" t="s">
        <v>1498</v>
      </c>
      <c r="B154" t="s">
        <v>1221</v>
      </c>
      <c r="C154">
        <v>2.25</v>
      </c>
      <c r="D154">
        <v>6.3</v>
      </c>
    </row>
    <row r="155" spans="1:4">
      <c r="A155" t="s">
        <v>1306</v>
      </c>
      <c r="B155" t="s">
        <v>1207</v>
      </c>
      <c r="C155">
        <v>1.78</v>
      </c>
      <c r="D155">
        <v>8.6999999999999993</v>
      </c>
    </row>
    <row r="156" spans="1:4">
      <c r="A156" t="s">
        <v>1499</v>
      </c>
      <c r="B156" t="s">
        <v>1239</v>
      </c>
      <c r="C156">
        <v>1.61</v>
      </c>
      <c r="D156">
        <v>7.4</v>
      </c>
    </row>
    <row r="157" spans="1:4">
      <c r="A157" t="s">
        <v>1500</v>
      </c>
      <c r="B157" t="s">
        <v>1193</v>
      </c>
      <c r="C157">
        <v>1.21</v>
      </c>
      <c r="D157">
        <v>14.1</v>
      </c>
    </row>
    <row r="158" spans="1:4">
      <c r="A158" t="s">
        <v>1501</v>
      </c>
      <c r="B158" t="s">
        <v>1205</v>
      </c>
      <c r="C158">
        <v>1.71</v>
      </c>
      <c r="D158">
        <v>7.2</v>
      </c>
    </row>
    <row r="159" spans="1:4">
      <c r="A159" t="s">
        <v>1502</v>
      </c>
      <c r="B159" t="s">
        <v>1201</v>
      </c>
      <c r="C159">
        <v>0.98</v>
      </c>
      <c r="D159">
        <v>9.3000000000000007</v>
      </c>
    </row>
    <row r="160" spans="1:4">
      <c r="A160" t="s">
        <v>1503</v>
      </c>
      <c r="B160" t="s">
        <v>1237</v>
      </c>
      <c r="C160">
        <v>1.37</v>
      </c>
      <c r="D160">
        <v>10.3</v>
      </c>
    </row>
    <row r="161" spans="1:4">
      <c r="A161" t="s">
        <v>1504</v>
      </c>
      <c r="B161" t="s">
        <v>1185</v>
      </c>
      <c r="C161">
        <v>3.1</v>
      </c>
      <c r="D161">
        <v>8.8000000000000007</v>
      </c>
    </row>
    <row r="162" spans="1:4">
      <c r="A162" t="s">
        <v>1505</v>
      </c>
      <c r="B162" t="s">
        <v>1189</v>
      </c>
      <c r="C162">
        <v>1.07</v>
      </c>
      <c r="D162">
        <v>7.9</v>
      </c>
    </row>
    <row r="163" spans="1:4">
      <c r="A163" t="s">
        <v>1506</v>
      </c>
      <c r="B163" t="s">
        <v>1201</v>
      </c>
      <c r="C163">
        <v>1.28</v>
      </c>
      <c r="D163">
        <v>11.7</v>
      </c>
    </row>
    <row r="164" spans="1:4">
      <c r="A164" t="s">
        <v>1507</v>
      </c>
      <c r="B164" t="s">
        <v>1227</v>
      </c>
      <c r="C164">
        <v>2.5099999999999998</v>
      </c>
      <c r="D164">
        <v>8.5</v>
      </c>
    </row>
    <row r="165" spans="1:4">
      <c r="A165" t="s">
        <v>1508</v>
      </c>
      <c r="B165" t="s">
        <v>1189</v>
      </c>
      <c r="C165">
        <v>2.33</v>
      </c>
      <c r="D165">
        <v>7.3</v>
      </c>
    </row>
    <row r="166" spans="1:4">
      <c r="A166" t="s">
        <v>1509</v>
      </c>
      <c r="B166" t="s">
        <v>1213</v>
      </c>
      <c r="C166">
        <v>1.82</v>
      </c>
      <c r="D166">
        <v>13.1</v>
      </c>
    </row>
    <row r="167" spans="1:4">
      <c r="A167" t="s">
        <v>1510</v>
      </c>
      <c r="B167" t="s">
        <v>1181</v>
      </c>
      <c r="C167">
        <v>1.71</v>
      </c>
      <c r="D167">
        <v>13.5</v>
      </c>
    </row>
    <row r="168" spans="1:4">
      <c r="A168" t="s">
        <v>1511</v>
      </c>
      <c r="B168" t="s">
        <v>1211</v>
      </c>
      <c r="C168">
        <v>2.14</v>
      </c>
      <c r="D168">
        <v>7.8</v>
      </c>
    </row>
    <row r="169" spans="1:4">
      <c r="A169" t="s">
        <v>1512</v>
      </c>
      <c r="B169" t="s">
        <v>1227</v>
      </c>
      <c r="C169">
        <v>1.83</v>
      </c>
      <c r="D169">
        <v>8.4</v>
      </c>
    </row>
    <row r="170" spans="1:4">
      <c r="A170" t="s">
        <v>1513</v>
      </c>
      <c r="B170" t="s">
        <v>1229</v>
      </c>
      <c r="C170">
        <v>1.55</v>
      </c>
      <c r="D170">
        <v>7</v>
      </c>
    </row>
    <row r="171" spans="1:4">
      <c r="A171" t="s">
        <v>1514</v>
      </c>
      <c r="B171" t="s">
        <v>1187</v>
      </c>
      <c r="C171">
        <v>1.54</v>
      </c>
      <c r="D171">
        <v>15.6</v>
      </c>
    </row>
    <row r="172" spans="1:4">
      <c r="A172" t="s">
        <v>1515</v>
      </c>
      <c r="B172" t="s">
        <v>1223</v>
      </c>
      <c r="C172">
        <v>2.19</v>
      </c>
      <c r="D172">
        <v>6.5</v>
      </c>
    </row>
    <row r="173" spans="1:4">
      <c r="A173" t="s">
        <v>1516</v>
      </c>
      <c r="B173" t="s">
        <v>1235</v>
      </c>
      <c r="C173">
        <v>1.81</v>
      </c>
      <c r="D173">
        <v>8.1</v>
      </c>
    </row>
    <row r="174" spans="1:4">
      <c r="A174" t="s">
        <v>1517</v>
      </c>
      <c r="B174" t="s">
        <v>1225</v>
      </c>
      <c r="C174">
        <v>1.68</v>
      </c>
      <c r="D174">
        <v>10.6</v>
      </c>
    </row>
    <row r="175" spans="1:4">
      <c r="A175" t="s">
        <v>1518</v>
      </c>
      <c r="B175" t="s">
        <v>1231</v>
      </c>
      <c r="C175">
        <v>1.69</v>
      </c>
      <c r="D175">
        <v>7.3</v>
      </c>
    </row>
    <row r="176" spans="1:4">
      <c r="A176" t="s">
        <v>1519</v>
      </c>
      <c r="B176" t="s">
        <v>1217</v>
      </c>
      <c r="C176">
        <v>1.21</v>
      </c>
      <c r="D176">
        <v>9</v>
      </c>
    </row>
    <row r="177" spans="1:4">
      <c r="A177" t="s">
        <v>1520</v>
      </c>
      <c r="B177" t="s">
        <v>1213</v>
      </c>
      <c r="C177">
        <v>1.89</v>
      </c>
      <c r="D177">
        <v>6.4</v>
      </c>
    </row>
    <row r="178" spans="1:4">
      <c r="A178" t="s">
        <v>1521</v>
      </c>
      <c r="B178" t="s">
        <v>1203</v>
      </c>
      <c r="C178">
        <v>2.91</v>
      </c>
      <c r="D178">
        <v>8.1</v>
      </c>
    </row>
    <row r="179" spans="1:4">
      <c r="A179" t="s">
        <v>1522</v>
      </c>
      <c r="B179" t="s">
        <v>1237</v>
      </c>
      <c r="C179">
        <v>1.1299999999999999</v>
      </c>
      <c r="D179">
        <v>12.7</v>
      </c>
    </row>
    <row r="180" spans="1:4">
      <c r="A180" t="s">
        <v>1523</v>
      </c>
      <c r="B180" t="s">
        <v>1221</v>
      </c>
      <c r="C180">
        <v>2.27</v>
      </c>
      <c r="D180">
        <v>13.8</v>
      </c>
    </row>
    <row r="181" spans="1:4">
      <c r="A181" t="s">
        <v>1524</v>
      </c>
      <c r="B181" t="s">
        <v>1223</v>
      </c>
      <c r="C181">
        <v>1.85</v>
      </c>
      <c r="D181">
        <v>10.5</v>
      </c>
    </row>
    <row r="182" spans="1:4">
      <c r="A182" t="s">
        <v>1525</v>
      </c>
      <c r="B182" t="s">
        <v>1183</v>
      </c>
      <c r="C182">
        <v>1.25</v>
      </c>
      <c r="D182">
        <v>8.1</v>
      </c>
    </row>
    <row r="183" spans="1:4">
      <c r="A183" t="s">
        <v>1526</v>
      </c>
      <c r="B183" t="s">
        <v>1223</v>
      </c>
      <c r="C183">
        <v>1.74</v>
      </c>
      <c r="D183">
        <v>9.9</v>
      </c>
    </row>
    <row r="184" spans="1:4">
      <c r="A184" t="s">
        <v>1527</v>
      </c>
      <c r="B184" t="s">
        <v>1237</v>
      </c>
      <c r="C184">
        <v>2.14</v>
      </c>
      <c r="D184">
        <v>7.7</v>
      </c>
    </row>
    <row r="185" spans="1:4">
      <c r="A185" t="s">
        <v>1528</v>
      </c>
      <c r="B185" t="s">
        <v>1233</v>
      </c>
      <c r="C185">
        <v>1.52</v>
      </c>
      <c r="D185">
        <v>10.1</v>
      </c>
    </row>
    <row r="186" spans="1:4">
      <c r="A186" t="s">
        <v>1529</v>
      </c>
      <c r="B186" t="s">
        <v>1199</v>
      </c>
      <c r="C186">
        <v>2.2000000000000002</v>
      </c>
      <c r="D186">
        <v>8.8000000000000007</v>
      </c>
    </row>
    <row r="187" spans="1:4">
      <c r="A187" t="s">
        <v>1530</v>
      </c>
      <c r="B187" t="s">
        <v>1219</v>
      </c>
      <c r="C187">
        <v>4.5599999999999996</v>
      </c>
      <c r="D187">
        <v>7.7</v>
      </c>
    </row>
    <row r="188" spans="1:4">
      <c r="A188" t="s">
        <v>1531</v>
      </c>
      <c r="B188" t="s">
        <v>1209</v>
      </c>
      <c r="C188">
        <v>0.74</v>
      </c>
      <c r="D188">
        <v>11.1</v>
      </c>
    </row>
    <row r="189" spans="1:4">
      <c r="A189" t="s">
        <v>1532</v>
      </c>
      <c r="B189" t="s">
        <v>1217</v>
      </c>
      <c r="C189">
        <v>1.1399999999999999</v>
      </c>
      <c r="D189">
        <v>6.6</v>
      </c>
    </row>
    <row r="190" spans="1:4">
      <c r="A190" t="s">
        <v>1533</v>
      </c>
      <c r="B190" t="s">
        <v>1185</v>
      </c>
      <c r="C190">
        <v>2.78</v>
      </c>
      <c r="D190">
        <v>8.3000000000000007</v>
      </c>
    </row>
    <row r="191" spans="1:4">
      <c r="A191" t="s">
        <v>1534</v>
      </c>
      <c r="B191" t="s">
        <v>1183</v>
      </c>
      <c r="C191">
        <v>1.52</v>
      </c>
      <c r="D191">
        <v>12.2</v>
      </c>
    </row>
    <row r="192" spans="1:4">
      <c r="A192" t="s">
        <v>1535</v>
      </c>
      <c r="B192" t="s">
        <v>1237</v>
      </c>
      <c r="C192">
        <v>1.6</v>
      </c>
      <c r="D192">
        <v>10.199999999999999</v>
      </c>
    </row>
    <row r="193" spans="1:4">
      <c r="A193" t="s">
        <v>1343</v>
      </c>
      <c r="B193" t="s">
        <v>1197</v>
      </c>
      <c r="C193">
        <v>1.68</v>
      </c>
      <c r="D193">
        <v>10.4</v>
      </c>
    </row>
    <row r="194" spans="1:4">
      <c r="A194" t="s">
        <v>1536</v>
      </c>
      <c r="B194" t="s">
        <v>1211</v>
      </c>
      <c r="C194">
        <v>1.05</v>
      </c>
      <c r="D194">
        <v>11.9</v>
      </c>
    </row>
    <row r="195" spans="1:4">
      <c r="A195" t="s">
        <v>1537</v>
      </c>
      <c r="B195" t="s">
        <v>1187</v>
      </c>
      <c r="C195">
        <v>1.77</v>
      </c>
      <c r="D195">
        <v>6.4</v>
      </c>
    </row>
    <row r="196" spans="1:4">
      <c r="A196" t="s">
        <v>1538</v>
      </c>
      <c r="B196" t="s">
        <v>1239</v>
      </c>
      <c r="C196">
        <v>1.74</v>
      </c>
      <c r="D196">
        <v>5.8</v>
      </c>
    </row>
    <row r="197" spans="1:4">
      <c r="A197" t="s">
        <v>1539</v>
      </c>
      <c r="B197" t="s">
        <v>1211</v>
      </c>
      <c r="C197">
        <v>2.84</v>
      </c>
      <c r="D197">
        <v>6.9</v>
      </c>
    </row>
    <row r="198" spans="1:4">
      <c r="A198" t="s">
        <v>1540</v>
      </c>
      <c r="B198" t="s">
        <v>1195</v>
      </c>
      <c r="C198">
        <v>1.46</v>
      </c>
      <c r="D198">
        <v>5.7</v>
      </c>
    </row>
    <row r="199" spans="1:4">
      <c r="A199" t="s">
        <v>1541</v>
      </c>
      <c r="B199" t="s">
        <v>1205</v>
      </c>
      <c r="C199">
        <v>1.97</v>
      </c>
      <c r="D199">
        <v>7.4</v>
      </c>
    </row>
    <row r="200" spans="1:4">
      <c r="A200" t="s">
        <v>1542</v>
      </c>
      <c r="B200" t="s">
        <v>1215</v>
      </c>
      <c r="C200">
        <v>4.25</v>
      </c>
      <c r="D200">
        <v>9.1999999999999993</v>
      </c>
    </row>
    <row r="201" spans="1:4">
      <c r="A201" t="s">
        <v>1543</v>
      </c>
      <c r="B201" t="s">
        <v>1209</v>
      </c>
      <c r="C201">
        <v>2.99</v>
      </c>
      <c r="D201">
        <v>9.3000000000000007</v>
      </c>
    </row>
    <row r="202" spans="1:4">
      <c r="A202" t="s">
        <v>1544</v>
      </c>
      <c r="B202" t="s">
        <v>1217</v>
      </c>
      <c r="C202">
        <v>3.01</v>
      </c>
      <c r="D202">
        <v>9</v>
      </c>
    </row>
    <row r="203" spans="1:4">
      <c r="A203" t="s">
        <v>1545</v>
      </c>
      <c r="B203" t="s">
        <v>1229</v>
      </c>
      <c r="C203">
        <v>0.93</v>
      </c>
      <c r="D203">
        <v>12.5</v>
      </c>
    </row>
    <row r="204" spans="1:4">
      <c r="A204" t="s">
        <v>1546</v>
      </c>
      <c r="B204" t="s">
        <v>1221</v>
      </c>
      <c r="C204">
        <v>2.93</v>
      </c>
      <c r="D204">
        <v>7.5</v>
      </c>
    </row>
    <row r="205" spans="1:4">
      <c r="A205" t="s">
        <v>1547</v>
      </c>
      <c r="B205" t="s">
        <v>1237</v>
      </c>
      <c r="C205">
        <v>1.89</v>
      </c>
      <c r="D205">
        <v>7.1</v>
      </c>
    </row>
    <row r="206" spans="1:4">
      <c r="A206" t="s">
        <v>1548</v>
      </c>
      <c r="B206" t="s">
        <v>1211</v>
      </c>
      <c r="C206">
        <v>1.69</v>
      </c>
      <c r="D206">
        <v>9.8000000000000007</v>
      </c>
    </row>
    <row r="207" spans="1:4">
      <c r="A207" t="s">
        <v>1549</v>
      </c>
      <c r="B207" t="s">
        <v>1223</v>
      </c>
      <c r="C207">
        <v>1.26</v>
      </c>
      <c r="D207">
        <v>10.7</v>
      </c>
    </row>
    <row r="208" spans="1:4">
      <c r="A208" t="s">
        <v>1550</v>
      </c>
      <c r="B208" t="s">
        <v>1189</v>
      </c>
      <c r="C208">
        <v>1.44</v>
      </c>
      <c r="D208">
        <v>6.2</v>
      </c>
    </row>
    <row r="209" spans="1:4">
      <c r="A209" t="s">
        <v>1551</v>
      </c>
      <c r="B209" t="s">
        <v>1187</v>
      </c>
      <c r="C209">
        <v>1.29</v>
      </c>
      <c r="D209">
        <v>10</v>
      </c>
    </row>
    <row r="210" spans="1:4">
      <c r="A210" t="s">
        <v>1552</v>
      </c>
      <c r="B210" t="s">
        <v>1189</v>
      </c>
      <c r="C210">
        <v>3.01</v>
      </c>
      <c r="D210">
        <v>8.4</v>
      </c>
    </row>
    <row r="211" spans="1:4">
      <c r="A211" t="s">
        <v>1553</v>
      </c>
      <c r="B211" t="s">
        <v>1235</v>
      </c>
      <c r="C211">
        <v>3.29</v>
      </c>
      <c r="D211">
        <v>12.8</v>
      </c>
    </row>
    <row r="212" spans="1:4">
      <c r="A212" t="s">
        <v>1554</v>
      </c>
      <c r="B212" t="s">
        <v>1229</v>
      </c>
      <c r="C212">
        <v>1.86</v>
      </c>
      <c r="D212">
        <v>8.9</v>
      </c>
    </row>
    <row r="213" spans="1:4">
      <c r="A213" t="s">
        <v>1555</v>
      </c>
      <c r="B213" t="s">
        <v>1195</v>
      </c>
      <c r="C213">
        <v>1.68</v>
      </c>
      <c r="D213">
        <v>6.6</v>
      </c>
    </row>
    <row r="214" spans="1:4">
      <c r="A214" t="s">
        <v>1307</v>
      </c>
      <c r="B214" t="s">
        <v>1207</v>
      </c>
      <c r="C214">
        <v>1.61</v>
      </c>
      <c r="D214">
        <v>6</v>
      </c>
    </row>
    <row r="215" spans="1:4">
      <c r="A215" t="s">
        <v>1556</v>
      </c>
      <c r="B215" t="s">
        <v>1239</v>
      </c>
      <c r="C215">
        <v>1.1100000000000001</v>
      </c>
      <c r="D215">
        <v>10.1</v>
      </c>
    </row>
    <row r="216" spans="1:4">
      <c r="A216" t="s">
        <v>1557</v>
      </c>
      <c r="B216" t="s">
        <v>1217</v>
      </c>
      <c r="C216">
        <v>2.15</v>
      </c>
      <c r="D216">
        <v>11.8</v>
      </c>
    </row>
    <row r="217" spans="1:4">
      <c r="A217" t="s">
        <v>1558</v>
      </c>
      <c r="B217" t="s">
        <v>1225</v>
      </c>
      <c r="C217">
        <v>2.75</v>
      </c>
      <c r="D217">
        <v>10.199999999999999</v>
      </c>
    </row>
    <row r="218" spans="1:4">
      <c r="A218" t="s">
        <v>1559</v>
      </c>
      <c r="B218" t="s">
        <v>1185</v>
      </c>
      <c r="C218">
        <v>2.78</v>
      </c>
      <c r="D218">
        <v>9.1</v>
      </c>
    </row>
    <row r="219" spans="1:4">
      <c r="A219" t="s">
        <v>1560</v>
      </c>
      <c r="B219" t="s">
        <v>1213</v>
      </c>
      <c r="C219">
        <v>2.7</v>
      </c>
      <c r="D219">
        <v>5.8</v>
      </c>
    </row>
    <row r="220" spans="1:4">
      <c r="A220" t="s">
        <v>1561</v>
      </c>
      <c r="B220" t="s">
        <v>1203</v>
      </c>
      <c r="C220">
        <v>1.46</v>
      </c>
      <c r="D220">
        <v>8.6999999999999993</v>
      </c>
    </row>
    <row r="221" spans="1:4">
      <c r="A221" t="s">
        <v>1562</v>
      </c>
      <c r="B221" t="s">
        <v>1235</v>
      </c>
      <c r="C221">
        <v>2.7</v>
      </c>
      <c r="D221">
        <v>7</v>
      </c>
    </row>
    <row r="222" spans="1:4">
      <c r="A222" t="s">
        <v>1563</v>
      </c>
      <c r="B222" t="s">
        <v>1223</v>
      </c>
      <c r="C222">
        <v>2.02</v>
      </c>
      <c r="D222">
        <v>7.4</v>
      </c>
    </row>
    <row r="223" spans="1:4">
      <c r="A223" t="s">
        <v>1564</v>
      </c>
      <c r="B223" t="s">
        <v>1225</v>
      </c>
      <c r="C223">
        <v>1.87</v>
      </c>
      <c r="D223">
        <v>8</v>
      </c>
    </row>
    <row r="224" spans="1:4">
      <c r="A224" t="s">
        <v>1565</v>
      </c>
      <c r="B224" t="s">
        <v>1209</v>
      </c>
      <c r="C224">
        <v>1.61</v>
      </c>
      <c r="D224">
        <v>10.8</v>
      </c>
    </row>
    <row r="225" spans="1:4">
      <c r="A225" t="s">
        <v>1566</v>
      </c>
      <c r="B225" t="s">
        <v>1227</v>
      </c>
      <c r="C225">
        <v>0.6</v>
      </c>
      <c r="D225">
        <v>10.7</v>
      </c>
    </row>
    <row r="226" spans="1:4">
      <c r="A226" t="s">
        <v>1349</v>
      </c>
      <c r="B226" t="s">
        <v>1197</v>
      </c>
      <c r="C226">
        <v>1.34</v>
      </c>
      <c r="D226">
        <v>9.9</v>
      </c>
    </row>
    <row r="227" spans="1:4">
      <c r="A227" t="s">
        <v>1567</v>
      </c>
      <c r="B227" t="s">
        <v>1189</v>
      </c>
      <c r="C227">
        <v>1.76</v>
      </c>
      <c r="D227">
        <v>13.3</v>
      </c>
    </row>
    <row r="228" spans="1:4">
      <c r="A228" t="s">
        <v>1568</v>
      </c>
      <c r="B228" t="s">
        <v>1183</v>
      </c>
      <c r="C228">
        <v>1.65</v>
      </c>
      <c r="D228">
        <v>8.4</v>
      </c>
    </row>
    <row r="229" spans="1:4">
      <c r="A229" t="s">
        <v>1356</v>
      </c>
      <c r="B229" t="s">
        <v>1197</v>
      </c>
      <c r="C229">
        <v>1.1399999999999999</v>
      </c>
      <c r="D229">
        <v>7.8</v>
      </c>
    </row>
    <row r="230" spans="1:4">
      <c r="A230" t="s">
        <v>1569</v>
      </c>
      <c r="B230" t="s">
        <v>1181</v>
      </c>
      <c r="C230">
        <v>2.57</v>
      </c>
      <c r="D230">
        <v>7.4</v>
      </c>
    </row>
    <row r="231" spans="1:4">
      <c r="A231" t="s">
        <v>1570</v>
      </c>
      <c r="B231" t="s">
        <v>1191</v>
      </c>
      <c r="C231">
        <v>3.09</v>
      </c>
      <c r="D231">
        <v>6.9</v>
      </c>
    </row>
    <row r="232" spans="1:4">
      <c r="A232" t="s">
        <v>1571</v>
      </c>
      <c r="B232" t="s">
        <v>1227</v>
      </c>
      <c r="C232">
        <v>1.43</v>
      </c>
      <c r="D232">
        <v>5.9</v>
      </c>
    </row>
    <row r="233" spans="1:4">
      <c r="A233" t="s">
        <v>1572</v>
      </c>
      <c r="B233" t="s">
        <v>1223</v>
      </c>
      <c r="C233">
        <v>1.9</v>
      </c>
      <c r="D233">
        <v>13.4</v>
      </c>
    </row>
    <row r="234" spans="1:4">
      <c r="A234" t="s">
        <v>1573</v>
      </c>
      <c r="B234" t="s">
        <v>1187</v>
      </c>
      <c r="C234">
        <v>1.54</v>
      </c>
      <c r="D234">
        <v>4.3</v>
      </c>
    </row>
    <row r="235" spans="1:4">
      <c r="A235" t="s">
        <v>1574</v>
      </c>
      <c r="B235" t="s">
        <v>1235</v>
      </c>
      <c r="C235">
        <v>1.1399999999999999</v>
      </c>
      <c r="D235">
        <v>12.6</v>
      </c>
    </row>
    <row r="236" spans="1:4">
      <c r="A236" t="s">
        <v>1575</v>
      </c>
      <c r="B236" t="s">
        <v>1219</v>
      </c>
      <c r="C236">
        <v>3.9</v>
      </c>
      <c r="D236">
        <v>8.9</v>
      </c>
    </row>
    <row r="237" spans="1:4">
      <c r="A237" t="s">
        <v>1576</v>
      </c>
      <c r="B237" t="s">
        <v>1193</v>
      </c>
      <c r="C237">
        <v>0.99</v>
      </c>
      <c r="D237">
        <v>6.9</v>
      </c>
    </row>
    <row r="238" spans="1:4">
      <c r="A238" t="s">
        <v>1577</v>
      </c>
      <c r="B238" t="s">
        <v>1211</v>
      </c>
      <c r="C238">
        <v>2.1800000000000002</v>
      </c>
      <c r="D238">
        <v>9.8000000000000007</v>
      </c>
    </row>
    <row r="239" spans="1:4">
      <c r="A239" t="s">
        <v>1578</v>
      </c>
      <c r="B239" t="s">
        <v>1181</v>
      </c>
      <c r="C239">
        <v>1.32</v>
      </c>
      <c r="D239">
        <v>11.7</v>
      </c>
    </row>
    <row r="240" spans="1:4">
      <c r="A240" t="s">
        <v>1579</v>
      </c>
      <c r="B240" t="s">
        <v>1211</v>
      </c>
      <c r="C240">
        <v>2.0699999999999998</v>
      </c>
      <c r="D240">
        <v>5.7</v>
      </c>
    </row>
    <row r="241" spans="1:4">
      <c r="A241" t="s">
        <v>1580</v>
      </c>
      <c r="B241" t="s">
        <v>1221</v>
      </c>
      <c r="C241">
        <v>1.1299999999999999</v>
      </c>
      <c r="D241">
        <v>12.2</v>
      </c>
    </row>
    <row r="242" spans="1:4">
      <c r="A242" t="s">
        <v>1581</v>
      </c>
      <c r="B242" t="s">
        <v>1201</v>
      </c>
      <c r="C242">
        <v>1.07</v>
      </c>
      <c r="D242">
        <v>10.8</v>
      </c>
    </row>
    <row r="243" spans="1:4">
      <c r="A243" t="s">
        <v>1582</v>
      </c>
      <c r="B243" t="s">
        <v>1205</v>
      </c>
      <c r="C243">
        <v>2.84</v>
      </c>
      <c r="D243">
        <v>7</v>
      </c>
    </row>
    <row r="244" spans="1:4">
      <c r="A244" t="s">
        <v>1583</v>
      </c>
      <c r="B244" t="s">
        <v>1191</v>
      </c>
      <c r="C244">
        <v>2.93</v>
      </c>
      <c r="D244">
        <v>8.3000000000000007</v>
      </c>
    </row>
    <row r="245" spans="1:4">
      <c r="A245" t="s">
        <v>1308</v>
      </c>
      <c r="B245" t="s">
        <v>1207</v>
      </c>
      <c r="C245">
        <v>2.39</v>
      </c>
      <c r="D245">
        <v>3.9</v>
      </c>
    </row>
    <row r="246" spans="1:4">
      <c r="A246" t="s">
        <v>1584</v>
      </c>
      <c r="B246" t="s">
        <v>1203</v>
      </c>
      <c r="C246">
        <v>1.41</v>
      </c>
      <c r="D246">
        <v>8.6999999999999993</v>
      </c>
    </row>
    <row r="247" spans="1:4">
      <c r="A247" t="s">
        <v>1585</v>
      </c>
      <c r="B247" t="s">
        <v>1231</v>
      </c>
      <c r="C247">
        <v>1.84</v>
      </c>
      <c r="D247">
        <v>8.1</v>
      </c>
    </row>
    <row r="248" spans="1:4">
      <c r="A248" t="s">
        <v>1586</v>
      </c>
      <c r="B248" t="s">
        <v>1187</v>
      </c>
      <c r="C248">
        <v>1.19</v>
      </c>
      <c r="D248">
        <v>11.6</v>
      </c>
    </row>
    <row r="249" spans="1:4">
      <c r="A249" t="s">
        <v>1587</v>
      </c>
      <c r="B249" t="s">
        <v>1225</v>
      </c>
      <c r="C249">
        <v>1.37</v>
      </c>
      <c r="D249">
        <v>16.899999999999999</v>
      </c>
    </row>
    <row r="250" spans="1:4">
      <c r="A250" t="s">
        <v>1588</v>
      </c>
      <c r="B250" t="s">
        <v>1183</v>
      </c>
      <c r="C250">
        <v>1.39</v>
      </c>
      <c r="D250">
        <v>10.1</v>
      </c>
    </row>
    <row r="251" spans="1:4">
      <c r="A251" t="s">
        <v>1589</v>
      </c>
      <c r="B251" t="s">
        <v>1217</v>
      </c>
      <c r="C251">
        <v>1.77</v>
      </c>
      <c r="D251">
        <v>8.5</v>
      </c>
    </row>
    <row r="252" spans="1:4">
      <c r="A252" t="s">
        <v>1590</v>
      </c>
      <c r="B252" t="s">
        <v>1231</v>
      </c>
      <c r="C252">
        <v>2.1</v>
      </c>
      <c r="D252">
        <v>8.6999999999999993</v>
      </c>
    </row>
    <row r="253" spans="1:4">
      <c r="A253" t="s">
        <v>1591</v>
      </c>
      <c r="B253" t="s">
        <v>1235</v>
      </c>
      <c r="C253">
        <v>1.62</v>
      </c>
      <c r="D253">
        <v>6.8</v>
      </c>
    </row>
    <row r="254" spans="1:4">
      <c r="A254" t="s">
        <v>1592</v>
      </c>
      <c r="B254" t="s">
        <v>1225</v>
      </c>
      <c r="C254">
        <v>1.41</v>
      </c>
      <c r="D254">
        <v>6.2</v>
      </c>
    </row>
    <row r="255" spans="1:4">
      <c r="A255" t="s">
        <v>1357</v>
      </c>
      <c r="B255" t="s">
        <v>1197</v>
      </c>
      <c r="C255">
        <v>1.23</v>
      </c>
      <c r="D255">
        <v>6.8</v>
      </c>
    </row>
    <row r="256" spans="1:4">
      <c r="A256" t="s">
        <v>1593</v>
      </c>
      <c r="B256" t="s">
        <v>1187</v>
      </c>
      <c r="C256">
        <v>1.88</v>
      </c>
      <c r="D256">
        <v>8.3000000000000007</v>
      </c>
    </row>
    <row r="257" spans="1:4">
      <c r="A257" t="s">
        <v>1594</v>
      </c>
      <c r="B257" t="s">
        <v>1209</v>
      </c>
      <c r="C257">
        <v>1.1200000000000001</v>
      </c>
      <c r="D257">
        <v>10.8</v>
      </c>
    </row>
    <row r="258" spans="1:4">
      <c r="A258" t="s">
        <v>1595</v>
      </c>
      <c r="B258" t="s">
        <v>1239</v>
      </c>
      <c r="C258">
        <v>2.68</v>
      </c>
      <c r="D258">
        <v>11.4</v>
      </c>
    </row>
    <row r="259" spans="1:4">
      <c r="A259" t="s">
        <v>1596</v>
      </c>
      <c r="B259" t="s">
        <v>1185</v>
      </c>
      <c r="C259">
        <v>3.77</v>
      </c>
      <c r="D259">
        <v>11.4</v>
      </c>
    </row>
    <row r="260" spans="1:4">
      <c r="A260" t="s">
        <v>1597</v>
      </c>
      <c r="B260" t="s">
        <v>1229</v>
      </c>
      <c r="C260">
        <v>1.07</v>
      </c>
      <c r="D260">
        <v>10.5</v>
      </c>
    </row>
    <row r="261" spans="1:4">
      <c r="A261" t="s">
        <v>1598</v>
      </c>
      <c r="B261" t="s">
        <v>1221</v>
      </c>
      <c r="C261">
        <v>2.4900000000000002</v>
      </c>
      <c r="D261">
        <v>9.3000000000000007</v>
      </c>
    </row>
    <row r="262" spans="1:4">
      <c r="A262" t="s">
        <v>1348</v>
      </c>
      <c r="B262" t="s">
        <v>1197</v>
      </c>
      <c r="C262">
        <v>1.81</v>
      </c>
      <c r="D262">
        <v>9.6</v>
      </c>
    </row>
    <row r="263" spans="1:4">
      <c r="A263" t="s">
        <v>1599</v>
      </c>
      <c r="B263" t="s">
        <v>1203</v>
      </c>
      <c r="C263">
        <v>1.77</v>
      </c>
      <c r="D263">
        <v>11</v>
      </c>
    </row>
    <row r="264" spans="1:4">
      <c r="A264" t="s">
        <v>1600</v>
      </c>
      <c r="B264" t="s">
        <v>1235</v>
      </c>
      <c r="C264">
        <v>1.96</v>
      </c>
      <c r="D264">
        <v>7.2</v>
      </c>
    </row>
    <row r="265" spans="1:4">
      <c r="A265" t="s">
        <v>1601</v>
      </c>
      <c r="B265" t="s">
        <v>1183</v>
      </c>
      <c r="C265">
        <v>0.87</v>
      </c>
      <c r="D265">
        <v>6.1</v>
      </c>
    </row>
    <row r="266" spans="1:4">
      <c r="A266" t="s">
        <v>1602</v>
      </c>
      <c r="B266" t="s">
        <v>1217</v>
      </c>
      <c r="C266">
        <v>1.73</v>
      </c>
      <c r="D266">
        <v>8.6999999999999993</v>
      </c>
    </row>
    <row r="267" spans="1:4">
      <c r="A267" t="s">
        <v>1603</v>
      </c>
      <c r="B267" t="s">
        <v>1181</v>
      </c>
      <c r="C267">
        <v>2.94</v>
      </c>
      <c r="D267">
        <v>8.6</v>
      </c>
    </row>
    <row r="268" spans="1:4">
      <c r="A268" t="s">
        <v>1604</v>
      </c>
      <c r="B268" t="s">
        <v>1189</v>
      </c>
      <c r="C268">
        <v>1.85</v>
      </c>
      <c r="D268">
        <v>10.6</v>
      </c>
    </row>
    <row r="269" spans="1:4">
      <c r="A269" t="s">
        <v>1605</v>
      </c>
      <c r="B269" t="s">
        <v>1199</v>
      </c>
      <c r="C269">
        <v>2.31</v>
      </c>
      <c r="D269">
        <v>12</v>
      </c>
    </row>
    <row r="270" spans="1:4">
      <c r="A270" t="s">
        <v>1606</v>
      </c>
      <c r="B270" t="s">
        <v>1187</v>
      </c>
      <c r="C270">
        <v>0.92</v>
      </c>
      <c r="D270">
        <v>11.5</v>
      </c>
    </row>
    <row r="271" spans="1:4">
      <c r="A271" t="s">
        <v>1607</v>
      </c>
      <c r="B271" t="s">
        <v>1199</v>
      </c>
      <c r="C271">
        <v>2.13</v>
      </c>
      <c r="D271">
        <v>10.4</v>
      </c>
    </row>
    <row r="272" spans="1:4">
      <c r="A272" t="s">
        <v>1608</v>
      </c>
      <c r="B272" t="s">
        <v>1235</v>
      </c>
      <c r="C272">
        <v>1.35</v>
      </c>
      <c r="D272">
        <v>12.2</v>
      </c>
    </row>
    <row r="273" spans="1:4">
      <c r="A273" t="s">
        <v>1609</v>
      </c>
      <c r="B273" t="s">
        <v>1183</v>
      </c>
      <c r="C273">
        <v>1.44</v>
      </c>
      <c r="D273">
        <v>13.4</v>
      </c>
    </row>
    <row r="274" spans="1:4">
      <c r="A274" t="s">
        <v>1610</v>
      </c>
      <c r="B274" t="s">
        <v>1235</v>
      </c>
      <c r="C274">
        <v>2.09</v>
      </c>
      <c r="D274">
        <v>8.3000000000000007</v>
      </c>
    </row>
    <row r="275" spans="1:4">
      <c r="A275" t="s">
        <v>1611</v>
      </c>
      <c r="B275" t="s">
        <v>1223</v>
      </c>
      <c r="C275">
        <v>0.86</v>
      </c>
      <c r="D275">
        <v>16.5</v>
      </c>
    </row>
    <row r="276" spans="1:4">
      <c r="A276" t="s">
        <v>1612</v>
      </c>
      <c r="B276" t="s">
        <v>1233</v>
      </c>
      <c r="C276">
        <v>1.85</v>
      </c>
      <c r="D276">
        <v>12.4</v>
      </c>
    </row>
    <row r="277" spans="1:4">
      <c r="A277" t="s">
        <v>1613</v>
      </c>
      <c r="B277" t="s">
        <v>1221</v>
      </c>
      <c r="C277">
        <v>3.7</v>
      </c>
      <c r="D277">
        <v>10.1</v>
      </c>
    </row>
    <row r="278" spans="1:4">
      <c r="A278" t="s">
        <v>1614</v>
      </c>
      <c r="B278" t="s">
        <v>1217</v>
      </c>
      <c r="C278">
        <v>1.68</v>
      </c>
      <c r="D278">
        <v>9.8000000000000007</v>
      </c>
    </row>
    <row r="279" spans="1:4">
      <c r="A279" t="s">
        <v>1615</v>
      </c>
      <c r="B279" t="s">
        <v>1223</v>
      </c>
      <c r="C279">
        <v>1.21</v>
      </c>
      <c r="D279">
        <v>10.8</v>
      </c>
    </row>
    <row r="280" spans="1:4">
      <c r="A280" t="s">
        <v>1310</v>
      </c>
      <c r="B280" t="s">
        <v>1207</v>
      </c>
      <c r="C280">
        <v>1.35</v>
      </c>
      <c r="D280">
        <v>9.6999999999999993</v>
      </c>
    </row>
    <row r="281" spans="1:4">
      <c r="A281" t="s">
        <v>1616</v>
      </c>
      <c r="B281" t="s">
        <v>1189</v>
      </c>
      <c r="C281">
        <v>2.08</v>
      </c>
      <c r="D281">
        <v>9</v>
      </c>
    </row>
    <row r="282" spans="1:4">
      <c r="A282" t="s">
        <v>1353</v>
      </c>
      <c r="B282" t="s">
        <v>1197</v>
      </c>
      <c r="C282">
        <v>2.46</v>
      </c>
      <c r="D282">
        <v>9.5</v>
      </c>
    </row>
    <row r="283" spans="1:4">
      <c r="A283" t="s">
        <v>1617</v>
      </c>
      <c r="B283" t="s">
        <v>1219</v>
      </c>
      <c r="C283">
        <v>1.22</v>
      </c>
      <c r="D283">
        <v>9.1999999999999993</v>
      </c>
    </row>
    <row r="284" spans="1:4">
      <c r="A284" t="s">
        <v>1618</v>
      </c>
      <c r="B284" t="s">
        <v>1189</v>
      </c>
      <c r="C284">
        <v>1.44</v>
      </c>
      <c r="D284">
        <v>5.5</v>
      </c>
    </row>
    <row r="285" spans="1:4">
      <c r="A285" t="s">
        <v>1619</v>
      </c>
      <c r="B285" t="s">
        <v>1211</v>
      </c>
      <c r="C285">
        <v>3.92</v>
      </c>
      <c r="D285">
        <v>10.8</v>
      </c>
    </row>
    <row r="286" spans="1:4">
      <c r="A286" t="s">
        <v>1620</v>
      </c>
      <c r="B286" t="s">
        <v>1227</v>
      </c>
      <c r="C286">
        <v>2.06</v>
      </c>
      <c r="D286">
        <v>8</v>
      </c>
    </row>
    <row r="287" spans="1:4">
      <c r="A287" t="s">
        <v>1621</v>
      </c>
      <c r="B287" t="s">
        <v>1211</v>
      </c>
      <c r="C287">
        <v>1.9</v>
      </c>
      <c r="D287">
        <v>8.8000000000000007</v>
      </c>
    </row>
    <row r="288" spans="1:4">
      <c r="A288" t="s">
        <v>1622</v>
      </c>
      <c r="B288" t="s">
        <v>1193</v>
      </c>
      <c r="C288">
        <v>1.7</v>
      </c>
      <c r="D288">
        <v>6.3</v>
      </c>
    </row>
    <row r="289" spans="1:4">
      <c r="A289" t="s">
        <v>1623</v>
      </c>
      <c r="B289" t="s">
        <v>1187</v>
      </c>
      <c r="C289">
        <v>1.28</v>
      </c>
      <c r="D289">
        <v>6.5</v>
      </c>
    </row>
    <row r="290" spans="1:4">
      <c r="A290" t="s">
        <v>1624</v>
      </c>
      <c r="B290" t="s">
        <v>1181</v>
      </c>
      <c r="C290">
        <v>1.94</v>
      </c>
      <c r="D290">
        <v>6.8</v>
      </c>
    </row>
    <row r="291" spans="1:4">
      <c r="A291" t="s">
        <v>1625</v>
      </c>
      <c r="B291" t="s">
        <v>1225</v>
      </c>
      <c r="C291">
        <v>1.62</v>
      </c>
      <c r="D291">
        <v>10.6</v>
      </c>
    </row>
    <row r="292" spans="1:4">
      <c r="A292" t="s">
        <v>1626</v>
      </c>
      <c r="B292" t="s">
        <v>1213</v>
      </c>
      <c r="C292">
        <v>1.96</v>
      </c>
      <c r="D292">
        <v>8.8000000000000007</v>
      </c>
    </row>
    <row r="293" spans="1:4">
      <c r="A293" t="s">
        <v>1627</v>
      </c>
      <c r="B293" t="s">
        <v>1191</v>
      </c>
      <c r="C293">
        <v>1.75</v>
      </c>
      <c r="D293">
        <v>6.4</v>
      </c>
    </row>
    <row r="294" spans="1:4">
      <c r="A294" t="s">
        <v>1628</v>
      </c>
      <c r="B294" t="s">
        <v>1199</v>
      </c>
      <c r="C294">
        <v>3.03</v>
      </c>
      <c r="D294">
        <v>11.4</v>
      </c>
    </row>
    <row r="295" spans="1:4">
      <c r="A295" t="s">
        <v>1629</v>
      </c>
      <c r="B295" t="s">
        <v>1201</v>
      </c>
      <c r="C295">
        <v>2.2400000000000002</v>
      </c>
      <c r="D295">
        <v>8.1999999999999993</v>
      </c>
    </row>
    <row r="296" spans="1:4">
      <c r="A296" t="s">
        <v>1630</v>
      </c>
      <c r="B296" t="s">
        <v>1217</v>
      </c>
      <c r="C296">
        <v>2.15</v>
      </c>
      <c r="D296">
        <v>7.8</v>
      </c>
    </row>
    <row r="297" spans="1:4">
      <c r="A297" t="s">
        <v>1631</v>
      </c>
      <c r="B297" t="s">
        <v>1199</v>
      </c>
      <c r="C297">
        <v>1.7</v>
      </c>
      <c r="D297">
        <v>9.5</v>
      </c>
    </row>
    <row r="298" spans="1:4">
      <c r="A298" t="s">
        <v>1632</v>
      </c>
      <c r="B298" t="s">
        <v>1191</v>
      </c>
      <c r="C298">
        <v>2.96</v>
      </c>
      <c r="D298">
        <v>5.7</v>
      </c>
    </row>
    <row r="299" spans="1:4">
      <c r="A299" t="s">
        <v>1633</v>
      </c>
      <c r="B299" t="s">
        <v>1225</v>
      </c>
      <c r="C299">
        <v>0.44</v>
      </c>
      <c r="D299">
        <v>9.3000000000000007</v>
      </c>
    </row>
    <row r="300" spans="1:4">
      <c r="A300" t="s">
        <v>1634</v>
      </c>
      <c r="B300" t="s">
        <v>1203</v>
      </c>
      <c r="C300">
        <v>3.86</v>
      </c>
      <c r="D300">
        <v>5.5</v>
      </c>
    </row>
    <row r="301" spans="1:4">
      <c r="A301" t="s">
        <v>1635</v>
      </c>
      <c r="B301" t="s">
        <v>1237</v>
      </c>
      <c r="C301">
        <v>1.46</v>
      </c>
      <c r="D301">
        <v>6.7</v>
      </c>
    </row>
    <row r="302" spans="1:4">
      <c r="A302" t="s">
        <v>1636</v>
      </c>
      <c r="B302" t="s">
        <v>1227</v>
      </c>
      <c r="C302">
        <v>2.27</v>
      </c>
      <c r="D302">
        <v>9.8000000000000007</v>
      </c>
    </row>
    <row r="303" spans="1:4">
      <c r="A303" t="s">
        <v>1637</v>
      </c>
      <c r="B303" t="s">
        <v>1189</v>
      </c>
      <c r="C303">
        <v>5.49</v>
      </c>
      <c r="D303">
        <v>11</v>
      </c>
    </row>
    <row r="304" spans="1:4">
      <c r="A304" t="s">
        <v>1638</v>
      </c>
      <c r="B304" t="s">
        <v>1189</v>
      </c>
      <c r="C304">
        <v>1.83</v>
      </c>
      <c r="D304">
        <v>5.6</v>
      </c>
    </row>
    <row r="305" spans="1:4">
      <c r="A305" t="s">
        <v>1639</v>
      </c>
      <c r="B305" t="s">
        <v>1239</v>
      </c>
      <c r="C305">
        <v>0.93</v>
      </c>
      <c r="D305">
        <v>12.7</v>
      </c>
    </row>
    <row r="306" spans="1:4">
      <c r="A306" t="s">
        <v>1640</v>
      </c>
      <c r="B306" t="s">
        <v>1217</v>
      </c>
      <c r="C306">
        <v>1.07</v>
      </c>
      <c r="D306">
        <v>9.6</v>
      </c>
    </row>
    <row r="307" spans="1:4">
      <c r="A307" t="s">
        <v>1641</v>
      </c>
      <c r="B307" t="s">
        <v>1191</v>
      </c>
      <c r="C307">
        <v>3.45</v>
      </c>
      <c r="D307">
        <v>6.7</v>
      </c>
    </row>
    <row r="308" spans="1:4">
      <c r="A308" t="s">
        <v>1642</v>
      </c>
      <c r="B308" t="s">
        <v>1187</v>
      </c>
      <c r="C308">
        <v>1.51</v>
      </c>
      <c r="D308">
        <v>4.5999999999999996</v>
      </c>
    </row>
    <row r="309" spans="1:4">
      <c r="A309" t="s">
        <v>1318</v>
      </c>
      <c r="B309" t="s">
        <v>1207</v>
      </c>
      <c r="C309">
        <v>2.5499999999999998</v>
      </c>
      <c r="D309">
        <v>8.1</v>
      </c>
    </row>
    <row r="310" spans="1:4">
      <c r="A310" t="s">
        <v>1643</v>
      </c>
      <c r="B310" t="s">
        <v>1193</v>
      </c>
      <c r="C310">
        <v>2.0699999999999998</v>
      </c>
      <c r="D310">
        <v>12.4</v>
      </c>
    </row>
    <row r="311" spans="1:4">
      <c r="A311" t="s">
        <v>1644</v>
      </c>
      <c r="B311" t="s">
        <v>1205</v>
      </c>
      <c r="C311">
        <v>2.4700000000000002</v>
      </c>
      <c r="D311">
        <v>6.9</v>
      </c>
    </row>
    <row r="312" spans="1:4">
      <c r="A312" t="s">
        <v>1645</v>
      </c>
      <c r="B312" t="s">
        <v>1229</v>
      </c>
      <c r="C312">
        <v>1.0900000000000001</v>
      </c>
      <c r="D312">
        <v>10.7</v>
      </c>
    </row>
    <row r="313" spans="1:4">
      <c r="A313" t="s">
        <v>1646</v>
      </c>
      <c r="B313" t="s">
        <v>1185</v>
      </c>
      <c r="C313">
        <v>1.1299999999999999</v>
      </c>
      <c r="D313">
        <v>10.199999999999999</v>
      </c>
    </row>
    <row r="314" spans="1:4">
      <c r="A314" t="s">
        <v>1647</v>
      </c>
      <c r="B314" t="s">
        <v>1239</v>
      </c>
      <c r="C314">
        <v>2.02</v>
      </c>
      <c r="D314">
        <v>8.6</v>
      </c>
    </row>
    <row r="315" spans="1:4">
      <c r="A315" t="s">
        <v>1648</v>
      </c>
      <c r="B315" t="s">
        <v>1239</v>
      </c>
      <c r="C315">
        <v>2.58</v>
      </c>
      <c r="D315">
        <v>11.3</v>
      </c>
    </row>
    <row r="316" spans="1:4">
      <c r="A316" t="s">
        <v>1649</v>
      </c>
      <c r="B316" t="s">
        <v>1235</v>
      </c>
      <c r="C316">
        <v>1.57</v>
      </c>
      <c r="D316">
        <v>8.8000000000000007</v>
      </c>
    </row>
    <row r="317" spans="1:4">
      <c r="A317" t="s">
        <v>1650</v>
      </c>
      <c r="B317" t="s">
        <v>1217</v>
      </c>
      <c r="C317">
        <v>1.3</v>
      </c>
      <c r="D317">
        <v>7.2</v>
      </c>
    </row>
    <row r="318" spans="1:4">
      <c r="A318" t="s">
        <v>1651</v>
      </c>
      <c r="B318" t="s">
        <v>1225</v>
      </c>
      <c r="C318">
        <v>0.62</v>
      </c>
      <c r="D318">
        <v>10.9</v>
      </c>
    </row>
    <row r="319" spans="1:4">
      <c r="A319" t="s">
        <v>1652</v>
      </c>
      <c r="B319" t="s">
        <v>1229</v>
      </c>
      <c r="C319">
        <v>1.58</v>
      </c>
      <c r="D319">
        <v>6.1</v>
      </c>
    </row>
    <row r="320" spans="1:4">
      <c r="A320" t="s">
        <v>1653</v>
      </c>
      <c r="B320" t="s">
        <v>1225</v>
      </c>
      <c r="C320">
        <v>5.2</v>
      </c>
      <c r="D320">
        <v>10.6</v>
      </c>
    </row>
    <row r="321" spans="1:4">
      <c r="A321" t="s">
        <v>1654</v>
      </c>
      <c r="B321" t="s">
        <v>1219</v>
      </c>
      <c r="C321">
        <v>1.23</v>
      </c>
      <c r="D321">
        <v>6.2</v>
      </c>
    </row>
    <row r="322" spans="1:4">
      <c r="A322" t="s">
        <v>1655</v>
      </c>
      <c r="B322" t="s">
        <v>1187</v>
      </c>
      <c r="C322">
        <v>1.06</v>
      </c>
      <c r="D322">
        <v>10</v>
      </c>
    </row>
    <row r="323" spans="1:4">
      <c r="A323" t="s">
        <v>1656</v>
      </c>
      <c r="B323" t="s">
        <v>1187</v>
      </c>
      <c r="C323">
        <v>2</v>
      </c>
      <c r="D323">
        <v>6</v>
      </c>
    </row>
    <row r="324" spans="1:4">
      <c r="A324" t="s">
        <v>1657</v>
      </c>
      <c r="B324" t="s">
        <v>1205</v>
      </c>
      <c r="C324">
        <v>1.32</v>
      </c>
      <c r="D324">
        <v>11.1</v>
      </c>
    </row>
    <row r="325" spans="1:4">
      <c r="A325" t="s">
        <v>1658</v>
      </c>
      <c r="B325" t="s">
        <v>1221</v>
      </c>
      <c r="C325">
        <v>3.43</v>
      </c>
      <c r="D325">
        <v>12.4</v>
      </c>
    </row>
    <row r="326" spans="1:4">
      <c r="A326" t="s">
        <v>1659</v>
      </c>
      <c r="B326" t="s">
        <v>1237</v>
      </c>
      <c r="C326">
        <v>2</v>
      </c>
      <c r="D326">
        <v>6.1</v>
      </c>
    </row>
    <row r="327" spans="1:4">
      <c r="A327" t="s">
        <v>1660</v>
      </c>
      <c r="B327" t="s">
        <v>1193</v>
      </c>
      <c r="C327">
        <v>1.95</v>
      </c>
      <c r="D327">
        <v>11.9</v>
      </c>
    </row>
    <row r="328" spans="1:4">
      <c r="A328" t="s">
        <v>1661</v>
      </c>
      <c r="B328" t="s">
        <v>1227</v>
      </c>
      <c r="C328">
        <v>1.66</v>
      </c>
      <c r="D328">
        <v>6.1</v>
      </c>
    </row>
    <row r="329" spans="1:4">
      <c r="A329" t="s">
        <v>1662</v>
      </c>
      <c r="B329" t="s">
        <v>1223</v>
      </c>
      <c r="C329">
        <v>1.22</v>
      </c>
      <c r="D329">
        <v>4.5</v>
      </c>
    </row>
    <row r="330" spans="1:4">
      <c r="A330" t="s">
        <v>1663</v>
      </c>
      <c r="B330" t="s">
        <v>1189</v>
      </c>
      <c r="C330">
        <v>2.8</v>
      </c>
      <c r="D330">
        <v>7.8</v>
      </c>
    </row>
    <row r="331" spans="1:4">
      <c r="A331" t="s">
        <v>1664</v>
      </c>
      <c r="B331" t="s">
        <v>1183</v>
      </c>
      <c r="C331">
        <v>1.41</v>
      </c>
      <c r="D331">
        <v>8.6999999999999993</v>
      </c>
    </row>
    <row r="332" spans="1:4">
      <c r="A332" t="s">
        <v>1665</v>
      </c>
      <c r="B332" t="s">
        <v>1225</v>
      </c>
      <c r="C332">
        <v>2.3199999999999998</v>
      </c>
      <c r="D332">
        <v>6.7</v>
      </c>
    </row>
    <row r="333" spans="1:4">
      <c r="A333" t="s">
        <v>1666</v>
      </c>
      <c r="B333" t="s">
        <v>1227</v>
      </c>
      <c r="C333">
        <v>1.82</v>
      </c>
      <c r="D333">
        <v>7.3</v>
      </c>
    </row>
    <row r="334" spans="1:4">
      <c r="A334" t="s">
        <v>1667</v>
      </c>
      <c r="B334" t="s">
        <v>1205</v>
      </c>
      <c r="C334">
        <v>2.79</v>
      </c>
      <c r="D334">
        <v>10.3</v>
      </c>
    </row>
    <row r="335" spans="1:4">
      <c r="A335" t="s">
        <v>1351</v>
      </c>
      <c r="B335" t="s">
        <v>1197</v>
      </c>
      <c r="C335">
        <v>2.6</v>
      </c>
      <c r="D335">
        <v>6.1</v>
      </c>
    </row>
    <row r="336" spans="1:4">
      <c r="A336" t="s">
        <v>1668</v>
      </c>
      <c r="B336" t="s">
        <v>1211</v>
      </c>
      <c r="C336">
        <v>2.71</v>
      </c>
      <c r="D336">
        <v>5.5</v>
      </c>
    </row>
    <row r="337" spans="1:4">
      <c r="A337" t="s">
        <v>1669</v>
      </c>
      <c r="B337" t="s">
        <v>1225</v>
      </c>
      <c r="C337">
        <v>2</v>
      </c>
      <c r="D337">
        <v>9.1</v>
      </c>
    </row>
    <row r="338" spans="1:4">
      <c r="A338" t="s">
        <v>1670</v>
      </c>
      <c r="B338" t="s">
        <v>1227</v>
      </c>
      <c r="C338">
        <v>1.1000000000000001</v>
      </c>
      <c r="D338">
        <v>11.4</v>
      </c>
    </row>
    <row r="339" spans="1:4">
      <c r="A339" t="s">
        <v>1671</v>
      </c>
      <c r="B339" t="s">
        <v>1223</v>
      </c>
      <c r="C339">
        <v>2.69</v>
      </c>
      <c r="D339">
        <v>6.1</v>
      </c>
    </row>
    <row r="340" spans="1:4">
      <c r="A340" t="s">
        <v>1672</v>
      </c>
      <c r="B340" t="s">
        <v>1235</v>
      </c>
      <c r="C340">
        <v>2.0699999999999998</v>
      </c>
      <c r="D340">
        <v>8.1999999999999993</v>
      </c>
    </row>
    <row r="341" spans="1:4">
      <c r="A341" t="s">
        <v>1673</v>
      </c>
      <c r="B341" t="s">
        <v>1233</v>
      </c>
      <c r="C341">
        <v>1.1200000000000001</v>
      </c>
      <c r="D341">
        <v>8.6999999999999993</v>
      </c>
    </row>
    <row r="342" spans="1:4">
      <c r="A342" t="s">
        <v>1674</v>
      </c>
      <c r="B342" t="s">
        <v>1227</v>
      </c>
      <c r="C342">
        <v>3.48</v>
      </c>
      <c r="D342">
        <v>9.6</v>
      </c>
    </row>
    <row r="343" spans="1:4">
      <c r="A343" t="s">
        <v>1675</v>
      </c>
      <c r="B343" t="s">
        <v>1221</v>
      </c>
      <c r="C343">
        <v>2.21</v>
      </c>
      <c r="D343">
        <v>8.1999999999999993</v>
      </c>
    </row>
    <row r="344" spans="1:4">
      <c r="A344" t="s">
        <v>1676</v>
      </c>
      <c r="B344" t="s">
        <v>1199</v>
      </c>
      <c r="C344">
        <v>1.9</v>
      </c>
      <c r="D344">
        <v>7.3</v>
      </c>
    </row>
    <row r="345" spans="1:4">
      <c r="A345" t="s">
        <v>1677</v>
      </c>
      <c r="B345" t="s">
        <v>1237</v>
      </c>
      <c r="C345">
        <v>1.34</v>
      </c>
      <c r="D345">
        <v>2.1</v>
      </c>
    </row>
    <row r="346" spans="1:4">
      <c r="A346" t="s">
        <v>1678</v>
      </c>
      <c r="B346" t="s">
        <v>1201</v>
      </c>
      <c r="C346">
        <v>2.0299999999999998</v>
      </c>
      <c r="D346">
        <v>6</v>
      </c>
    </row>
    <row r="347" spans="1:4">
      <c r="A347" t="s">
        <v>1679</v>
      </c>
      <c r="B347" t="s">
        <v>1239</v>
      </c>
      <c r="C347">
        <v>2</v>
      </c>
      <c r="D347">
        <v>13.5</v>
      </c>
    </row>
    <row r="348" spans="1:4">
      <c r="A348" t="s">
        <v>1680</v>
      </c>
      <c r="B348" t="s">
        <v>1213</v>
      </c>
      <c r="C348">
        <v>1.43</v>
      </c>
      <c r="D348">
        <v>5.0999999999999996</v>
      </c>
    </row>
    <row r="349" spans="1:4">
      <c r="A349" t="s">
        <v>1681</v>
      </c>
      <c r="B349" t="s">
        <v>1201</v>
      </c>
      <c r="C349">
        <v>1.22</v>
      </c>
      <c r="D349">
        <v>10.9</v>
      </c>
    </row>
    <row r="350" spans="1:4">
      <c r="A350" t="s">
        <v>1682</v>
      </c>
      <c r="B350" t="s">
        <v>1215</v>
      </c>
      <c r="C350">
        <v>1.85</v>
      </c>
      <c r="D350">
        <v>7.8</v>
      </c>
    </row>
    <row r="351" spans="1:4">
      <c r="A351" t="s">
        <v>1683</v>
      </c>
      <c r="B351" t="s">
        <v>1239</v>
      </c>
      <c r="C351">
        <v>2.17</v>
      </c>
      <c r="D351">
        <v>5.3</v>
      </c>
    </row>
    <row r="352" spans="1:4">
      <c r="A352" t="s">
        <v>1684</v>
      </c>
      <c r="B352" t="s">
        <v>1213</v>
      </c>
      <c r="C352">
        <v>2.92</v>
      </c>
      <c r="D352">
        <v>8.8000000000000007</v>
      </c>
    </row>
    <row r="353" spans="1:4">
      <c r="A353" t="s">
        <v>1685</v>
      </c>
      <c r="B353" t="s">
        <v>1233</v>
      </c>
      <c r="C353">
        <v>2.11</v>
      </c>
      <c r="D353">
        <v>6.6</v>
      </c>
    </row>
    <row r="354" spans="1:4">
      <c r="A354" t="s">
        <v>1686</v>
      </c>
      <c r="B354" t="s">
        <v>1209</v>
      </c>
      <c r="C354">
        <v>0.94</v>
      </c>
      <c r="D354">
        <v>6.4</v>
      </c>
    </row>
    <row r="355" spans="1:4">
      <c r="A355" t="s">
        <v>1687</v>
      </c>
      <c r="B355" t="s">
        <v>1195</v>
      </c>
      <c r="C355">
        <v>1.33</v>
      </c>
      <c r="D355">
        <v>11.5</v>
      </c>
    </row>
    <row r="356" spans="1:4">
      <c r="A356" t="s">
        <v>1688</v>
      </c>
      <c r="B356" t="s">
        <v>1217</v>
      </c>
      <c r="C356">
        <v>1.86</v>
      </c>
      <c r="D356">
        <v>6.2</v>
      </c>
    </row>
    <row r="357" spans="1:4">
      <c r="A357" t="s">
        <v>1689</v>
      </c>
      <c r="B357" t="s">
        <v>1181</v>
      </c>
      <c r="C357">
        <v>2.38</v>
      </c>
      <c r="D357">
        <v>10.6</v>
      </c>
    </row>
    <row r="358" spans="1:4">
      <c r="A358" t="s">
        <v>1690</v>
      </c>
      <c r="B358" t="s">
        <v>1193</v>
      </c>
      <c r="C358">
        <v>2.86</v>
      </c>
      <c r="D358">
        <v>8.1999999999999993</v>
      </c>
    </row>
    <row r="359" spans="1:4">
      <c r="A359" t="s">
        <v>1691</v>
      </c>
      <c r="B359" t="s">
        <v>1201</v>
      </c>
      <c r="C359">
        <v>1.76</v>
      </c>
      <c r="D359">
        <v>9.6999999999999993</v>
      </c>
    </row>
    <row r="360" spans="1:4">
      <c r="A360" t="s">
        <v>1692</v>
      </c>
      <c r="B360" t="s">
        <v>1195</v>
      </c>
      <c r="C360">
        <v>4.46</v>
      </c>
      <c r="D360">
        <v>7.8</v>
      </c>
    </row>
    <row r="361" spans="1:4">
      <c r="A361" t="s">
        <v>1693</v>
      </c>
      <c r="B361" t="s">
        <v>1193</v>
      </c>
      <c r="C361">
        <v>1.39</v>
      </c>
      <c r="D361">
        <v>13.1</v>
      </c>
    </row>
    <row r="362" spans="1:4">
      <c r="A362" t="s">
        <v>1694</v>
      </c>
      <c r="B362" t="s">
        <v>1181</v>
      </c>
      <c r="C362">
        <v>1.8</v>
      </c>
      <c r="D362">
        <v>8.5</v>
      </c>
    </row>
    <row r="363" spans="1:4">
      <c r="A363" t="s">
        <v>1695</v>
      </c>
      <c r="B363" t="s">
        <v>1217</v>
      </c>
      <c r="C363">
        <v>1</v>
      </c>
      <c r="D363">
        <v>6.7</v>
      </c>
    </row>
    <row r="364" spans="1:4">
      <c r="A364" t="s">
        <v>1696</v>
      </c>
      <c r="B364" t="s">
        <v>1227</v>
      </c>
      <c r="C364">
        <v>4.59</v>
      </c>
      <c r="D364">
        <v>10.5</v>
      </c>
    </row>
    <row r="365" spans="1:4">
      <c r="A365" t="s">
        <v>1697</v>
      </c>
      <c r="B365" t="s">
        <v>1229</v>
      </c>
      <c r="C365">
        <v>1.63</v>
      </c>
      <c r="D365">
        <v>7.7</v>
      </c>
    </row>
    <row r="366" spans="1:4">
      <c r="A366" t="s">
        <v>1698</v>
      </c>
      <c r="B366" t="s">
        <v>1191</v>
      </c>
      <c r="C366">
        <v>1.87</v>
      </c>
      <c r="D366">
        <v>9.1</v>
      </c>
    </row>
    <row r="367" spans="1:4">
      <c r="A367" t="s">
        <v>1699</v>
      </c>
      <c r="B367" t="s">
        <v>1201</v>
      </c>
      <c r="C367">
        <v>2.14</v>
      </c>
      <c r="D367">
        <v>7.1</v>
      </c>
    </row>
    <row r="368" spans="1:4">
      <c r="A368" t="s">
        <v>1354</v>
      </c>
      <c r="B368" t="s">
        <v>1197</v>
      </c>
      <c r="C368">
        <v>1.69</v>
      </c>
      <c r="D368">
        <v>11.5</v>
      </c>
    </row>
    <row r="369" spans="1:4">
      <c r="A369" t="s">
        <v>1700</v>
      </c>
      <c r="B369" t="s">
        <v>1187</v>
      </c>
      <c r="C369">
        <v>1.56</v>
      </c>
      <c r="D369">
        <v>9.8000000000000007</v>
      </c>
    </row>
    <row r="370" spans="1:4">
      <c r="A370" t="s">
        <v>1701</v>
      </c>
      <c r="B370" t="s">
        <v>1195</v>
      </c>
      <c r="C370">
        <v>1.64</v>
      </c>
      <c r="D370">
        <v>6.3</v>
      </c>
    </row>
    <row r="371" spans="1:4">
      <c r="A371" t="s">
        <v>1702</v>
      </c>
      <c r="B371" t="s">
        <v>1209</v>
      </c>
      <c r="C371">
        <v>1.67</v>
      </c>
      <c r="D371">
        <v>6.5</v>
      </c>
    </row>
    <row r="372" spans="1:4">
      <c r="A372" t="s">
        <v>1703</v>
      </c>
      <c r="B372" t="s">
        <v>1223</v>
      </c>
      <c r="C372">
        <v>4</v>
      </c>
      <c r="D372">
        <v>7.5</v>
      </c>
    </row>
    <row r="373" spans="1:4">
      <c r="A373" t="s">
        <v>1704</v>
      </c>
      <c r="B373" t="s">
        <v>1193</v>
      </c>
      <c r="C373">
        <v>2.5499999999999998</v>
      </c>
      <c r="D373">
        <v>8.3000000000000007</v>
      </c>
    </row>
    <row r="374" spans="1:4">
      <c r="A374" t="s">
        <v>1705</v>
      </c>
      <c r="B374" t="s">
        <v>1201</v>
      </c>
      <c r="C374">
        <v>2.2200000000000002</v>
      </c>
      <c r="D374">
        <v>8.5</v>
      </c>
    </row>
    <row r="375" spans="1:4">
      <c r="A375" t="s">
        <v>1706</v>
      </c>
      <c r="B375" t="s">
        <v>1191</v>
      </c>
      <c r="C375">
        <v>1.69</v>
      </c>
      <c r="D375">
        <v>7.5</v>
      </c>
    </row>
    <row r="376" spans="1:4">
      <c r="A376" t="s">
        <v>1707</v>
      </c>
      <c r="B376" t="s">
        <v>1193</v>
      </c>
      <c r="C376">
        <v>2.63</v>
      </c>
      <c r="D376">
        <v>6.7</v>
      </c>
    </row>
    <row r="377" spans="1:4">
      <c r="A377" t="s">
        <v>1708</v>
      </c>
      <c r="B377" t="s">
        <v>1181</v>
      </c>
      <c r="C377">
        <v>2.4500000000000002</v>
      </c>
      <c r="D377">
        <v>7.4</v>
      </c>
    </row>
    <row r="378" spans="1:4">
      <c r="A378" t="s">
        <v>1709</v>
      </c>
      <c r="B378" t="s">
        <v>1187</v>
      </c>
      <c r="C378">
        <v>1.32</v>
      </c>
      <c r="D378">
        <v>7.6</v>
      </c>
    </row>
    <row r="379" spans="1:4">
      <c r="A379" t="s">
        <v>1710</v>
      </c>
      <c r="B379" t="s">
        <v>1215</v>
      </c>
      <c r="C379">
        <v>3.25</v>
      </c>
      <c r="D379">
        <v>5.7</v>
      </c>
    </row>
    <row r="380" spans="1:4">
      <c r="A380" t="s">
        <v>1711</v>
      </c>
      <c r="B380" t="s">
        <v>1217</v>
      </c>
      <c r="C380">
        <v>2.4</v>
      </c>
      <c r="D380">
        <v>8.1</v>
      </c>
    </row>
    <row r="381" spans="1:4">
      <c r="A381" t="s">
        <v>1712</v>
      </c>
      <c r="B381" t="s">
        <v>1237</v>
      </c>
      <c r="C381">
        <v>1</v>
      </c>
      <c r="D381">
        <v>6.3</v>
      </c>
    </row>
    <row r="382" spans="1:4">
      <c r="A382" t="s">
        <v>1713</v>
      </c>
      <c r="B382" t="s">
        <v>1203</v>
      </c>
      <c r="C382">
        <v>3.31</v>
      </c>
      <c r="D382">
        <v>8.9</v>
      </c>
    </row>
    <row r="383" spans="1:4">
      <c r="A383" t="s">
        <v>1311</v>
      </c>
      <c r="B383" t="s">
        <v>1207</v>
      </c>
      <c r="C383">
        <v>1.62</v>
      </c>
      <c r="D383">
        <v>8</v>
      </c>
    </row>
    <row r="384" spans="1:4">
      <c r="A384" t="s">
        <v>1714</v>
      </c>
      <c r="B384" t="s">
        <v>1233</v>
      </c>
      <c r="C384">
        <v>0.74</v>
      </c>
      <c r="D384">
        <v>11.3</v>
      </c>
    </row>
    <row r="385" spans="1:4">
      <c r="A385" t="s">
        <v>1715</v>
      </c>
      <c r="B385" t="s">
        <v>1239</v>
      </c>
      <c r="C385">
        <v>1.91</v>
      </c>
      <c r="D385">
        <v>7.8</v>
      </c>
    </row>
    <row r="386" spans="1:4">
      <c r="A386" t="s">
        <v>1716</v>
      </c>
      <c r="B386" t="s">
        <v>1229</v>
      </c>
      <c r="C386">
        <v>0.83</v>
      </c>
      <c r="D386">
        <v>5.5</v>
      </c>
    </row>
    <row r="387" spans="1:4">
      <c r="A387" t="s">
        <v>1717</v>
      </c>
      <c r="B387" t="s">
        <v>1189</v>
      </c>
      <c r="C387">
        <v>3.64</v>
      </c>
      <c r="D387">
        <v>8.1999999999999993</v>
      </c>
    </row>
    <row r="388" spans="1:4">
      <c r="A388" t="s">
        <v>1718</v>
      </c>
      <c r="B388" t="s">
        <v>1223</v>
      </c>
      <c r="C388">
        <v>1.73</v>
      </c>
      <c r="D388">
        <v>7.1</v>
      </c>
    </row>
    <row r="389" spans="1:4">
      <c r="A389" t="s">
        <v>1719</v>
      </c>
      <c r="B389" t="s">
        <v>1201</v>
      </c>
      <c r="C389">
        <v>1.59</v>
      </c>
      <c r="D389">
        <v>8.9</v>
      </c>
    </row>
    <row r="390" spans="1:4">
      <c r="A390" t="s">
        <v>1720</v>
      </c>
      <c r="B390" t="s">
        <v>1205</v>
      </c>
      <c r="C390">
        <v>1.31</v>
      </c>
      <c r="D390">
        <v>7</v>
      </c>
    </row>
    <row r="391" spans="1:4">
      <c r="A391" t="s">
        <v>1721</v>
      </c>
      <c r="B391" t="s">
        <v>1187</v>
      </c>
      <c r="C391">
        <v>1.56</v>
      </c>
      <c r="D391">
        <v>8.3000000000000007</v>
      </c>
    </row>
    <row r="392" spans="1:4">
      <c r="A392" t="s">
        <v>1722</v>
      </c>
      <c r="B392" t="s">
        <v>1215</v>
      </c>
      <c r="C392">
        <v>1.28</v>
      </c>
      <c r="D392">
        <v>10.8</v>
      </c>
    </row>
    <row r="393" spans="1:4">
      <c r="A393" t="s">
        <v>1309</v>
      </c>
      <c r="B393" t="s">
        <v>1207</v>
      </c>
      <c r="C393">
        <v>1.41</v>
      </c>
      <c r="D393">
        <v>8.1999999999999993</v>
      </c>
    </row>
    <row r="394" spans="1:4">
      <c r="A394" t="s">
        <v>1723</v>
      </c>
      <c r="B394" t="s">
        <v>1181</v>
      </c>
      <c r="C394">
        <v>3.8</v>
      </c>
      <c r="D394">
        <v>8.1999999999999993</v>
      </c>
    </row>
    <row r="395" spans="1:4">
      <c r="A395" t="s">
        <v>1724</v>
      </c>
      <c r="B395" t="s">
        <v>1231</v>
      </c>
      <c r="C395">
        <v>1.17</v>
      </c>
      <c r="D395">
        <v>5.0999999999999996</v>
      </c>
    </row>
    <row r="396" spans="1:4">
      <c r="A396" t="s">
        <v>1725</v>
      </c>
      <c r="B396" t="s">
        <v>1223</v>
      </c>
      <c r="C396">
        <v>1.76</v>
      </c>
      <c r="D396">
        <v>4.3</v>
      </c>
    </row>
    <row r="397" spans="1:4">
      <c r="A397" t="s">
        <v>1726</v>
      </c>
      <c r="B397" t="s">
        <v>1233</v>
      </c>
      <c r="C397">
        <v>1.1499999999999999</v>
      </c>
      <c r="D397">
        <v>8</v>
      </c>
    </row>
    <row r="398" spans="1:4">
      <c r="A398" t="s">
        <v>1727</v>
      </c>
      <c r="B398" t="s">
        <v>1221</v>
      </c>
      <c r="C398">
        <v>1.72</v>
      </c>
      <c r="D398">
        <v>8.8000000000000007</v>
      </c>
    </row>
    <row r="399" spans="1:4">
      <c r="A399" t="s">
        <v>1728</v>
      </c>
      <c r="B399" t="s">
        <v>1217</v>
      </c>
      <c r="C399">
        <v>1.08</v>
      </c>
      <c r="D399">
        <v>7.9</v>
      </c>
    </row>
    <row r="400" spans="1:4">
      <c r="A400" t="s">
        <v>1729</v>
      </c>
      <c r="B400" t="s">
        <v>1215</v>
      </c>
      <c r="C400">
        <v>2.13</v>
      </c>
      <c r="D400">
        <v>8.1999999999999993</v>
      </c>
    </row>
    <row r="401" spans="1:4">
      <c r="A401" t="s">
        <v>1730</v>
      </c>
      <c r="B401" t="s">
        <v>1217</v>
      </c>
      <c r="C401">
        <v>0.9</v>
      </c>
      <c r="D401">
        <v>10</v>
      </c>
    </row>
    <row r="402" spans="1:4">
      <c r="A402" t="s">
        <v>1731</v>
      </c>
      <c r="B402" t="s">
        <v>1225</v>
      </c>
      <c r="C402">
        <v>4.57</v>
      </c>
      <c r="D402">
        <v>6.7</v>
      </c>
    </row>
    <row r="403" spans="1:4">
      <c r="A403" t="s">
        <v>1732</v>
      </c>
      <c r="B403" t="s">
        <v>1231</v>
      </c>
      <c r="C403">
        <v>2.2799999999999998</v>
      </c>
      <c r="D403">
        <v>7</v>
      </c>
    </row>
    <row r="404" spans="1:4">
      <c r="A404" t="s">
        <v>1733</v>
      </c>
      <c r="B404" t="s">
        <v>1215</v>
      </c>
      <c r="C404">
        <v>0.92</v>
      </c>
      <c r="D404">
        <v>10.1</v>
      </c>
    </row>
    <row r="405" spans="1:4">
      <c r="A405" t="s">
        <v>1734</v>
      </c>
      <c r="B405" t="s">
        <v>1225</v>
      </c>
      <c r="C405">
        <v>2.65</v>
      </c>
      <c r="D405">
        <v>6.7</v>
      </c>
    </row>
    <row r="406" spans="1:4">
      <c r="A406" t="s">
        <v>1735</v>
      </c>
      <c r="B406" t="s">
        <v>1209</v>
      </c>
      <c r="C406">
        <v>0.92</v>
      </c>
      <c r="D406">
        <v>12.3</v>
      </c>
    </row>
    <row r="407" spans="1:4">
      <c r="A407" t="s">
        <v>1736</v>
      </c>
      <c r="B407" t="s">
        <v>1231</v>
      </c>
      <c r="C407">
        <v>0.75</v>
      </c>
      <c r="D407">
        <v>8.6999999999999993</v>
      </c>
    </row>
    <row r="408" spans="1:4">
      <c r="A408" t="s">
        <v>1737</v>
      </c>
      <c r="B408" t="s">
        <v>1221</v>
      </c>
      <c r="C408">
        <v>2.0699999999999998</v>
      </c>
      <c r="D408">
        <v>6.6</v>
      </c>
    </row>
    <row r="409" spans="1:4">
      <c r="A409" t="s">
        <v>1738</v>
      </c>
      <c r="B409" t="s">
        <v>1195</v>
      </c>
      <c r="C409">
        <v>1.43</v>
      </c>
      <c r="D409">
        <v>5.7</v>
      </c>
    </row>
    <row r="410" spans="1:4">
      <c r="A410" t="s">
        <v>1739</v>
      </c>
      <c r="B410" t="s">
        <v>1239</v>
      </c>
      <c r="C410">
        <v>1.6</v>
      </c>
      <c r="D410">
        <v>7.1</v>
      </c>
    </row>
    <row r="411" spans="1:4">
      <c r="A411" t="s">
        <v>1740</v>
      </c>
      <c r="B411" t="s">
        <v>1219</v>
      </c>
      <c r="C411">
        <v>3.5</v>
      </c>
      <c r="D411">
        <v>6.1</v>
      </c>
    </row>
    <row r="412" spans="1:4">
      <c r="A412" t="s">
        <v>1741</v>
      </c>
      <c r="B412" t="s">
        <v>1235</v>
      </c>
      <c r="C412">
        <v>1.22</v>
      </c>
      <c r="D412">
        <v>7.4</v>
      </c>
    </row>
    <row r="413" spans="1:4">
      <c r="A413" t="s">
        <v>1742</v>
      </c>
      <c r="B413" t="s">
        <v>1211</v>
      </c>
      <c r="C413">
        <v>1.57</v>
      </c>
      <c r="D413">
        <v>10.9</v>
      </c>
    </row>
    <row r="414" spans="1:4">
      <c r="A414" t="s">
        <v>1743</v>
      </c>
      <c r="B414" t="s">
        <v>1221</v>
      </c>
      <c r="C414">
        <v>2</v>
      </c>
      <c r="D414">
        <v>10.1</v>
      </c>
    </row>
    <row r="415" spans="1:4">
      <c r="A415" t="s">
        <v>1744</v>
      </c>
      <c r="B415" t="s">
        <v>1187</v>
      </c>
      <c r="C415">
        <v>1.56</v>
      </c>
      <c r="D415">
        <v>7.7</v>
      </c>
    </row>
    <row r="416" spans="1:4">
      <c r="A416" t="s">
        <v>1745</v>
      </c>
      <c r="B416" t="s">
        <v>1215</v>
      </c>
      <c r="C416">
        <v>1.64</v>
      </c>
      <c r="D416">
        <v>9.5</v>
      </c>
    </row>
    <row r="417" spans="1:4">
      <c r="A417" t="s">
        <v>1746</v>
      </c>
      <c r="B417" t="s">
        <v>1235</v>
      </c>
      <c r="C417">
        <v>1.78</v>
      </c>
      <c r="D417">
        <v>10.6</v>
      </c>
    </row>
    <row r="418" spans="1:4">
      <c r="A418" t="s">
        <v>1747</v>
      </c>
      <c r="B418" t="s">
        <v>1193</v>
      </c>
      <c r="C418">
        <v>3.06</v>
      </c>
      <c r="D418">
        <v>7.3</v>
      </c>
    </row>
    <row r="419" spans="1:4">
      <c r="A419" t="s">
        <v>1748</v>
      </c>
      <c r="B419" t="s">
        <v>1229</v>
      </c>
      <c r="C419">
        <v>1.24</v>
      </c>
      <c r="D419">
        <v>13.7</v>
      </c>
    </row>
    <row r="420" spans="1:4">
      <c r="A420" t="s">
        <v>1749</v>
      </c>
      <c r="B420" t="s">
        <v>1183</v>
      </c>
      <c r="C420">
        <v>1.36</v>
      </c>
      <c r="D420">
        <v>6.6</v>
      </c>
    </row>
    <row r="421" spans="1:4">
      <c r="A421" t="s">
        <v>1750</v>
      </c>
      <c r="B421" t="s">
        <v>1183</v>
      </c>
      <c r="C421">
        <v>0.8</v>
      </c>
      <c r="D421">
        <v>6.5</v>
      </c>
    </row>
    <row r="422" spans="1:4">
      <c r="A422" t="s">
        <v>1751</v>
      </c>
      <c r="B422" t="s">
        <v>1229</v>
      </c>
      <c r="C422">
        <v>2.15</v>
      </c>
      <c r="D422">
        <v>11.4</v>
      </c>
    </row>
    <row r="423" spans="1:4">
      <c r="A423" t="s">
        <v>1752</v>
      </c>
      <c r="B423" t="s">
        <v>1185</v>
      </c>
      <c r="C423">
        <v>2.75</v>
      </c>
      <c r="D423">
        <v>7.4</v>
      </c>
    </row>
    <row r="424" spans="1:4">
      <c r="A424" t="s">
        <v>1753</v>
      </c>
      <c r="B424" t="s">
        <v>1187</v>
      </c>
      <c r="C424">
        <v>1.81</v>
      </c>
      <c r="D424">
        <v>5.0999999999999996</v>
      </c>
    </row>
    <row r="425" spans="1:4">
      <c r="A425" t="s">
        <v>1754</v>
      </c>
      <c r="B425" t="s">
        <v>1209</v>
      </c>
      <c r="C425">
        <v>2.63</v>
      </c>
      <c r="D425">
        <v>9.4</v>
      </c>
    </row>
    <row r="426" spans="1:4">
      <c r="A426" t="s">
        <v>1755</v>
      </c>
      <c r="B426" t="s">
        <v>1205</v>
      </c>
      <c r="C426">
        <v>1.53</v>
      </c>
      <c r="D426">
        <v>5.5</v>
      </c>
    </row>
    <row r="427" spans="1:4">
      <c r="A427" t="s">
        <v>1756</v>
      </c>
      <c r="B427" t="s">
        <v>1183</v>
      </c>
      <c r="C427">
        <v>1.33</v>
      </c>
      <c r="D427">
        <v>8.6</v>
      </c>
    </row>
    <row r="428" spans="1:4">
      <c r="A428" t="s">
        <v>1757</v>
      </c>
      <c r="B428" t="s">
        <v>1185</v>
      </c>
      <c r="C428">
        <v>2.13</v>
      </c>
      <c r="D428">
        <v>8</v>
      </c>
    </row>
    <row r="429" spans="1:4">
      <c r="A429" t="s">
        <v>1758</v>
      </c>
      <c r="B429" t="s">
        <v>1237</v>
      </c>
      <c r="C429">
        <v>2.06</v>
      </c>
      <c r="D429">
        <v>6.3</v>
      </c>
    </row>
    <row r="430" spans="1:4">
      <c r="A430" t="s">
        <v>1759</v>
      </c>
      <c r="B430" t="s">
        <v>1225</v>
      </c>
      <c r="C430">
        <v>2.06</v>
      </c>
      <c r="D430">
        <v>4.9000000000000004</v>
      </c>
    </row>
    <row r="431" spans="1:4">
      <c r="A431" t="s">
        <v>1760</v>
      </c>
      <c r="B431" t="s">
        <v>1187</v>
      </c>
      <c r="C431">
        <v>0.84</v>
      </c>
      <c r="D431">
        <v>6.8</v>
      </c>
    </row>
    <row r="432" spans="1:4">
      <c r="A432" t="s">
        <v>1304</v>
      </c>
      <c r="B432" t="s">
        <v>1207</v>
      </c>
      <c r="C432">
        <v>1.83</v>
      </c>
      <c r="D432">
        <v>4</v>
      </c>
    </row>
    <row r="433" spans="1:4">
      <c r="A433" t="s">
        <v>1761</v>
      </c>
      <c r="B433" t="s">
        <v>1237</v>
      </c>
      <c r="C433">
        <v>0.9</v>
      </c>
      <c r="D433">
        <v>14</v>
      </c>
    </row>
    <row r="434" spans="1:4">
      <c r="A434" t="s">
        <v>1762</v>
      </c>
      <c r="B434" t="s">
        <v>1209</v>
      </c>
      <c r="C434">
        <v>5.67</v>
      </c>
      <c r="D434">
        <v>8.6999999999999993</v>
      </c>
    </row>
    <row r="435" spans="1:4">
      <c r="A435" t="s">
        <v>1763</v>
      </c>
      <c r="B435" t="s">
        <v>1203</v>
      </c>
      <c r="C435">
        <v>1.58</v>
      </c>
      <c r="D435">
        <v>5.9</v>
      </c>
    </row>
    <row r="436" spans="1:4">
      <c r="A436" t="s">
        <v>1315</v>
      </c>
      <c r="B436" t="s">
        <v>1207</v>
      </c>
      <c r="C436">
        <v>1.87</v>
      </c>
      <c r="D436">
        <v>3.5</v>
      </c>
    </row>
    <row r="437" spans="1:4">
      <c r="A437" t="s">
        <v>1764</v>
      </c>
      <c r="B437" t="s">
        <v>1199</v>
      </c>
      <c r="C437">
        <v>2.67</v>
      </c>
      <c r="D437">
        <v>9.3000000000000007</v>
      </c>
    </row>
    <row r="438" spans="1:4">
      <c r="A438" t="s">
        <v>1765</v>
      </c>
      <c r="B438" t="s">
        <v>1233</v>
      </c>
      <c r="C438">
        <v>3.19</v>
      </c>
      <c r="D438">
        <v>8.3000000000000007</v>
      </c>
    </row>
    <row r="439" spans="1:4">
      <c r="A439" t="s">
        <v>1766</v>
      </c>
      <c r="B439" t="s">
        <v>1213</v>
      </c>
      <c r="C439">
        <v>1</v>
      </c>
      <c r="D439">
        <v>7</v>
      </c>
    </row>
    <row r="440" spans="1:4">
      <c r="A440" t="s">
        <v>1319</v>
      </c>
      <c r="B440" t="s">
        <v>1207</v>
      </c>
      <c r="C440">
        <v>0.67</v>
      </c>
      <c r="D440">
        <v>4.4000000000000004</v>
      </c>
    </row>
    <row r="441" spans="1:4">
      <c r="A441" t="s">
        <v>1767</v>
      </c>
      <c r="B441" t="s">
        <v>1183</v>
      </c>
      <c r="C441">
        <v>3</v>
      </c>
      <c r="D441">
        <v>5.0999999999999996</v>
      </c>
    </row>
    <row r="442" spans="1:4">
      <c r="A442" t="s">
        <v>1305</v>
      </c>
      <c r="B442" t="s">
        <v>1207</v>
      </c>
      <c r="C442">
        <v>1.33</v>
      </c>
      <c r="D442">
        <v>8.1999999999999993</v>
      </c>
    </row>
    <row r="443" spans="1:4">
      <c r="A443" t="s">
        <v>1768</v>
      </c>
      <c r="B443" t="s">
        <v>1211</v>
      </c>
      <c r="C443">
        <v>1.35</v>
      </c>
      <c r="D443">
        <v>8.1999999999999993</v>
      </c>
    </row>
    <row r="444" spans="1:4">
      <c r="A444" t="s">
        <v>1769</v>
      </c>
      <c r="B444" t="s">
        <v>1219</v>
      </c>
      <c r="C444">
        <v>1.3</v>
      </c>
      <c r="D444">
        <v>12.2</v>
      </c>
    </row>
    <row r="445" spans="1:4">
      <c r="A445" t="s">
        <v>1770</v>
      </c>
      <c r="B445" t="s">
        <v>1217</v>
      </c>
      <c r="C445">
        <v>1.71</v>
      </c>
      <c r="D445">
        <v>6.5</v>
      </c>
    </row>
    <row r="446" spans="1:4">
      <c r="A446" t="s">
        <v>1771</v>
      </c>
      <c r="B446" t="s">
        <v>1217</v>
      </c>
      <c r="C446">
        <v>2.81</v>
      </c>
      <c r="D446">
        <v>7.9</v>
      </c>
    </row>
    <row r="447" spans="1:4">
      <c r="A447" t="s">
        <v>1772</v>
      </c>
      <c r="B447" t="s">
        <v>1185</v>
      </c>
      <c r="C447">
        <v>1.1200000000000001</v>
      </c>
      <c r="D447">
        <v>4.5</v>
      </c>
    </row>
    <row r="448" spans="1:4">
      <c r="A448" t="s">
        <v>1773</v>
      </c>
      <c r="B448" t="s">
        <v>1227</v>
      </c>
      <c r="C448">
        <v>1.1000000000000001</v>
      </c>
      <c r="D448">
        <v>8.9</v>
      </c>
    </row>
    <row r="449" spans="1:4">
      <c r="A449" t="s">
        <v>1774</v>
      </c>
      <c r="B449" t="s">
        <v>1219</v>
      </c>
      <c r="C449">
        <v>3.89</v>
      </c>
      <c r="D449">
        <v>7.2</v>
      </c>
    </row>
    <row r="450" spans="1:4">
      <c r="A450" t="s">
        <v>1775</v>
      </c>
      <c r="B450" t="s">
        <v>1239</v>
      </c>
      <c r="C450">
        <v>1.57</v>
      </c>
      <c r="D450">
        <v>6.7</v>
      </c>
    </row>
    <row r="451" spans="1:4">
      <c r="A451" t="s">
        <v>1776</v>
      </c>
      <c r="B451" t="s">
        <v>1219</v>
      </c>
      <c r="C451">
        <v>0.73</v>
      </c>
      <c r="D451">
        <v>12.3</v>
      </c>
    </row>
    <row r="452" spans="1:4">
      <c r="A452" t="s">
        <v>1777</v>
      </c>
      <c r="B452" t="s">
        <v>1239</v>
      </c>
      <c r="C452">
        <v>1.42</v>
      </c>
      <c r="D452">
        <v>7.4</v>
      </c>
    </row>
    <row r="453" spans="1:4">
      <c r="A453" t="s">
        <v>1778</v>
      </c>
      <c r="B453" t="s">
        <v>1225</v>
      </c>
      <c r="C453">
        <v>0.67</v>
      </c>
      <c r="D453">
        <v>7.9</v>
      </c>
    </row>
    <row r="454" spans="1:4">
      <c r="A454" t="s">
        <v>1779</v>
      </c>
      <c r="B454" t="s">
        <v>1205</v>
      </c>
      <c r="C454">
        <v>2</v>
      </c>
      <c r="D454">
        <v>8.3000000000000007</v>
      </c>
    </row>
    <row r="455" spans="1:4">
      <c r="A455" t="s">
        <v>1780</v>
      </c>
      <c r="B455" t="s">
        <v>1209</v>
      </c>
      <c r="C455">
        <v>0.8</v>
      </c>
      <c r="D455">
        <v>9</v>
      </c>
    </row>
    <row r="456" spans="1:4">
      <c r="A456" t="s">
        <v>1781</v>
      </c>
      <c r="B456" t="s">
        <v>1193</v>
      </c>
      <c r="C456">
        <v>0.18</v>
      </c>
      <c r="D456">
        <v>15.4</v>
      </c>
    </row>
    <row r="457" spans="1:4">
      <c r="A457" t="s">
        <v>1300</v>
      </c>
      <c r="B457" t="s">
        <v>1207</v>
      </c>
      <c r="C457">
        <v>1.9</v>
      </c>
      <c r="D457">
        <v>5.7</v>
      </c>
    </row>
    <row r="458" spans="1:4">
      <c r="A458" t="s">
        <v>1782</v>
      </c>
      <c r="B458" t="s">
        <v>1239</v>
      </c>
      <c r="C458">
        <v>0.67</v>
      </c>
      <c r="D458">
        <v>6.5</v>
      </c>
    </row>
    <row r="459" spans="1:4">
      <c r="A459" t="s">
        <v>1783</v>
      </c>
      <c r="B459" t="s">
        <v>1191</v>
      </c>
      <c r="C459">
        <v>1.71</v>
      </c>
      <c r="D459">
        <v>8.3000000000000007</v>
      </c>
    </row>
    <row r="460" spans="1:4">
      <c r="A460" t="s">
        <v>1784</v>
      </c>
      <c r="B460" t="s">
        <v>1217</v>
      </c>
      <c r="C460">
        <v>2.25</v>
      </c>
      <c r="D460">
        <v>6</v>
      </c>
    </row>
    <row r="461" spans="1:4">
      <c r="A461" t="s">
        <v>1785</v>
      </c>
      <c r="B461" t="s">
        <v>1221</v>
      </c>
      <c r="C461">
        <v>3</v>
      </c>
      <c r="D461">
        <v>2.5</v>
      </c>
    </row>
    <row r="462" spans="1:4">
      <c r="A462" t="s">
        <v>1786</v>
      </c>
      <c r="B462" t="s">
        <v>1225</v>
      </c>
      <c r="C462">
        <v>1.43</v>
      </c>
      <c r="D462">
        <v>7.7</v>
      </c>
    </row>
    <row r="463" spans="1:4">
      <c r="A463" t="s">
        <v>1787</v>
      </c>
      <c r="B463" t="s">
        <v>1213</v>
      </c>
      <c r="C463">
        <v>0.5</v>
      </c>
      <c r="D463">
        <v>12.3</v>
      </c>
    </row>
    <row r="464" spans="1:4">
      <c r="A464" t="s">
        <v>1788</v>
      </c>
      <c r="B464" t="s">
        <v>1201</v>
      </c>
      <c r="C464">
        <v>0.64</v>
      </c>
      <c r="D464">
        <v>3.8</v>
      </c>
    </row>
    <row r="465" spans="1:4">
      <c r="A465" t="s">
        <v>1303</v>
      </c>
      <c r="B465" t="s">
        <v>1207</v>
      </c>
      <c r="C465">
        <v>1.69</v>
      </c>
      <c r="D465">
        <v>5</v>
      </c>
    </row>
    <row r="466" spans="1:4">
      <c r="A466" t="s">
        <v>1789</v>
      </c>
      <c r="B466" t="s">
        <v>1183</v>
      </c>
      <c r="C466">
        <v>1.7</v>
      </c>
      <c r="D466">
        <v>9.1</v>
      </c>
    </row>
    <row r="467" spans="1:4">
      <c r="A467" t="s">
        <v>1790</v>
      </c>
      <c r="B467" t="s">
        <v>1203</v>
      </c>
      <c r="C467">
        <v>1.2</v>
      </c>
      <c r="D467">
        <v>16</v>
      </c>
    </row>
    <row r="468" spans="1:4">
      <c r="A468" t="s">
        <v>1791</v>
      </c>
      <c r="B468" t="s">
        <v>1231</v>
      </c>
      <c r="C468">
        <v>1.8</v>
      </c>
      <c r="D468">
        <v>6.5</v>
      </c>
    </row>
    <row r="469" spans="1:4">
      <c r="A469" t="s">
        <v>1792</v>
      </c>
      <c r="B469" t="s">
        <v>1235</v>
      </c>
      <c r="C469">
        <v>0.75</v>
      </c>
      <c r="D469">
        <v>4.5999999999999996</v>
      </c>
    </row>
    <row r="470" spans="1:4">
      <c r="A470" t="s">
        <v>1793</v>
      </c>
      <c r="B470" t="s">
        <v>1235</v>
      </c>
      <c r="C470">
        <v>1.29</v>
      </c>
      <c r="D470">
        <v>10</v>
      </c>
    </row>
    <row r="471" spans="1:4">
      <c r="A471" t="s">
        <v>1794</v>
      </c>
      <c r="B471" t="s">
        <v>1195</v>
      </c>
      <c r="C471">
        <v>1.53</v>
      </c>
      <c r="D471">
        <v>6.7</v>
      </c>
    </row>
    <row r="472" spans="1:4">
      <c r="A472" t="s">
        <v>1314</v>
      </c>
      <c r="B472" t="s">
        <v>1207</v>
      </c>
      <c r="C472">
        <v>4.2</v>
      </c>
      <c r="D472">
        <v>4.5</v>
      </c>
    </row>
    <row r="473" spans="1:4">
      <c r="A473" t="s">
        <v>1795</v>
      </c>
      <c r="B473" t="s">
        <v>1185</v>
      </c>
      <c r="C473">
        <v>1.63</v>
      </c>
      <c r="D473">
        <v>7.8</v>
      </c>
    </row>
    <row r="474" spans="1:4">
      <c r="A474" t="s">
        <v>1796</v>
      </c>
      <c r="B474" t="s">
        <v>1183</v>
      </c>
      <c r="C474">
        <v>1.5</v>
      </c>
      <c r="D474">
        <v>2.4</v>
      </c>
    </row>
    <row r="475" spans="1:4">
      <c r="A475" t="s">
        <v>1797</v>
      </c>
      <c r="B475" t="s">
        <v>1183</v>
      </c>
      <c r="C475">
        <v>3.44</v>
      </c>
      <c r="D475">
        <v>8.5</v>
      </c>
    </row>
    <row r="476" spans="1:4">
      <c r="A476" t="s">
        <v>1798</v>
      </c>
      <c r="B476" t="s">
        <v>1235</v>
      </c>
      <c r="C476">
        <v>3.1</v>
      </c>
      <c r="D476">
        <v>5.0999999999999996</v>
      </c>
    </row>
    <row r="477" spans="1:4">
      <c r="A477" t="s">
        <v>1799</v>
      </c>
      <c r="B477" t="s">
        <v>1181</v>
      </c>
      <c r="C477">
        <v>2.13</v>
      </c>
      <c r="D477">
        <v>8.6</v>
      </c>
    </row>
    <row r="478" spans="1:4">
      <c r="A478" t="s">
        <v>1800</v>
      </c>
      <c r="B478" t="s">
        <v>1191</v>
      </c>
      <c r="C478">
        <v>5</v>
      </c>
      <c r="D478">
        <v>8.9</v>
      </c>
    </row>
    <row r="479" spans="1:4">
      <c r="A479" t="s">
        <v>1801</v>
      </c>
      <c r="B479" t="s">
        <v>1205</v>
      </c>
      <c r="C479">
        <v>0.6</v>
      </c>
      <c r="D479">
        <v>12.2</v>
      </c>
    </row>
    <row r="480" spans="1:4">
      <c r="A480" t="s">
        <v>1802</v>
      </c>
      <c r="B480" t="s">
        <v>1225</v>
      </c>
      <c r="C480">
        <v>0.5</v>
      </c>
      <c r="D480">
        <v>5</v>
      </c>
    </row>
    <row r="481" spans="1:4">
      <c r="A481" t="s">
        <v>1803</v>
      </c>
      <c r="B481" t="s">
        <v>1219</v>
      </c>
      <c r="C481">
        <v>0.52</v>
      </c>
      <c r="D481">
        <v>4.8</v>
      </c>
    </row>
    <row r="482" spans="1:4">
      <c r="A482" t="s">
        <v>1804</v>
      </c>
      <c r="B482" t="s">
        <v>1203</v>
      </c>
      <c r="C482">
        <v>1.5</v>
      </c>
      <c r="D482">
        <v>4</v>
      </c>
    </row>
    <row r="483" spans="1:4">
      <c r="A483" t="s">
        <v>1805</v>
      </c>
      <c r="B483" t="s">
        <v>1199</v>
      </c>
      <c r="C483">
        <v>1.25</v>
      </c>
      <c r="D483">
        <v>10.4</v>
      </c>
    </row>
    <row r="484" spans="1:4">
      <c r="A484" t="s">
        <v>1806</v>
      </c>
      <c r="B484" t="s">
        <v>1211</v>
      </c>
      <c r="C484">
        <v>1</v>
      </c>
      <c r="D484">
        <v>11.4</v>
      </c>
    </row>
    <row r="485" spans="1:4">
      <c r="A485" t="s">
        <v>1807</v>
      </c>
      <c r="B485" t="s">
        <v>1181</v>
      </c>
      <c r="C485">
        <v>0.5</v>
      </c>
      <c r="D485">
        <v>12.2</v>
      </c>
    </row>
    <row r="486" spans="1:4">
      <c r="A486" t="s">
        <v>1808</v>
      </c>
      <c r="B486" t="s">
        <v>1187</v>
      </c>
      <c r="C486">
        <v>1.5</v>
      </c>
      <c r="D486">
        <v>5.7</v>
      </c>
    </row>
    <row r="487" spans="1:4">
      <c r="A487" t="s">
        <v>1809</v>
      </c>
      <c r="B487" t="s">
        <v>1213</v>
      </c>
      <c r="C487">
        <v>2.5</v>
      </c>
      <c r="D487">
        <v>5.4</v>
      </c>
    </row>
    <row r="488" spans="1:4">
      <c r="A488" t="s">
        <v>1810</v>
      </c>
      <c r="B488" t="s">
        <v>1191</v>
      </c>
      <c r="C488">
        <v>4</v>
      </c>
      <c r="D488">
        <v>8</v>
      </c>
    </row>
    <row r="489" spans="1:4">
      <c r="A489" t="s">
        <v>1811</v>
      </c>
      <c r="B489" t="s">
        <v>1189</v>
      </c>
      <c r="C489">
        <v>9</v>
      </c>
      <c r="D489">
        <v>12.7</v>
      </c>
    </row>
    <row r="490" spans="1:4">
      <c r="A490" t="s">
        <v>1812</v>
      </c>
      <c r="B490" t="s">
        <v>1221</v>
      </c>
      <c r="C490">
        <v>1.25</v>
      </c>
      <c r="D490">
        <v>6.5</v>
      </c>
    </row>
    <row r="491" spans="1:4">
      <c r="A491" t="s">
        <v>1813</v>
      </c>
      <c r="B491" t="s">
        <v>1191</v>
      </c>
      <c r="C491">
        <v>1</v>
      </c>
      <c r="D491">
        <v>9.6</v>
      </c>
    </row>
    <row r="492" spans="1:4">
      <c r="A492" t="s">
        <v>1814</v>
      </c>
      <c r="B492" t="s">
        <v>1209</v>
      </c>
      <c r="C492">
        <v>3.8</v>
      </c>
      <c r="D492">
        <v>8.6</v>
      </c>
    </row>
    <row r="493" spans="1:4">
      <c r="A493" t="s">
        <v>1815</v>
      </c>
      <c r="B493" t="s">
        <v>1227</v>
      </c>
      <c r="C493">
        <v>5.33</v>
      </c>
      <c r="D493">
        <v>4.9000000000000004</v>
      </c>
    </row>
    <row r="494" spans="1:4">
      <c r="A494" t="s">
        <v>1816</v>
      </c>
      <c r="B494" t="s">
        <v>1203</v>
      </c>
      <c r="C494">
        <v>1</v>
      </c>
      <c r="D494">
        <v>9.5</v>
      </c>
    </row>
    <row r="495" spans="1:4">
      <c r="A495" t="s">
        <v>1817</v>
      </c>
      <c r="B495" t="s">
        <v>1185</v>
      </c>
      <c r="C495">
        <v>1</v>
      </c>
      <c r="D495">
        <v>7.9</v>
      </c>
    </row>
    <row r="496" spans="1:4">
      <c r="A496" t="s">
        <v>1818</v>
      </c>
      <c r="B496" t="s">
        <v>1217</v>
      </c>
      <c r="C496">
        <v>1.25</v>
      </c>
      <c r="D496">
        <v>7.2</v>
      </c>
    </row>
    <row r="497" spans="1:4">
      <c r="A497" t="s">
        <v>1819</v>
      </c>
      <c r="B497" t="s">
        <v>1229</v>
      </c>
      <c r="C497">
        <v>1.36</v>
      </c>
      <c r="D497">
        <v>5.7</v>
      </c>
    </row>
    <row r="498" spans="1:4">
      <c r="A498" t="s">
        <v>1820</v>
      </c>
      <c r="B498" t="s">
        <v>1185</v>
      </c>
      <c r="C498">
        <v>0.5</v>
      </c>
      <c r="D498">
        <v>2.2000000000000002</v>
      </c>
    </row>
    <row r="499" spans="1:4">
      <c r="A499" t="s">
        <v>1821</v>
      </c>
      <c r="B499" t="s">
        <v>1211</v>
      </c>
      <c r="C499">
        <v>1.5</v>
      </c>
      <c r="D499">
        <v>1.5</v>
      </c>
    </row>
    <row r="500" spans="1:4">
      <c r="A500" t="s">
        <v>1822</v>
      </c>
      <c r="B500" t="s">
        <v>1237</v>
      </c>
      <c r="C500">
        <v>2.67</v>
      </c>
      <c r="D500">
        <v>3.7</v>
      </c>
    </row>
    <row r="501" spans="1:4">
      <c r="A501" t="s">
        <v>1823</v>
      </c>
      <c r="B501" t="s">
        <v>1195</v>
      </c>
      <c r="C501">
        <v>2</v>
      </c>
      <c r="D501">
        <v>16.8</v>
      </c>
    </row>
    <row r="502" spans="1:4">
      <c r="A502" t="s">
        <v>1824</v>
      </c>
      <c r="B502" t="s">
        <v>1195</v>
      </c>
      <c r="C502">
        <v>2.2000000000000002</v>
      </c>
      <c r="D502">
        <v>2.9</v>
      </c>
    </row>
    <row r="503" spans="1:4">
      <c r="A503" t="s">
        <v>1825</v>
      </c>
      <c r="B503" t="s">
        <v>1219</v>
      </c>
      <c r="C503">
        <v>1.25</v>
      </c>
      <c r="D503">
        <v>4.7</v>
      </c>
    </row>
    <row r="504" spans="1:4">
      <c r="A504" t="s">
        <v>1826</v>
      </c>
      <c r="B504" t="s">
        <v>1203</v>
      </c>
      <c r="C504">
        <v>2.8</v>
      </c>
      <c r="D504">
        <v>11</v>
      </c>
    </row>
    <row r="505" spans="1:4">
      <c r="A505" t="s">
        <v>1827</v>
      </c>
      <c r="B505" t="s">
        <v>1213</v>
      </c>
      <c r="C505">
        <v>0.83</v>
      </c>
      <c r="D505">
        <v>9.9</v>
      </c>
    </row>
    <row r="506" spans="1:4">
      <c r="A506" t="s">
        <v>1828</v>
      </c>
      <c r="B506" t="s">
        <v>1219</v>
      </c>
      <c r="C506">
        <v>1</v>
      </c>
      <c r="D506">
        <v>6.2</v>
      </c>
    </row>
    <row r="507" spans="1:4">
      <c r="A507" t="s">
        <v>1829</v>
      </c>
      <c r="B507" t="s">
        <v>1187</v>
      </c>
      <c r="C507">
        <v>2.17</v>
      </c>
      <c r="D507">
        <v>5.7</v>
      </c>
    </row>
    <row r="508" spans="1:4">
      <c r="A508" t="s">
        <v>1830</v>
      </c>
      <c r="B508" t="s">
        <v>1211</v>
      </c>
      <c r="C508">
        <v>1.33</v>
      </c>
      <c r="D508">
        <v>6.3</v>
      </c>
    </row>
    <row r="509" spans="1:4">
      <c r="A509" t="s">
        <v>1831</v>
      </c>
      <c r="B509" t="s">
        <v>1195</v>
      </c>
      <c r="C509">
        <v>1</v>
      </c>
      <c r="D509">
        <v>1.3</v>
      </c>
    </row>
    <row r="510" spans="1:4">
      <c r="A510" t="s">
        <v>1832</v>
      </c>
      <c r="B510" t="s">
        <v>1181</v>
      </c>
      <c r="C510">
        <v>2</v>
      </c>
      <c r="D510">
        <v>9</v>
      </c>
    </row>
    <row r="511" spans="1:4">
      <c r="A511" t="s">
        <v>1833</v>
      </c>
      <c r="B511" t="s">
        <v>1193</v>
      </c>
      <c r="C511">
        <v>1.2</v>
      </c>
      <c r="D511">
        <v>3.1</v>
      </c>
    </row>
    <row r="512" spans="1:4">
      <c r="A512" t="s">
        <v>1834</v>
      </c>
      <c r="B512" t="s">
        <v>1201</v>
      </c>
      <c r="C512">
        <v>1</v>
      </c>
      <c r="D512">
        <v>12.5</v>
      </c>
    </row>
    <row r="513" spans="1:4">
      <c r="A513" t="s">
        <v>1835</v>
      </c>
      <c r="B513" t="s">
        <v>1231</v>
      </c>
      <c r="C513">
        <v>11</v>
      </c>
      <c r="D513">
        <v>15.9</v>
      </c>
    </row>
    <row r="514" spans="1:4">
      <c r="A514" t="s">
        <v>1836</v>
      </c>
      <c r="B514" t="s">
        <v>1195</v>
      </c>
      <c r="C514">
        <v>0.82</v>
      </c>
      <c r="D514">
        <v>6.2</v>
      </c>
    </row>
    <row r="515" spans="1:4">
      <c r="A515" t="s">
        <v>1837</v>
      </c>
      <c r="B515" t="s">
        <v>1231</v>
      </c>
      <c r="C515">
        <v>1.5</v>
      </c>
      <c r="D515">
        <v>4.8</v>
      </c>
    </row>
    <row r="516" spans="1:4">
      <c r="A516" t="s">
        <v>1838</v>
      </c>
      <c r="B516" t="s">
        <v>1199</v>
      </c>
      <c r="C516">
        <v>4</v>
      </c>
      <c r="D516">
        <v>10.1</v>
      </c>
    </row>
    <row r="517" spans="1:4">
      <c r="A517" t="s">
        <v>1839</v>
      </c>
      <c r="B517" t="s">
        <v>1189</v>
      </c>
      <c r="C517">
        <v>1.5</v>
      </c>
      <c r="D517">
        <v>4.7</v>
      </c>
    </row>
    <row r="518" spans="1:4">
      <c r="A518" t="s">
        <v>1840</v>
      </c>
      <c r="B518" t="s">
        <v>1215</v>
      </c>
      <c r="C518">
        <v>0</v>
      </c>
      <c r="D518">
        <v>20.2</v>
      </c>
    </row>
    <row r="519" spans="1:4">
      <c r="A519" t="s">
        <v>1841</v>
      </c>
      <c r="B519" t="s">
        <v>1205</v>
      </c>
      <c r="C519">
        <v>3</v>
      </c>
      <c r="D519">
        <v>7</v>
      </c>
    </row>
    <row r="520" spans="1:4">
      <c r="A520" t="s">
        <v>1842</v>
      </c>
      <c r="B520" t="s">
        <v>1213</v>
      </c>
      <c r="C520">
        <v>1.25</v>
      </c>
      <c r="D520">
        <v>6.7</v>
      </c>
    </row>
    <row r="521" spans="1:4">
      <c r="A521" t="s">
        <v>1843</v>
      </c>
      <c r="B521" t="s">
        <v>1229</v>
      </c>
      <c r="C521">
        <v>1.4</v>
      </c>
      <c r="D521">
        <v>2</v>
      </c>
    </row>
    <row r="522" spans="1:4">
      <c r="A522" t="s">
        <v>1844</v>
      </c>
      <c r="B522" t="s">
        <v>1187</v>
      </c>
      <c r="C522">
        <v>1.75</v>
      </c>
      <c r="D522">
        <v>8.4</v>
      </c>
    </row>
    <row r="523" spans="1:4">
      <c r="A523" t="s">
        <v>1845</v>
      </c>
      <c r="B523" t="s">
        <v>1233</v>
      </c>
      <c r="C523">
        <v>2</v>
      </c>
      <c r="D523">
        <v>8.6999999999999993</v>
      </c>
    </row>
    <row r="524" spans="1:4">
      <c r="A524" t="s">
        <v>1846</v>
      </c>
      <c r="B524" t="s">
        <v>1215</v>
      </c>
      <c r="C524">
        <v>2.56</v>
      </c>
      <c r="D524">
        <v>2.5</v>
      </c>
    </row>
    <row r="525" spans="1:4">
      <c r="A525" t="s">
        <v>1344</v>
      </c>
      <c r="B525" t="s">
        <v>1197</v>
      </c>
      <c r="C525">
        <v>7</v>
      </c>
      <c r="D525">
        <v>9.5</v>
      </c>
    </row>
    <row r="526" spans="1:4">
      <c r="A526" t="s">
        <v>1847</v>
      </c>
      <c r="B526" t="s">
        <v>1213</v>
      </c>
      <c r="C526">
        <v>1.33</v>
      </c>
      <c r="D526">
        <v>2.2000000000000002</v>
      </c>
    </row>
    <row r="527" spans="1:4">
      <c r="A527" t="s">
        <v>1848</v>
      </c>
      <c r="B527" t="s">
        <v>1237</v>
      </c>
      <c r="C527">
        <v>1</v>
      </c>
      <c r="D527">
        <v>3.6</v>
      </c>
    </row>
    <row r="528" spans="1:4">
      <c r="A528" t="s">
        <v>1849</v>
      </c>
      <c r="B528" t="s">
        <v>1231</v>
      </c>
      <c r="C528">
        <v>1</v>
      </c>
      <c r="D528">
        <v>7</v>
      </c>
    </row>
    <row r="529" spans="1:4">
      <c r="A529" t="s">
        <v>1301</v>
      </c>
      <c r="B529" t="s">
        <v>1207</v>
      </c>
      <c r="C529">
        <v>0.33</v>
      </c>
      <c r="D529">
        <v>2.7</v>
      </c>
    </row>
    <row r="530" spans="1:4">
      <c r="A530" t="s">
        <v>1850</v>
      </c>
      <c r="B530" t="s">
        <v>1201</v>
      </c>
      <c r="C530">
        <v>0.5</v>
      </c>
      <c r="D530">
        <v>2</v>
      </c>
    </row>
    <row r="531" spans="1:4">
      <c r="A531" t="s">
        <v>1360</v>
      </c>
      <c r="B531" t="s">
        <v>1197</v>
      </c>
      <c r="C531">
        <v>0</v>
      </c>
      <c r="D531">
        <v>14.9</v>
      </c>
    </row>
    <row r="532" spans="1:4">
      <c r="A532" t="s">
        <v>1851</v>
      </c>
      <c r="B532" t="s">
        <v>1229</v>
      </c>
      <c r="C532">
        <v>0.5</v>
      </c>
      <c r="D532">
        <v>0</v>
      </c>
    </row>
    <row r="533" spans="1:4">
      <c r="A533" t="s">
        <v>1852</v>
      </c>
      <c r="B533" t="s">
        <v>1191</v>
      </c>
      <c r="C533">
        <v>1</v>
      </c>
      <c r="D533">
        <v>2.2000000000000002</v>
      </c>
    </row>
    <row r="534" spans="1:4">
      <c r="A534" t="s">
        <v>1853</v>
      </c>
      <c r="B534" t="s">
        <v>1189</v>
      </c>
      <c r="C534">
        <v>6</v>
      </c>
      <c r="D534">
        <v>10</v>
      </c>
    </row>
    <row r="535" spans="1:4">
      <c r="A535" t="s">
        <v>1854</v>
      </c>
      <c r="B535" t="s">
        <v>1205</v>
      </c>
      <c r="C535">
        <v>0</v>
      </c>
      <c r="D535">
        <v>2.9</v>
      </c>
    </row>
    <row r="536" spans="1:4">
      <c r="A536" t="s">
        <v>1855</v>
      </c>
      <c r="B536" t="s">
        <v>1189</v>
      </c>
      <c r="C536">
        <v>0</v>
      </c>
      <c r="D536">
        <v>9.1999999999999993</v>
      </c>
    </row>
    <row r="537" spans="1:4">
      <c r="A537" t="s">
        <v>1856</v>
      </c>
      <c r="B537" t="s">
        <v>1213</v>
      </c>
      <c r="C537">
        <v>0.33</v>
      </c>
      <c r="D537">
        <v>-2.5</v>
      </c>
    </row>
    <row r="538" spans="1:4">
      <c r="A538" t="s">
        <v>1857</v>
      </c>
      <c r="B538" t="s">
        <v>1219</v>
      </c>
      <c r="C538">
        <v>0</v>
      </c>
      <c r="D538">
        <v>1.5</v>
      </c>
    </row>
    <row r="539" spans="1:4">
      <c r="A539" t="s">
        <v>1858</v>
      </c>
      <c r="B539" t="s">
        <v>1227</v>
      </c>
      <c r="C539">
        <v>0</v>
      </c>
      <c r="D539">
        <v>2.6</v>
      </c>
    </row>
    <row r="540" spans="1:4">
      <c r="A540" t="s">
        <v>1859</v>
      </c>
      <c r="B540" t="s">
        <v>1203</v>
      </c>
      <c r="C540">
        <v>1</v>
      </c>
      <c r="D540">
        <v>1.5</v>
      </c>
    </row>
    <row r="541" spans="1:4">
      <c r="A541" t="s">
        <v>1860</v>
      </c>
      <c r="B541" t="s">
        <v>1225</v>
      </c>
      <c r="C541">
        <v>2</v>
      </c>
      <c r="D541">
        <v>-0.5</v>
      </c>
    </row>
    <row r="542" spans="1:4">
      <c r="A542" t="s">
        <v>1861</v>
      </c>
      <c r="B542" t="s">
        <v>1219</v>
      </c>
      <c r="C542">
        <v>1</v>
      </c>
      <c r="D542">
        <v>3.3</v>
      </c>
    </row>
    <row r="543" spans="1:4">
      <c r="A543" t="s">
        <v>1862</v>
      </c>
      <c r="B543" t="s">
        <v>1189</v>
      </c>
      <c r="C543">
        <v>1</v>
      </c>
      <c r="D543">
        <v>7.8</v>
      </c>
    </row>
    <row r="544" spans="1:4">
      <c r="A544" t="s">
        <v>1863</v>
      </c>
      <c r="B544" t="s">
        <v>1215</v>
      </c>
      <c r="C544">
        <v>5</v>
      </c>
      <c r="D544">
        <v>5.4</v>
      </c>
    </row>
    <row r="545" spans="1:4">
      <c r="A545" t="s">
        <v>1346</v>
      </c>
      <c r="B545" t="s">
        <v>1197</v>
      </c>
      <c r="C545">
        <v>3</v>
      </c>
      <c r="D545">
        <v>0</v>
      </c>
    </row>
    <row r="546" spans="1:4">
      <c r="A546" t="s">
        <v>1864</v>
      </c>
      <c r="B546" t="s">
        <v>1185</v>
      </c>
      <c r="C546">
        <v>0</v>
      </c>
      <c r="D546">
        <v>8.8000000000000007</v>
      </c>
    </row>
    <row r="547" spans="1:4">
      <c r="A547" t="s">
        <v>1865</v>
      </c>
      <c r="B547" t="s">
        <v>1225</v>
      </c>
      <c r="C547">
        <v>0</v>
      </c>
      <c r="D547">
        <v>9.9</v>
      </c>
    </row>
    <row r="548" spans="1:4">
      <c r="A548" t="s">
        <v>1866</v>
      </c>
      <c r="B548" t="s">
        <v>1219</v>
      </c>
      <c r="C548">
        <v>0</v>
      </c>
      <c r="D548">
        <v>6.6</v>
      </c>
    </row>
    <row r="549" spans="1:4">
      <c r="A549" t="s">
        <v>1867</v>
      </c>
      <c r="B549" t="s">
        <v>1229</v>
      </c>
      <c r="C549">
        <v>0.5</v>
      </c>
      <c r="D549">
        <v>10.5</v>
      </c>
    </row>
    <row r="550" spans="1:4">
      <c r="A550" t="s">
        <v>1868</v>
      </c>
      <c r="B550" t="s">
        <v>1203</v>
      </c>
      <c r="C550">
        <v>0</v>
      </c>
      <c r="D550">
        <v>15.6</v>
      </c>
    </row>
    <row r="551" spans="1:4">
      <c r="A551" t="s">
        <v>1869</v>
      </c>
      <c r="B551" t="s">
        <v>1235</v>
      </c>
      <c r="C551">
        <v>1</v>
      </c>
      <c r="D551">
        <v>2</v>
      </c>
    </row>
    <row r="552" spans="1:4">
      <c r="A552" t="s">
        <v>1870</v>
      </c>
      <c r="B552" t="s">
        <v>1231</v>
      </c>
      <c r="C552">
        <v>0</v>
      </c>
      <c r="D552">
        <v>9.1999999999999993</v>
      </c>
    </row>
    <row r="553" spans="1:4">
      <c r="A553" t="s">
        <v>1342</v>
      </c>
      <c r="B553" t="s">
        <v>1197</v>
      </c>
      <c r="C553">
        <v>0</v>
      </c>
      <c r="D553">
        <v>40</v>
      </c>
    </row>
    <row r="554" spans="1:4">
      <c r="A554" t="s">
        <v>1871</v>
      </c>
      <c r="B554" t="s">
        <v>1233</v>
      </c>
      <c r="C554">
        <v>3</v>
      </c>
      <c r="D554">
        <v>8</v>
      </c>
    </row>
    <row r="555" spans="1:4">
      <c r="A555" t="s">
        <v>1355</v>
      </c>
      <c r="B555" t="s">
        <v>1197</v>
      </c>
      <c r="C555">
        <v>0</v>
      </c>
      <c r="D555">
        <v>7.1</v>
      </c>
    </row>
    <row r="556" spans="1:4">
      <c r="A556" t="s">
        <v>1872</v>
      </c>
      <c r="B556" t="s">
        <v>1235</v>
      </c>
      <c r="C556">
        <v>0.75</v>
      </c>
      <c r="D556">
        <v>0.7</v>
      </c>
    </row>
    <row r="557" spans="1:4">
      <c r="A557" t="s">
        <v>1873</v>
      </c>
      <c r="B557" t="s">
        <v>1215</v>
      </c>
      <c r="C557">
        <v>1</v>
      </c>
      <c r="D557">
        <v>-6.8</v>
      </c>
    </row>
    <row r="558" spans="1:4">
      <c r="A558" t="s">
        <v>1316</v>
      </c>
      <c r="B558" t="s">
        <v>1207</v>
      </c>
      <c r="C558">
        <v>1</v>
      </c>
      <c r="D558">
        <v>-2.2000000000000002</v>
      </c>
    </row>
    <row r="559" spans="1:4">
      <c r="A559" t="s">
        <v>1874</v>
      </c>
      <c r="B559" t="s">
        <v>1183</v>
      </c>
      <c r="C559">
        <v>0</v>
      </c>
      <c r="D559">
        <v>-5.6</v>
      </c>
    </row>
    <row r="560" spans="1:4">
      <c r="A560" t="s">
        <v>1875</v>
      </c>
      <c r="B560" t="s">
        <v>1199</v>
      </c>
      <c r="C560">
        <v>0</v>
      </c>
      <c r="D560">
        <v>-2.6</v>
      </c>
    </row>
    <row r="561" spans="1:4">
      <c r="A561" t="s">
        <v>1876</v>
      </c>
      <c r="B561" t="s">
        <v>1199</v>
      </c>
      <c r="C561">
        <v>0</v>
      </c>
      <c r="D561">
        <v>4.8</v>
      </c>
    </row>
    <row r="562" spans="1:4">
      <c r="A562" t="s">
        <v>1877</v>
      </c>
      <c r="B562" t="s">
        <v>1221</v>
      </c>
      <c r="C562">
        <v>1</v>
      </c>
      <c r="D562">
        <v>-6.9</v>
      </c>
    </row>
    <row r="563" spans="1:4">
      <c r="A563" t="s">
        <v>1878</v>
      </c>
      <c r="B563" t="s">
        <v>1215</v>
      </c>
      <c r="C563">
        <v>0.75</v>
      </c>
      <c r="D563">
        <v>2.4</v>
      </c>
    </row>
    <row r="564" spans="1:4">
      <c r="A564" t="s">
        <v>1879</v>
      </c>
      <c r="B564" t="s">
        <v>1223</v>
      </c>
      <c r="C564">
        <v>0</v>
      </c>
      <c r="D564">
        <v>0</v>
      </c>
    </row>
    <row r="565" spans="1:4">
      <c r="A565" t="s">
        <v>1880</v>
      </c>
      <c r="B565" t="s">
        <v>1231</v>
      </c>
      <c r="C565">
        <v>0</v>
      </c>
      <c r="D565">
        <v>4.3</v>
      </c>
    </row>
    <row r="566" spans="1:4">
      <c r="A566" t="s">
        <v>1881</v>
      </c>
      <c r="B566" t="s">
        <v>1203</v>
      </c>
      <c r="C566">
        <v>0</v>
      </c>
      <c r="D566">
        <v>13.3</v>
      </c>
    </row>
    <row r="567" spans="1:4">
      <c r="A567" t="s">
        <v>1882</v>
      </c>
      <c r="B567" t="s">
        <v>1231</v>
      </c>
      <c r="C567">
        <v>0</v>
      </c>
      <c r="D567">
        <v>0</v>
      </c>
    </row>
    <row r="568" spans="1:4">
      <c r="A568" t="s">
        <v>1883</v>
      </c>
      <c r="B568" t="s">
        <v>1215</v>
      </c>
      <c r="C568">
        <v>0</v>
      </c>
      <c r="D568">
        <v>-4.3</v>
      </c>
    </row>
    <row r="569" spans="1:4">
      <c r="A569" t="s">
        <v>1288</v>
      </c>
      <c r="B569" t="s">
        <v>1239</v>
      </c>
      <c r="C569">
        <v>0</v>
      </c>
      <c r="D569">
        <v>11.4</v>
      </c>
    </row>
    <row r="570" spans="1:4">
      <c r="A570" t="s">
        <v>1884</v>
      </c>
      <c r="B570" t="s">
        <v>1211</v>
      </c>
      <c r="C570">
        <v>0</v>
      </c>
      <c r="D570">
        <v>12.5</v>
      </c>
    </row>
    <row r="571" spans="1:4">
      <c r="A571" t="s">
        <v>1885</v>
      </c>
      <c r="B571" t="s">
        <v>1233</v>
      </c>
      <c r="C571">
        <v>0</v>
      </c>
      <c r="D571">
        <v>3.9</v>
      </c>
    </row>
    <row r="572" spans="1:4">
      <c r="A572" t="s">
        <v>1886</v>
      </c>
      <c r="B572" t="s">
        <v>1209</v>
      </c>
      <c r="C572">
        <v>0</v>
      </c>
      <c r="D572">
        <v>-8.6999999999999993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Equipe</vt:lpstr>
      <vt:lpstr>Dictionnaire des données</vt:lpstr>
      <vt:lpstr>Données NBA</vt:lpstr>
      <vt:lpstr>TCD Analyse de la saison NBA</vt:lpstr>
      <vt:lpstr>Analyse de la saison NBA</vt:lpstr>
      <vt:lpstr>TCD analyse des equipes</vt:lpstr>
      <vt:lpstr>Analyse de équipe  DET </vt:lpstr>
      <vt:lpstr>Analyse du top 15 des joueurs</vt:lpstr>
      <vt:lpstr>Analyse complémentaire 1</vt:lpstr>
      <vt:lpstr>Analyse complémentaire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 HADJ</cp:lastModifiedBy>
  <dcterms:modified xsi:type="dcterms:W3CDTF">2025-10-09T23:22:23Z</dcterms:modified>
</cp:coreProperties>
</file>